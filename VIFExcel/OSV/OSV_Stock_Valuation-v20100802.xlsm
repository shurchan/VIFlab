
<file path=[Content_Types].xml><?xml version="1.0" encoding="utf-8"?>
<Types xmlns="http://schemas.openxmlformats.org/package/2006/content-types">
  <Override PartName="/xl/worksheets/sheet24.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comments8.xml" ContentType="application/vnd.openxmlformats-officedocument.spreadsheetml.comments+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xml" ContentType="application/xml"/>
  <Override PartName="/xl/drawings/drawing2.xml" ContentType="application/vnd.openxmlformats-officedocument.drawing+xml"/>
  <Override PartName="/xl/comments4.xml" ContentType="application/vnd.openxmlformats-officedocument.spreadsheetml.comments+xml"/>
  <Override PartName="/xl/charts/chart49.xml" ContentType="application/vnd.openxmlformats-officedocument.drawingml.chart+xml"/>
  <Override PartName="/xl/worksheets/sheet3.xml" ContentType="application/vnd.openxmlformats-officedocument.spreadsheetml.worksheet+xml"/>
  <Override PartName="/xl/charts/chart27.xml" ContentType="application/vnd.openxmlformats-officedocument.drawingml.chart+xml"/>
  <Override PartName="/xl/charts/chart38.xml" ContentType="application/vnd.openxmlformats-officedocument.drawingml.char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harts/chart16.xml" ContentType="application/vnd.openxmlformats-officedocument.drawingml.chart+xml"/>
  <Override PartName="/xl/charts/chart25.xml" ContentType="application/vnd.openxmlformats-officedocument.drawingml.chart+xml"/>
  <Override PartName="/xl/comments14.xml" ContentType="application/vnd.openxmlformats-officedocument.spreadsheetml.comments+xml"/>
  <Override PartName="/xl/charts/chart34.xml" ContentType="application/vnd.openxmlformats-officedocument.drawingml.chart+xml"/>
  <Override PartName="/xl/charts/chart45.xml" ContentType="application/vnd.openxmlformats-officedocument.drawingml.chart+xml"/>
  <Override PartName="/xl/drawings/drawing11.xml" ContentType="application/vnd.openxmlformats-officedocument.drawing+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omments12.xml" ContentType="application/vnd.openxmlformats-officedocument.spreadsheetml.comments+xml"/>
  <Override PartName="/xl/charts/chart32.xml" ContentType="application/vnd.openxmlformats-officedocument.drawingml.chart+xml"/>
  <Override PartName="/xl/charts/chart43.xml" ContentType="application/vnd.openxmlformats-officedocument.drawingml.chart+xml"/>
  <Override PartName="/xl/charts/chart52.xml" ContentType="application/vnd.openxmlformats-officedocument.drawingml.chart+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comments10.xml" ContentType="application/vnd.openxmlformats-officedocument.spreadsheetml.comments+xml"/>
  <Override PartName="/xl/charts/chart41.xml" ContentType="application/vnd.openxmlformats-officedocument.drawingml.chart+xml"/>
  <Override PartName="/xl/charts/chart50.xml" ContentType="application/vnd.openxmlformats-officedocument.drawingml.char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charts/chart5.xml" ContentType="application/vnd.openxmlformats-officedocument.drawingml.chart+xml"/>
  <Override PartName="/xl/comments9.xml" ContentType="application/vnd.openxmlformats-officedocument.spreadsheetml.comments+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charts/chart3.xml" ContentType="application/vnd.openxmlformats-officedocument.drawingml.chart+xml"/>
  <Override PartName="/xl/comments7.xml" ContentType="application/vnd.openxmlformats-officedocument.spreadsheetml.comments+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comments5.xml" ContentType="application/vnd.openxmlformats-officedocument.spreadsheetml.comments+xml"/>
  <Override PartName="/xl/charts/chart39.xml" ContentType="application/vnd.openxmlformats-officedocument.drawingml.chart+xml"/>
  <Override PartName="/xl/charts/chart48.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charts/chart46.xml" ContentType="application/vnd.openxmlformats-officedocument.drawingml.chart+xml"/>
  <Override PartName="/xl/comments17.xml" ContentType="application/vnd.openxmlformats-officedocument.spreadsheetml.comments+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harts/chart44.xml" ContentType="application/vnd.openxmlformats-officedocument.drawingml.chart+xml"/>
  <Override PartName="/xl/comments15.xml" ContentType="application/vnd.openxmlformats-officedocument.spreadsheetml.comments+xml"/>
  <Override PartName="/xl/charts/chart53.xml" ContentType="application/vnd.openxmlformats-officedocument.drawingml.chart+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omments13.xml" ContentType="application/vnd.openxmlformats-officedocument.spreadsheetml.comments+xml"/>
  <Override PartName="/xl/charts/chart33.xml" ContentType="application/vnd.openxmlformats-officedocument.drawingml.chart+xml"/>
  <Override PartName="/xl/charts/chart42.xml" ContentType="application/vnd.openxmlformats-officedocument.drawingml.chart+xml"/>
  <Override PartName="/xl/charts/chart51.xml" ContentType="application/vnd.openxmlformats-officedocument.drawingml.chart+xml"/>
  <Override PartName="/xl/drawings/drawing10.xml" ContentType="application/vnd.openxmlformats-officedocument.drawing+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omments11.xml" ContentType="application/vnd.openxmlformats-officedocument.spreadsheetml.comments+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charts/chart29.xml" ContentType="application/vnd.openxmlformats-officedocument.drawingml.chart+xml"/>
  <Override PartName="/xl/comments2.xml" ContentType="application/vnd.openxmlformats-officedocument.spreadsheetml.comments+xml"/>
  <Override PartName="/xl/charts/chart18.xml" ContentType="application/vnd.openxmlformats-officedocument.drawingml.chart+xml"/>
  <Override PartName="/xl/charts/chart36.xml" ContentType="application/vnd.openxmlformats-officedocument.drawingml.chart+xml"/>
  <Override PartName="/xl/charts/chart47.xml" ContentType="application/vnd.openxmlformats-officedocument.drawingml.chart+xml"/>
  <Override PartName="/xl/comments16.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2615" windowHeight="7905" tabRatio="889" firstSheet="1" activeTab="1"/>
  </bookViews>
  <sheets>
    <sheet name="Release notes" sheetId="67" state="hidden" r:id="rId1"/>
    <sheet name="Dashboard" sheetId="84" r:id="rId2"/>
    <sheet name="DashData" sheetId="66" state="hidden" r:id="rId3"/>
    <sheet name="Statements" sheetId="48" r:id="rId4"/>
    <sheet name="DCF Valuation" sheetId="38" r:id="rId5"/>
    <sheet name="DCFData" sheetId="68" state="hidden" r:id="rId6"/>
    <sheet name="Graham Valuation" sheetId="43" r:id="rId7"/>
    <sheet name="GrahamData" sheetId="76" state="hidden" r:id="rId8"/>
    <sheet name="EPV" sheetId="81" r:id="rId9"/>
    <sheet name="EPVData" sheetId="59" state="hidden" r:id="rId10"/>
    <sheet name="NetNet" sheetId="69" r:id="rId11"/>
    <sheet name="NetNetData" sheetId="82" state="hidden" r:id="rId12"/>
    <sheet name="PioAltZ" sheetId="79" r:id="rId13"/>
    <sheet name="PioData" sheetId="78" state="hidden" r:id="rId14"/>
    <sheet name="AltmanData" sheetId="80" state="hidden" r:id="rId15"/>
    <sheet name="BeneishData" sheetId="85" state="hidden" r:id="rId16"/>
    <sheet name="Competitors" sheetId="47" r:id="rId17"/>
    <sheet name="CompData" sheetId="75" state="hidden" r:id="rId18"/>
    <sheet name="Charts" sheetId="54" r:id="rId19"/>
    <sheet name="ChartsData" sheetId="53" state="hidden" r:id="rId20"/>
    <sheet name="Assessment" sheetId="56" state="hidden" r:id="rId21"/>
    <sheet name="PriceValueGraph" sheetId="50" state="hidden" r:id="rId22"/>
    <sheet name="Lists" sheetId="70" state="hidden" r:id="rId23"/>
    <sheet name="HelpSheet" sheetId="83" state="hidden" r:id="rId24"/>
  </sheets>
  <externalReferences>
    <externalReference r:id="rId25"/>
  </externalReferences>
  <definedNames>
    <definedName name="Altman">PioAltZ!$H$50</definedName>
    <definedName name="BFRT_hsaocnryapfgkrbys17g" localSheetId="1" hidden="1">#REF!</definedName>
    <definedName name="BFRT_hsaocnryapfgkrbys17g" hidden="1">#REF!</definedName>
    <definedName name="ChartData">ChartsData!$B$3:$B$40</definedName>
    <definedName name="date">Statements!$A$4</definedName>
    <definedName name="dcf_discount">'DCF Valuation'!$G$3</definedName>
    <definedName name="dcf_growth">'DCF Valuation'!$F$3</definedName>
    <definedName name="dcf_mos">'DCF Valuation'!$E$3</definedName>
    <definedName name="dcf_price">Dashboard!$C$12</definedName>
    <definedName name="debt_equity">DCFData!$K$51</definedName>
    <definedName name="earnings_yield">ChartsData!$N$17</definedName>
    <definedName name="enter_ticker">Statements!$S$2</definedName>
    <definedName name="EPV">Dashboard!$C$11</definedName>
    <definedName name="epv_income">EPV!$G$3</definedName>
    <definedName name="epv_mos">EPV!$H$7</definedName>
    <definedName name="fcf_debt">DCFData!$L$57</definedName>
    <definedName name="fcf_ltd">DCFData!$L$59</definedName>
    <definedName name="fcf_std">DCFData!$L$58</definedName>
    <definedName name="firmvalue">DCFData!$B$106</definedName>
    <definedName name="graham_eps">'Graham Valuation'!$H$3</definedName>
    <definedName name="graham_growth">'Graham Valuation'!$B$24</definedName>
    <definedName name="graham_mos">'Graham Valuation'!$E$3</definedName>
    <definedName name="graham_price">Dashboard!$C$13</definedName>
    <definedName name="inventory_turnover">DCFData!$K$46</definedName>
    <definedName name="list_bonds">Lists!$I$2:$I$5</definedName>
    <definedName name="list_compdata">Lists!$L$2:$L$40</definedName>
    <definedName name="list_comps">Lists!$K$2:$K$7</definedName>
    <definedName name="list_discount">Lists!$C$2:$C$8</definedName>
    <definedName name="list_epv_income">Lists!$Q$2:$Q$4</definedName>
    <definedName name="list_epv_multiplier">Lists!$P$2:$P$22</definedName>
    <definedName name="list_epv_rd">Lists!$N$2:$N$3</definedName>
    <definedName name="list_epv_sga">Lists!$O$2:$O$7</definedName>
    <definedName name="list_epv_source">Lists!$M$2:$M$3</definedName>
    <definedName name="list_FCF_select">Lists!$D$2:$D$3</definedName>
    <definedName name="list_graham_eps">Lists!$H$2:$H$3</definedName>
    <definedName name="list_graham_growth">Lists!$G$2:$G$4</definedName>
    <definedName name="list_mos">Lists!$B$2:$B$4</definedName>
    <definedName name="list_projection">Lists!$J$2:$J$3</definedName>
    <definedName name="list_shares">Lists!$A$2:$A$3</definedName>
    <definedName name="list_terminal">Lists!$E$2:$E$9</definedName>
    <definedName name="market_price">Dashboard!$C$8</definedName>
    <definedName name="med_fcf_10yr">'DCF Valuation'!$J$58</definedName>
    <definedName name="med_fcf_5yr">'DCF Valuation'!$K$43</definedName>
    <definedName name="multi_cash_ops">DCFData!$K$73</definedName>
    <definedName name="multi_croic">DCFData!$K$64</definedName>
    <definedName name="multi_eps_growth">DCFData!$K$72</definedName>
    <definedName name="multi_fcf_sales">DCFData!$K$65</definedName>
    <definedName name="multi_gross">DCFData!$K$68</definedName>
    <definedName name="multi_net_margin">DCFData!$K$70</definedName>
    <definedName name="multi_ops_margin">DCFData!$K$69</definedName>
    <definedName name="multi_rev">DCFData!$K$71</definedName>
    <definedName name="multi_roa">DCFData!$K$66</definedName>
    <definedName name="multi_roe">DCFData!$K$67</definedName>
    <definedName name="multi_shareholder">DCFData!$K$62</definedName>
    <definedName name="NCAV">Dashboard!$C$9</definedName>
    <definedName name="PB">Dashboard!$F$18</definedName>
    <definedName name="PE">Dashboard!$F$16</definedName>
    <definedName name="piotroski_f">PioAltZ!$M$11</definedName>
    <definedName name="price_fcf">Dashboard!$F$21</definedName>
    <definedName name="_xlnm.Print_Area" localSheetId="20">Assessment!$A$1:$J$114</definedName>
    <definedName name="_xlnm.Print_Area" localSheetId="18">Charts!$A$1:$Y$153</definedName>
    <definedName name="_xlnm.Print_Area" localSheetId="16">Competitors!$A$1:$V$57</definedName>
    <definedName name="_xlnm.Print_Area" localSheetId="1">Dashboard!$A$1:$M$40</definedName>
    <definedName name="_xlnm.Print_Area" localSheetId="4">'DCF Valuation'!$A$1:$M$84</definedName>
    <definedName name="_xlnm.Print_Area" localSheetId="8">EPV!$A$1:$T$61</definedName>
    <definedName name="_xlnm.Print_Area" localSheetId="6">'Graham Valuation'!$A$1:$M$34</definedName>
    <definedName name="_xlnm.Print_Area" localSheetId="10">NetNet!$A$1:$H$32</definedName>
    <definedName name="_xlnm.Print_Area" localSheetId="12">PioAltZ!$A$1:$O$83</definedName>
    <definedName name="_xlnm.Print_Area" localSheetId="21">PriceValueGraph!$A$1:$R$36</definedName>
    <definedName name="_xlnm.Print_Area" localSheetId="0">'Release notes'!$A$1:$I$22</definedName>
    <definedName name="_xlnm.Print_Area" localSheetId="3">Statements!$A$1:$S$92</definedName>
    <definedName name="PS">Dashboard!$F$17</definedName>
    <definedName name="shares">'DCF Valuation'!$B$78</definedName>
    <definedName name="Ticker">Statements!$A$5</definedName>
    <definedName name="Ticker2">Competitors!$D$8</definedName>
    <definedName name="Ticker3">Competitors!$E$8</definedName>
    <definedName name="Ticker4">Competitors!$F$8</definedName>
    <definedName name="Ticker5">Competitors!$G$8</definedName>
    <definedName name="Ticker6">Competitors!$H$8</definedName>
    <definedName name="user_alt">PioAltZ!$N$37:$O$43</definedName>
    <definedName name="user_assess">Assessment!$H$7:$H$8,Assessment!$H$11:$H$15,Assessment!$H$18:$H$21,Assessment!$G$22:$G$23,Assessment!$H$26,Assessment!$H$28:$H$31,Assessment!$G$37:$G$42,Assessment!$G$45:$G$52,Assessment!$G$55:$G$58,Assessment!$G$61:$G$63,Assessment!$A$95:$F$95</definedName>
    <definedName name="user_comp">Competitors!$D$8:$H$8</definedName>
    <definedName name="user_eps">'Graham Valuation'!$H$4</definedName>
    <definedName name="user_epv">EPV!$C$38:$D$60,EPV!$I$38:$J$55,EPV!$G$4</definedName>
    <definedName name="user_fcf">'DCF Valuation'!$J$3</definedName>
    <definedName name="user_graham_growth">'Graham Valuation'!$F$4</definedName>
    <definedName name="user_growth">'DCF Valuation'!$F$4</definedName>
    <definedName name="user_netnet">NetNet!$D$10:$D$23</definedName>
    <definedName name="user_shares">'DCF Valuation'!$D$4</definedName>
    <definedName name="user_statement_owner">Statements!$E$91:$S$91</definedName>
  </definedNames>
  <calcPr calcId="125725" calcMode="manual" calcCompleted="0" calcOnSave="0"/>
  <smartTagPr embed="1"/>
</workbook>
</file>

<file path=xl/calcChain.xml><?xml version="1.0" encoding="utf-8"?>
<calcChain xmlns="http://schemas.openxmlformats.org/spreadsheetml/2006/main">
  <c r="N153" i="54"/>
  <c r="O153"/>
  <c r="P153"/>
  <c r="Q153"/>
  <c r="R153"/>
  <c r="S153"/>
  <c r="T153"/>
  <c r="U153"/>
  <c r="V153"/>
  <c r="W153"/>
  <c r="X153"/>
  <c r="B153"/>
  <c r="C153"/>
  <c r="D153"/>
  <c r="E153"/>
  <c r="F153"/>
  <c r="G153"/>
  <c r="H153"/>
  <c r="I153"/>
  <c r="J153"/>
  <c r="K153"/>
  <c r="L153"/>
  <c r="N138"/>
  <c r="O138"/>
  <c r="P138"/>
  <c r="Q138"/>
  <c r="R138"/>
  <c r="S138"/>
  <c r="T138"/>
  <c r="U138"/>
  <c r="V138"/>
  <c r="W138"/>
  <c r="X138"/>
  <c r="B138"/>
  <c r="C138"/>
  <c r="D138"/>
  <c r="E138"/>
  <c r="F138"/>
  <c r="G138"/>
  <c r="H138"/>
  <c r="I138"/>
  <c r="J138"/>
  <c r="K138"/>
  <c r="L138"/>
  <c r="N123"/>
  <c r="O123"/>
  <c r="P123"/>
  <c r="Q123"/>
  <c r="R123"/>
  <c r="S123"/>
  <c r="T123"/>
  <c r="U123"/>
  <c r="V123"/>
  <c r="W123"/>
  <c r="X123"/>
  <c r="B123"/>
  <c r="C123"/>
  <c r="D123"/>
  <c r="E123"/>
  <c r="F123"/>
  <c r="G123"/>
  <c r="H123"/>
  <c r="I123"/>
  <c r="J123"/>
  <c r="K123"/>
  <c r="L123"/>
  <c r="N108"/>
  <c r="O108"/>
  <c r="B108"/>
  <c r="N93"/>
  <c r="O93"/>
  <c r="P93"/>
  <c r="Q93"/>
  <c r="R93"/>
  <c r="S93"/>
  <c r="T93"/>
  <c r="U93"/>
  <c r="V93"/>
  <c r="W93"/>
  <c r="X93"/>
  <c r="B93"/>
  <c r="N78"/>
  <c r="O78"/>
  <c r="P78"/>
  <c r="Q78"/>
  <c r="R78"/>
  <c r="S78"/>
  <c r="T78"/>
  <c r="U78"/>
  <c r="V78"/>
  <c r="W78"/>
  <c r="X78"/>
  <c r="B78"/>
  <c r="C78"/>
  <c r="D78"/>
  <c r="E78"/>
  <c r="F78"/>
  <c r="G78"/>
  <c r="H78"/>
  <c r="I78"/>
  <c r="J78"/>
  <c r="K78"/>
  <c r="L78"/>
  <c r="D30" i="53"/>
  <c r="D29"/>
  <c r="M75" i="79"/>
  <c r="M76"/>
  <c r="M77"/>
  <c r="M78"/>
  <c r="M79"/>
  <c r="M80"/>
  <c r="M81"/>
  <c r="M82"/>
  <c r="A31" i="85"/>
  <c r="A32"/>
  <c r="A33"/>
  <c r="A34"/>
  <c r="A35"/>
  <c r="A36"/>
  <c r="A37"/>
  <c r="A30"/>
  <c r="L3"/>
  <c r="M71" i="79"/>
  <c r="A15" i="66"/>
  <c r="A11"/>
  <c r="A12"/>
  <c r="A13"/>
  <c r="A14"/>
  <c r="A10"/>
  <c r="Q2" i="50"/>
  <c r="B3" i="84"/>
  <c r="C8" i="47"/>
  <c r="H18" i="81"/>
  <c r="G21"/>
  <c r="B156" i="59"/>
  <c r="C128"/>
  <c r="D128"/>
  <c r="E128"/>
  <c r="F128"/>
  <c r="G128"/>
  <c r="H128"/>
  <c r="I128"/>
  <c r="J128"/>
  <c r="K128"/>
  <c r="H48" i="81"/>
  <c r="K48"/>
  <c r="O61" i="75"/>
  <c r="P61"/>
  <c r="D3"/>
  <c r="D47"/>
  <c r="E3"/>
  <c r="E47"/>
  <c r="F3"/>
  <c r="F47"/>
  <c r="G3"/>
  <c r="G47"/>
  <c r="H3"/>
  <c r="H47"/>
  <c r="B48"/>
  <c r="B49"/>
  <c r="B50"/>
  <c r="B51"/>
  <c r="B52"/>
  <c r="B53"/>
  <c r="B54"/>
  <c r="B55"/>
  <c r="B56"/>
  <c r="B57"/>
  <c r="B58"/>
  <c r="B59"/>
  <c r="B60"/>
  <c r="B61"/>
  <c r="B62"/>
  <c r="B63"/>
  <c r="B64"/>
  <c r="B65"/>
  <c r="B66"/>
  <c r="B67"/>
  <c r="B68"/>
  <c r="B69"/>
  <c r="B70"/>
  <c r="B71"/>
  <c r="B72"/>
  <c r="B73"/>
  <c r="B74"/>
  <c r="B75"/>
  <c r="B76"/>
  <c r="B77"/>
  <c r="B78"/>
  <c r="B79"/>
  <c r="B80"/>
  <c r="B81"/>
  <c r="B82"/>
  <c r="B83"/>
  <c r="B84"/>
  <c r="B85"/>
  <c r="B86"/>
  <c r="C89"/>
  <c r="B94"/>
  <c r="J94"/>
  <c r="B95"/>
  <c r="J95"/>
  <c r="B96"/>
  <c r="J96"/>
  <c r="B97"/>
  <c r="J97"/>
  <c r="B98"/>
  <c r="J98"/>
  <c r="B99"/>
  <c r="J99"/>
  <c r="B100"/>
  <c r="J100"/>
  <c r="B101"/>
  <c r="J101"/>
  <c r="B102"/>
  <c r="J102"/>
  <c r="B103"/>
  <c r="J103"/>
  <c r="B104"/>
  <c r="J104"/>
  <c r="B105"/>
  <c r="J105"/>
  <c r="B106"/>
  <c r="J106"/>
  <c r="B107"/>
  <c r="J107"/>
  <c r="B108"/>
  <c r="J108"/>
  <c r="B109"/>
  <c r="J109"/>
  <c r="B110"/>
  <c r="J110"/>
  <c r="B111"/>
  <c r="J111"/>
  <c r="B112"/>
  <c r="J112"/>
  <c r="B113"/>
  <c r="J113"/>
  <c r="B114"/>
  <c r="J114"/>
  <c r="B115"/>
  <c r="J115"/>
  <c r="B116"/>
  <c r="J116"/>
  <c r="B117"/>
  <c r="J117"/>
  <c r="B118"/>
  <c r="J118"/>
  <c r="B119"/>
  <c r="J119"/>
  <c r="B120"/>
  <c r="J120"/>
  <c r="B121"/>
  <c r="J121"/>
  <c r="B122"/>
  <c r="J122"/>
  <c r="B123"/>
  <c r="J123"/>
  <c r="B124"/>
  <c r="J124"/>
  <c r="B125"/>
  <c r="J125"/>
  <c r="B126"/>
  <c r="J126"/>
  <c r="B127"/>
  <c r="J127"/>
  <c r="B128"/>
  <c r="J128"/>
  <c r="B129"/>
  <c r="J129"/>
  <c r="B130"/>
  <c r="J130"/>
  <c r="B131"/>
  <c r="J131"/>
  <c r="B132"/>
  <c r="J132"/>
  <c r="B136"/>
  <c r="B137"/>
  <c r="B12" i="47"/>
  <c r="B138" i="75"/>
  <c r="B13" i="47"/>
  <c r="B139" i="75"/>
  <c r="B140"/>
  <c r="B141"/>
  <c r="B16" i="47"/>
  <c r="B142" i="75"/>
  <c r="B143"/>
  <c r="B144"/>
  <c r="B145"/>
  <c r="B21" i="47"/>
  <c r="B146" i="75"/>
  <c r="B147"/>
  <c r="B148"/>
  <c r="B149"/>
  <c r="B150"/>
  <c r="B151"/>
  <c r="B28" i="47"/>
  <c r="B152" i="75"/>
  <c r="B153"/>
  <c r="B154"/>
  <c r="B155"/>
  <c r="B33" i="47"/>
  <c r="B156" i="75"/>
  <c r="B157"/>
  <c r="B158"/>
  <c r="B159"/>
  <c r="B38" i="47"/>
  <c r="B160" i="75"/>
  <c r="B161"/>
  <c r="B162"/>
  <c r="B163"/>
  <c r="B43" i="47"/>
  <c r="B164" i="75"/>
  <c r="B165"/>
  <c r="B166"/>
  <c r="B167"/>
  <c r="B47" i="47"/>
  <c r="B168" i="75"/>
  <c r="B169"/>
  <c r="B170"/>
  <c r="B171"/>
  <c r="B52" i="47"/>
  <c r="B172" i="75"/>
  <c r="B173"/>
  <c r="B174"/>
  <c r="B26" i="47"/>
  <c r="L1" i="78"/>
  <c r="L25"/>
  <c r="M10" i="79"/>
  <c r="L13" i="68"/>
  <c r="N2" i="53"/>
  <c r="N42"/>
  <c r="B27" i="43"/>
  <c r="B25"/>
  <c r="B24"/>
  <c r="B19" i="76"/>
  <c r="A14"/>
  <c r="A11"/>
  <c r="J13"/>
  <c r="J13" i="43"/>
  <c r="A13" i="76"/>
  <c r="K10"/>
  <c r="K10" i="43"/>
  <c r="A10" i="76"/>
  <c r="L16" i="43"/>
  <c r="J56" i="38"/>
  <c r="K41"/>
  <c r="B80"/>
  <c r="A74"/>
  <c r="A14" i="68"/>
  <c r="A15"/>
  <c r="A30"/>
  <c r="B22" i="84"/>
  <c r="I2" i="56"/>
  <c r="E90"/>
  <c r="E89"/>
  <c r="D94"/>
  <c r="E88"/>
  <c r="F94"/>
  <c r="N19" i="54"/>
  <c r="O19"/>
  <c r="B19"/>
  <c r="N64"/>
  <c r="O64"/>
  <c r="P64"/>
  <c r="Q64"/>
  <c r="R64"/>
  <c r="S64"/>
  <c r="T64"/>
  <c r="U64"/>
  <c r="V64"/>
  <c r="W64"/>
  <c r="X64"/>
  <c r="N49"/>
  <c r="O49"/>
  <c r="P49"/>
  <c r="Q49"/>
  <c r="R49"/>
  <c r="S49"/>
  <c r="T49"/>
  <c r="U49"/>
  <c r="V49"/>
  <c r="W49"/>
  <c r="X49"/>
  <c r="N34"/>
  <c r="O34"/>
  <c r="P34"/>
  <c r="Q34"/>
  <c r="R34"/>
  <c r="S34"/>
  <c r="T34"/>
  <c r="U34"/>
  <c r="V34"/>
  <c r="W34"/>
  <c r="X34"/>
  <c r="B64"/>
  <c r="C64"/>
  <c r="D64"/>
  <c r="E64"/>
  <c r="F64"/>
  <c r="G64"/>
  <c r="H64"/>
  <c r="I64"/>
  <c r="J64"/>
  <c r="K64"/>
  <c r="L64"/>
  <c r="B49"/>
  <c r="C49"/>
  <c r="D49"/>
  <c r="E49"/>
  <c r="F49"/>
  <c r="G49"/>
  <c r="H49"/>
  <c r="I49"/>
  <c r="J49"/>
  <c r="K49"/>
  <c r="L49"/>
  <c r="B34"/>
  <c r="C34"/>
  <c r="D34"/>
  <c r="E34"/>
  <c r="F34"/>
  <c r="G34"/>
  <c r="H34"/>
  <c r="I34"/>
  <c r="J34"/>
  <c r="K34"/>
  <c r="L34"/>
  <c r="C3" i="53"/>
  <c r="N3"/>
  <c r="M3"/>
  <c r="L3"/>
  <c r="K3"/>
  <c r="J3"/>
  <c r="I3"/>
  <c r="H3"/>
  <c r="G3"/>
  <c r="F3"/>
  <c r="E3"/>
  <c r="D3"/>
  <c r="A4" i="48"/>
  <c r="A3" i="47"/>
  <c r="C19" i="54"/>
  <c r="D19"/>
  <c r="E19"/>
  <c r="F19"/>
  <c r="G19"/>
  <c r="H19"/>
  <c r="I19"/>
  <c r="J19"/>
  <c r="K19"/>
  <c r="L19"/>
  <c r="F27" i="56"/>
  <c r="F15"/>
  <c r="G15"/>
  <c r="F8"/>
  <c r="G8"/>
  <c r="B11" i="47"/>
  <c r="B55"/>
  <c r="B50"/>
  <c r="B45"/>
  <c r="B40"/>
  <c r="B35"/>
  <c r="B31"/>
  <c r="B25"/>
  <c r="B19"/>
  <c r="B14"/>
  <c r="B56"/>
  <c r="B54"/>
  <c r="B51"/>
  <c r="B49"/>
  <c r="B46"/>
  <c r="B44"/>
  <c r="B42"/>
  <c r="B39"/>
  <c r="B37"/>
  <c r="B34"/>
  <c r="B32"/>
  <c r="B30"/>
  <c r="B27"/>
  <c r="B23"/>
  <c r="B22"/>
  <c r="B20"/>
  <c r="B18"/>
  <c r="B15"/>
  <c r="K3" i="70"/>
  <c r="K6"/>
  <c r="K7"/>
  <c r="K5"/>
  <c r="K4"/>
  <c r="K2"/>
  <c r="A3" i="48"/>
  <c r="B3" i="69"/>
  <c r="C3" i="75"/>
  <c r="C47"/>
  <c r="K47"/>
  <c r="L128" i="59"/>
  <c r="G30" i="81"/>
  <c r="G31"/>
  <c r="G32"/>
  <c r="G33"/>
  <c r="G29"/>
  <c r="A63" i="68"/>
  <c r="A43" i="38"/>
  <c r="A14"/>
  <c r="D66" i="59"/>
  <c r="B5" i="82"/>
  <c r="C11" i="69"/>
  <c r="A4" i="43"/>
  <c r="A2" i="47"/>
  <c r="A3" i="43"/>
  <c r="B2" i="54"/>
  <c r="A3" i="38"/>
  <c r="A3" i="81"/>
  <c r="P108" i="54"/>
  <c r="Q108"/>
  <c r="R108"/>
  <c r="S108"/>
  <c r="T108"/>
  <c r="U108"/>
  <c r="V108"/>
  <c r="W108"/>
  <c r="X108"/>
  <c r="P19"/>
  <c r="Q19"/>
  <c r="R19"/>
  <c r="S19"/>
  <c r="T19"/>
  <c r="U19"/>
  <c r="V19"/>
  <c r="W19"/>
  <c r="X19"/>
  <c r="B3"/>
  <c r="A77" i="68"/>
  <c r="A58" i="38"/>
  <c r="L150" i="54"/>
  <c r="L135"/>
  <c r="X105"/>
  <c r="X90"/>
  <c r="X75"/>
  <c r="X61"/>
  <c r="L46"/>
  <c r="X31"/>
  <c r="X16"/>
  <c r="X150"/>
  <c r="X135"/>
  <c r="X120"/>
  <c r="L120"/>
  <c r="L105"/>
  <c r="L90"/>
  <c r="L75"/>
  <c r="L61"/>
  <c r="X46"/>
  <c r="L31"/>
  <c r="L16"/>
  <c r="B2" i="79"/>
  <c r="M9" i="38"/>
  <c r="C93" i="54"/>
  <c r="C108"/>
  <c r="D108"/>
  <c r="E108"/>
  <c r="F108"/>
  <c r="G108"/>
  <c r="H108"/>
  <c r="I108"/>
  <c r="J108"/>
  <c r="D93"/>
  <c r="E93"/>
  <c r="F93"/>
  <c r="G93"/>
  <c r="H93"/>
  <c r="I93"/>
  <c r="J93"/>
  <c r="K93"/>
  <c r="L93"/>
  <c r="K108"/>
  <c r="L108"/>
  <c r="G15" i="75"/>
  <c r="G19"/>
  <c r="G23"/>
  <c r="G27"/>
  <c r="G31"/>
  <c r="G35"/>
  <c r="G39"/>
  <c r="G4"/>
  <c r="G11"/>
  <c r="H4"/>
  <c r="H8"/>
  <c r="H13"/>
  <c r="H17"/>
  <c r="H21"/>
  <c r="H25"/>
  <c r="H29"/>
  <c r="H33"/>
  <c r="H37"/>
  <c r="H41"/>
  <c r="G16"/>
  <c r="G20"/>
  <c r="G24"/>
  <c r="G28"/>
  <c r="G32"/>
  <c r="G36"/>
  <c r="G40"/>
  <c r="H5"/>
  <c r="H10"/>
  <c r="H14"/>
  <c r="H18"/>
  <c r="H22"/>
  <c r="H26"/>
  <c r="H30"/>
  <c r="H34"/>
  <c r="H38"/>
  <c r="H42"/>
  <c r="G10"/>
  <c r="G14"/>
  <c r="F11"/>
  <c r="F19"/>
  <c r="F27"/>
  <c r="F35"/>
  <c r="F7"/>
  <c r="F16"/>
  <c r="F24"/>
  <c r="F32"/>
  <c r="F40"/>
  <c r="F13"/>
  <c r="F29"/>
  <c r="F10"/>
  <c r="F26"/>
  <c r="F42"/>
  <c r="F25"/>
  <c r="F5"/>
  <c r="F38"/>
  <c r="F33"/>
  <c r="F30"/>
  <c r="D26"/>
  <c r="E11"/>
  <c r="D38"/>
  <c r="D12"/>
  <c r="D36"/>
  <c r="D33"/>
  <c r="D24"/>
  <c r="D28"/>
  <c r="E33"/>
  <c r="E38"/>
  <c r="D8"/>
  <c r="D35"/>
  <c r="E35"/>
  <c r="E24"/>
  <c r="D34"/>
  <c r="D14"/>
  <c r="D23"/>
  <c r="E39"/>
  <c r="E12"/>
  <c r="E10"/>
  <c r="D5"/>
  <c r="D15"/>
  <c r="D13"/>
  <c r="D39"/>
  <c r="E29"/>
  <c r="E19"/>
  <c r="E30"/>
  <c r="E20"/>
  <c r="E6"/>
  <c r="E5"/>
  <c r="E7"/>
  <c r="E18"/>
  <c r="D30"/>
  <c r="D10"/>
  <c r="E16"/>
  <c r="E40"/>
  <c r="E31"/>
  <c r="E28"/>
  <c r="G5"/>
  <c r="G17"/>
  <c r="G21"/>
  <c r="G25"/>
  <c r="G29"/>
  <c r="G33"/>
  <c r="G37"/>
  <c r="G41"/>
  <c r="G8"/>
  <c r="G13"/>
  <c r="H6"/>
  <c r="H11"/>
  <c r="H15"/>
  <c r="H19"/>
  <c r="H23"/>
  <c r="H27"/>
  <c r="H31"/>
  <c r="H35"/>
  <c r="H39"/>
  <c r="G7"/>
  <c r="G18"/>
  <c r="G22"/>
  <c r="G26"/>
  <c r="G30"/>
  <c r="G34"/>
  <c r="G38"/>
  <c r="G42"/>
  <c r="H7"/>
  <c r="H12"/>
  <c r="H16"/>
  <c r="H20"/>
  <c r="H24"/>
  <c r="H28"/>
  <c r="H32"/>
  <c r="H36"/>
  <c r="H40"/>
  <c r="G6"/>
  <c r="G12"/>
  <c r="F6"/>
  <c r="F15"/>
  <c r="F23"/>
  <c r="F31"/>
  <c r="F39"/>
  <c r="F12"/>
  <c r="F20"/>
  <c r="F28"/>
  <c r="F36"/>
  <c r="F4"/>
  <c r="F21"/>
  <c r="F37"/>
  <c r="F18"/>
  <c r="F34"/>
  <c r="F8"/>
  <c r="F41"/>
  <c r="F22"/>
  <c r="F17"/>
  <c r="F14"/>
  <c r="E37"/>
  <c r="E42"/>
  <c r="D4"/>
  <c r="E32"/>
  <c r="E14"/>
  <c r="E15"/>
  <c r="E22"/>
  <c r="E13"/>
  <c r="E23"/>
  <c r="D42"/>
  <c r="D20"/>
  <c r="D22"/>
  <c r="E8"/>
  <c r="D31"/>
  <c r="D7"/>
  <c r="E4"/>
  <c r="D16"/>
  <c r="D18"/>
  <c r="D6"/>
  <c r="D25"/>
  <c r="D37"/>
  <c r="E25"/>
  <c r="E17"/>
  <c r="D40"/>
  <c r="E26"/>
  <c r="D32"/>
  <c r="D19"/>
  <c r="D17"/>
  <c r="E21"/>
  <c r="E27"/>
  <c r="D11"/>
  <c r="E36"/>
  <c r="E34"/>
  <c r="D41"/>
  <c r="D21"/>
  <c r="E41"/>
  <c r="D27"/>
  <c r="D29"/>
  <c r="E9"/>
  <c r="D9"/>
  <c r="F9"/>
  <c r="H9"/>
  <c r="G9"/>
  <c r="L35" i="48"/>
  <c r="H9" i="53"/>
  <c r="K31" i="48"/>
  <c r="I47" i="53"/>
  <c r="G19" i="48"/>
  <c r="J29" i="59"/>
  <c r="K16" i="48"/>
  <c r="D3" i="59"/>
  <c r="J16" i="48"/>
  <c r="O20"/>
  <c r="N25"/>
  <c r="I23" i="59"/>
  <c r="F19" i="48"/>
  <c r="F20"/>
  <c r="C75" i="59"/>
  <c r="R26" i="48"/>
  <c r="M11" i="80"/>
  <c r="Q26" i="48"/>
  <c r="S60"/>
  <c r="Q19"/>
  <c r="J70"/>
  <c r="J28"/>
  <c r="F6" i="80"/>
  <c r="M24" i="48"/>
  <c r="F41"/>
  <c r="H50" i="53"/>
  <c r="N37" i="48"/>
  <c r="H34"/>
  <c r="L52" i="53"/>
  <c r="G14" i="80"/>
  <c r="I44" i="59"/>
  <c r="I4" i="70"/>
  <c r="M36" i="48"/>
  <c r="E70"/>
  <c r="N34"/>
  <c r="I76" i="59"/>
  <c r="F24" i="48"/>
  <c r="C6" i="75"/>
  <c r="P5" i="48"/>
  <c r="M9" i="53"/>
  <c r="P26" i="48"/>
  <c r="J4" i="80"/>
  <c r="F35" i="48"/>
  <c r="D9" i="80"/>
  <c r="E31" i="48"/>
  <c r="D18" i="59"/>
  <c r="E34" i="48"/>
  <c r="C3" i="59"/>
  <c r="H37" i="48"/>
  <c r="C95" i="59"/>
  <c r="G35" i="48"/>
  <c r="K27" i="59"/>
  <c r="L27" i="48"/>
  <c r="F52" i="53"/>
  <c r="L19" i="48"/>
  <c r="I101" i="59"/>
  <c r="M19" i="48"/>
  <c r="D2" i="80"/>
  <c r="I9" i="48"/>
  <c r="Q35"/>
  <c r="I11" i="59"/>
  <c r="L36" i="48"/>
  <c r="H11" i="80"/>
  <c r="G50" i="53"/>
  <c r="L57" i="48"/>
  <c r="I84"/>
  <c r="S84"/>
  <c r="D45" i="53"/>
  <c r="G43"/>
  <c r="C15" i="75"/>
  <c r="N21" i="48"/>
  <c r="E14" i="80"/>
  <c r="Q9" i="48"/>
  <c r="H45" i="59"/>
  <c r="J37" i="48"/>
  <c r="I45" i="59"/>
  <c r="I35" i="48"/>
  <c r="I93" i="59"/>
  <c r="H35" i="48"/>
  <c r="O9"/>
  <c r="K44" i="59"/>
  <c r="O24" i="48"/>
  <c r="C103" i="59"/>
  <c r="K37" i="48"/>
  <c r="H48"/>
  <c r="F28"/>
  <c r="K48" i="59"/>
  <c r="K25" i="48"/>
  <c r="K52" i="53"/>
  <c r="J25" i="48"/>
  <c r="H64"/>
  <c r="M16"/>
  <c r="P27"/>
  <c r="C19" i="75"/>
  <c r="P18" i="48"/>
  <c r="C4" i="80"/>
  <c r="F16"/>
  <c r="K11"/>
  <c r="S88" i="48"/>
  <c r="S54"/>
  <c r="K24" i="59"/>
  <c r="H57" i="48"/>
  <c r="K48" i="53"/>
  <c r="C21" i="75"/>
  <c r="D52" i="53"/>
  <c r="H56" i="48"/>
  <c r="J15" i="59"/>
  <c r="I62" i="48"/>
  <c r="H11" i="59"/>
  <c r="J24"/>
  <c r="J88" i="48"/>
  <c r="H80"/>
  <c r="C9" i="80"/>
  <c r="E7"/>
  <c r="E22" i="59"/>
  <c r="I68" i="48"/>
  <c r="K47" i="59"/>
  <c r="H12" i="80"/>
  <c r="E18" i="59"/>
  <c r="H15"/>
  <c r="M6" i="80"/>
  <c r="F82" i="48"/>
  <c r="F4" i="80"/>
  <c r="L76" i="48"/>
  <c r="M8" i="80"/>
  <c r="M83" i="48"/>
  <c r="D5" i="59"/>
  <c r="G56" i="48"/>
  <c r="R31"/>
  <c r="I70"/>
  <c r="O37"/>
  <c r="C25" i="75"/>
  <c r="K30" i="48"/>
  <c r="C21" i="59"/>
  <c r="G27" i="48"/>
  <c r="C13" i="59"/>
  <c r="F27" i="48"/>
  <c r="K6" i="80"/>
  <c r="I34" i="48"/>
  <c r="E9" i="53"/>
  <c r="J30" i="48"/>
  <c r="N59"/>
  <c r="N24"/>
  <c r="F2" i="80"/>
  <c r="I14" i="48"/>
  <c r="I64"/>
  <c r="H14"/>
  <c r="P7"/>
  <c r="M15" i="80"/>
  <c r="F37" i="48"/>
  <c r="H42" i="59"/>
  <c r="I31" i="48"/>
  <c r="I86" i="59"/>
  <c r="G49"/>
  <c r="E3"/>
  <c r="H43" i="48"/>
  <c r="H16" i="80"/>
  <c r="N50" i="53"/>
  <c r="H52" i="48"/>
  <c r="S58"/>
  <c r="P25"/>
  <c r="J43" i="53"/>
  <c r="Q34" i="48"/>
  <c r="G33" i="59"/>
  <c r="G34" i="48"/>
  <c r="G51" i="59"/>
  <c r="R19" i="48"/>
  <c r="M55" i="53"/>
  <c r="J36" i="48"/>
  <c r="D46" i="59"/>
  <c r="J26" i="48"/>
  <c r="D33" i="59"/>
  <c r="I24" i="48"/>
  <c r="F42" i="59"/>
  <c r="H24" i="48"/>
  <c r="C8" i="80"/>
  <c r="L28" i="48"/>
  <c r="N49" i="53"/>
  <c r="K26" i="48"/>
  <c r="M47" i="53"/>
  <c r="F14" i="48"/>
  <c r="M20"/>
  <c r="L3" i="80"/>
  <c r="H20" i="48"/>
  <c r="M51" i="53"/>
  <c r="R30" i="48"/>
  <c r="N52" i="53"/>
  <c r="K34" i="48"/>
  <c r="N51" i="53"/>
  <c r="K27" i="48"/>
  <c r="N57"/>
  <c r="I18" i="59"/>
  <c r="Q24" i="48"/>
  <c r="Q36"/>
  <c r="L11" i="80"/>
  <c r="G8"/>
  <c r="E74" i="48"/>
  <c r="J63"/>
  <c r="O30"/>
  <c r="E53" i="53"/>
  <c r="R18" i="48"/>
  <c r="G16" i="80"/>
  <c r="N28" i="48"/>
  <c r="C99" i="59"/>
  <c r="M26" i="48"/>
  <c r="S63"/>
  <c r="H18"/>
  <c r="L26"/>
  <c r="L53" i="53"/>
  <c r="M30" i="48"/>
  <c r="E10" i="80"/>
  <c r="E27" i="48"/>
  <c r="I8" i="80"/>
  <c r="M18" i="48"/>
  <c r="F45" i="53"/>
  <c r="F7" i="48"/>
  <c r="G45"/>
  <c r="N9"/>
  <c r="R24"/>
  <c r="C37" i="59"/>
  <c r="G36" i="48"/>
  <c r="E4" i="80"/>
  <c r="E28" i="48"/>
  <c r="I81"/>
  <c r="M52"/>
  <c r="L45"/>
  <c r="P16"/>
  <c r="F84"/>
  <c r="I3" i="59"/>
  <c r="F14"/>
  <c r="E5" i="80"/>
  <c r="C85" i="59"/>
  <c r="F41"/>
  <c r="G28"/>
  <c r="I3" i="70"/>
  <c r="K54" i="59"/>
  <c r="S83" i="48"/>
  <c r="K9" i="53"/>
  <c r="J74" i="48"/>
  <c r="F50" i="53"/>
  <c r="D17" i="59"/>
  <c r="R20" i="48"/>
  <c r="P28"/>
  <c r="K3" i="80"/>
  <c r="K7"/>
  <c r="N53" i="53"/>
  <c r="I3" i="80"/>
  <c r="L63" i="48"/>
  <c r="E12" i="59"/>
  <c r="E15"/>
  <c r="I72" i="48"/>
  <c r="C52" i="59"/>
  <c r="G31"/>
  <c r="F12"/>
  <c r="D9"/>
  <c r="H69" i="48"/>
  <c r="K20"/>
  <c r="O7"/>
  <c r="M37"/>
  <c r="L37"/>
  <c r="P36"/>
  <c r="O16"/>
  <c r="J31"/>
  <c r="E26"/>
  <c r="N27"/>
  <c r="G18"/>
  <c r="E58"/>
  <c r="I96" i="59"/>
  <c r="F54" i="53"/>
  <c r="E7" i="59"/>
  <c r="D51" i="53"/>
  <c r="M9" i="80"/>
  <c r="M53" i="53"/>
  <c r="R36" i="48"/>
  <c r="O19"/>
  <c r="K51" i="53"/>
  <c r="J9"/>
  <c r="E20" i="48"/>
  <c r="I48"/>
  <c r="Q27"/>
  <c r="J16" i="80"/>
  <c r="R25" i="48"/>
  <c r="O31"/>
  <c r="O35"/>
  <c r="K35"/>
  <c r="L25"/>
  <c r="E14"/>
  <c r="F36"/>
  <c r="E24"/>
  <c r="E54" i="53"/>
  <c r="I63" i="59"/>
  <c r="J57" i="48"/>
  <c r="I113" i="59"/>
  <c r="F59" i="48"/>
  <c r="F11" i="80"/>
  <c r="F9" i="48"/>
  <c r="I19"/>
  <c r="I16"/>
  <c r="I50" i="53"/>
  <c r="E25" i="59"/>
  <c r="K55" i="48"/>
  <c r="E47"/>
  <c r="L84"/>
  <c r="G14" i="59"/>
  <c r="F31" i="48"/>
  <c r="K8" i="59"/>
  <c r="H59" i="48"/>
  <c r="J12" i="80"/>
  <c r="J43" i="48"/>
  <c r="L5" i="80"/>
  <c r="F39" i="59"/>
  <c r="I55" i="48"/>
  <c r="G30"/>
  <c r="C28" i="59"/>
  <c r="E14"/>
  <c r="F69" i="48"/>
  <c r="C29" i="59"/>
  <c r="K5" i="80"/>
  <c r="J6"/>
  <c r="K47" i="48"/>
  <c r="H5" i="59"/>
  <c r="N20" i="48"/>
  <c r="P24"/>
  <c r="Q16"/>
  <c r="O26"/>
  <c r="O5"/>
  <c r="O25"/>
  <c r="H36"/>
  <c r="I36"/>
  <c r="F30"/>
  <c r="N18"/>
  <c r="I54" i="59"/>
  <c r="G26" i="48"/>
  <c r="N7"/>
  <c r="C17" i="75"/>
  <c r="E29" i="59"/>
  <c r="A34" i="56"/>
  <c r="G5" i="80"/>
  <c r="R5" i="48"/>
  <c r="D55" i="53"/>
  <c r="Q28" i="48"/>
  <c r="R37"/>
  <c r="Q37"/>
  <c r="R9"/>
  <c r="R28"/>
  <c r="K36"/>
  <c r="M31"/>
  <c r="L31"/>
  <c r="E25"/>
  <c r="H7"/>
  <c r="C98" i="59"/>
  <c r="K14" i="48"/>
  <c r="J36" i="59"/>
  <c r="E45" i="53"/>
  <c r="K75" i="48"/>
  <c r="K74"/>
  <c r="Q14"/>
  <c r="P30"/>
  <c r="Q30"/>
  <c r="I43" i="53"/>
  <c r="K4" i="80"/>
  <c r="M46" i="53"/>
  <c r="M55" i="48"/>
  <c r="H10" i="80"/>
  <c r="F12"/>
  <c r="G6" i="59"/>
  <c r="R7" i="48"/>
  <c r="C74" i="59"/>
  <c r="M7" i="48"/>
  <c r="C102" i="59"/>
  <c r="C18"/>
  <c r="L74" i="48"/>
  <c r="C100" i="59"/>
  <c r="C5" i="75"/>
  <c r="D12" i="80"/>
  <c r="J30" i="59"/>
  <c r="G6" i="80"/>
  <c r="E87" i="48"/>
  <c r="H79"/>
  <c r="I94" i="59"/>
  <c r="K12" i="80"/>
  <c r="L59" i="48"/>
  <c r="C27" i="75"/>
  <c r="C67" i="59"/>
  <c r="D13"/>
  <c r="H31"/>
  <c r="H46"/>
  <c r="H19"/>
  <c r="C65"/>
  <c r="G51" i="48"/>
  <c r="C101" i="59"/>
  <c r="E8"/>
  <c r="G45"/>
  <c r="J72" i="48"/>
  <c r="N82"/>
  <c r="G24" i="59"/>
  <c r="I88" i="48"/>
  <c r="C54" i="59"/>
  <c r="G75" i="48"/>
  <c r="E19"/>
  <c r="H26" i="59"/>
  <c r="H26" i="48"/>
  <c r="L45" i="53"/>
  <c r="G24" i="48"/>
  <c r="J8" i="80"/>
  <c r="L9" i="48"/>
  <c r="P14"/>
  <c r="G12" i="80"/>
  <c r="Q7" i="48"/>
  <c r="G47" i="53"/>
  <c r="O34" i="48"/>
  <c r="K42" i="59"/>
  <c r="N31" i="48"/>
  <c r="I16" i="80"/>
  <c r="G25" i="48"/>
  <c r="L85"/>
  <c r="F48" i="59"/>
  <c r="O36" i="48"/>
  <c r="I37"/>
  <c r="E42"/>
  <c r="K50" i="53"/>
  <c r="K57" i="48"/>
  <c r="B104" i="68"/>
  <c r="J8" i="59"/>
  <c r="I80"/>
  <c r="E49" i="48"/>
  <c r="I53" i="59"/>
  <c r="C14" i="80"/>
  <c r="M48" i="53"/>
  <c r="I61" i="48"/>
  <c r="C10" i="59"/>
  <c r="J45" i="53"/>
  <c r="L9"/>
  <c r="P19" i="48"/>
  <c r="E35"/>
  <c r="H20" i="59"/>
  <c r="M61" i="48"/>
  <c r="E19" i="59"/>
  <c r="I47"/>
  <c r="G19"/>
  <c r="K53" i="53"/>
  <c r="I5" i="59"/>
  <c r="I69" i="48"/>
  <c r="I51"/>
  <c r="I65" i="59"/>
  <c r="D28"/>
  <c r="G3"/>
  <c r="J39"/>
  <c r="K84" i="48"/>
  <c r="K10" i="59"/>
  <c r="D48" i="53"/>
  <c r="J3" i="80"/>
  <c r="F49" i="59"/>
  <c r="I10" i="80"/>
  <c r="K41" i="48"/>
  <c r="E41" i="59"/>
  <c r="C87"/>
  <c r="D51"/>
  <c r="J19"/>
  <c r="L7" i="80"/>
  <c r="K36" i="59"/>
  <c r="H81" i="48"/>
  <c r="E52" i="59"/>
  <c r="N83" i="48"/>
  <c r="K70"/>
  <c r="L52"/>
  <c r="G38" i="59"/>
  <c r="K23"/>
  <c r="M49" i="48"/>
  <c r="I46" i="53"/>
  <c r="D24" i="59"/>
  <c r="D26"/>
  <c r="C14" i="75"/>
  <c r="C5" i="59"/>
  <c r="E82" i="48"/>
  <c r="E38" i="59"/>
  <c r="H8" i="80"/>
  <c r="C77" i="59"/>
  <c r="H10"/>
  <c r="L69" i="48"/>
  <c r="E47" i="59"/>
  <c r="K54" i="53"/>
  <c r="E54" i="59"/>
  <c r="G79" i="48"/>
  <c r="C12" i="59"/>
  <c r="H51" i="48"/>
  <c r="G49" i="53"/>
  <c r="K43" i="59"/>
  <c r="H14"/>
  <c r="C107"/>
  <c r="C86"/>
  <c r="D4" i="80"/>
  <c r="M52" i="53"/>
  <c r="J9" i="59"/>
  <c r="M62" i="48"/>
  <c r="M45" i="53"/>
  <c r="Q20" i="48"/>
  <c r="H82"/>
  <c r="H43" i="53"/>
  <c r="G80" i="48"/>
  <c r="D40" i="59"/>
  <c r="K17"/>
  <c r="C16" i="75"/>
  <c r="K52" i="48"/>
  <c r="I14" i="59"/>
  <c r="J53" i="53"/>
  <c r="C26" i="75"/>
  <c r="G41" i="59"/>
  <c r="G57" i="48"/>
  <c r="G20" i="59"/>
  <c r="G55" i="48"/>
  <c r="M43"/>
  <c r="J9"/>
  <c r="H34" i="59"/>
  <c r="I52" i="53"/>
  <c r="L49" i="48"/>
  <c r="M3" i="80"/>
  <c r="P9" i="48"/>
  <c r="J64"/>
  <c r="C53" i="59"/>
  <c r="N16" i="48"/>
  <c r="C14" i="59"/>
  <c r="M27" i="48"/>
  <c r="K7"/>
  <c r="F16"/>
  <c r="D6" i="80"/>
  <c r="C42" i="59"/>
  <c r="I79"/>
  <c r="H27" i="48"/>
  <c r="G15" i="59"/>
  <c r="G28" i="48"/>
  <c r="G9"/>
  <c r="R14"/>
  <c r="Q5"/>
  <c r="R34"/>
  <c r="F26"/>
  <c r="J62"/>
  <c r="F8" i="59"/>
  <c r="N55" i="53"/>
  <c r="I22" i="59"/>
  <c r="G37" i="48"/>
  <c r="M75"/>
  <c r="K77"/>
  <c r="G62"/>
  <c r="F25"/>
  <c r="J25" i="59"/>
  <c r="F43" i="48"/>
  <c r="F47"/>
  <c r="C20" i="59"/>
  <c r="I83"/>
  <c r="B2" i="68"/>
  <c r="N88" i="48"/>
  <c r="J27"/>
  <c r="E7"/>
  <c r="G14"/>
  <c r="J79"/>
  <c r="C83" i="59"/>
  <c r="D53" i="53"/>
  <c r="F87" i="48"/>
  <c r="Q25"/>
  <c r="K76"/>
  <c r="H55" i="53"/>
  <c r="F18" i="48"/>
  <c r="C24" i="75"/>
  <c r="L20" i="48"/>
  <c r="Q18"/>
  <c r="M34"/>
  <c r="J14"/>
  <c r="J19"/>
  <c r="C9" i="59"/>
  <c r="C35"/>
  <c r="I8"/>
  <c r="E16" i="48"/>
  <c r="C3" i="80"/>
  <c r="I75" i="59"/>
  <c r="G84" i="48"/>
  <c r="I98" i="59"/>
  <c r="J82" i="48"/>
  <c r="I21" i="59"/>
  <c r="B5" i="68"/>
  <c r="G50" i="59"/>
  <c r="H7"/>
  <c r="S55" i="48"/>
  <c r="H48" i="59"/>
  <c r="C23"/>
  <c r="I74" i="48"/>
  <c r="I106" i="59"/>
  <c r="I9"/>
  <c r="E12" i="80"/>
  <c r="I95" i="59"/>
  <c r="J20" i="48"/>
  <c r="Q31"/>
  <c r="C5" i="80"/>
  <c r="I107" i="59"/>
  <c r="C48"/>
  <c r="F76" i="48"/>
  <c r="D8" i="80"/>
  <c r="H9"/>
  <c r="K9"/>
  <c r="F25" i="59"/>
  <c r="G68" i="48"/>
  <c r="J51" i="53"/>
  <c r="J52" i="59"/>
  <c r="I12"/>
  <c r="I49"/>
  <c r="E46" i="53"/>
  <c r="E41" i="48"/>
  <c r="E36" i="81"/>
  <c r="B92" i="68"/>
  <c r="L42" i="48"/>
  <c r="I36" i="59"/>
  <c r="C38" i="75"/>
  <c r="I15" i="59"/>
  <c r="E54" i="48"/>
  <c r="J10" i="80"/>
  <c r="F62" i="48"/>
  <c r="I41" i="59"/>
  <c r="J20"/>
  <c r="C49"/>
  <c r="M70" i="48"/>
  <c r="G44" i="59"/>
  <c r="L68" i="48"/>
  <c r="S64"/>
  <c r="S69"/>
  <c r="H49" i="53"/>
  <c r="G36" i="59"/>
  <c r="C66"/>
  <c r="F50"/>
  <c r="E80" i="48"/>
  <c r="E51" i="53"/>
  <c r="K32" i="59"/>
  <c r="I9" i="53"/>
  <c r="H9" i="48"/>
  <c r="S82"/>
  <c r="C29" i="75"/>
  <c r="D4" i="59"/>
  <c r="M50" i="53"/>
  <c r="G40" i="59"/>
  <c r="H49"/>
  <c r="I49" i="53"/>
  <c r="C92" i="59"/>
  <c r="F32"/>
  <c r="E23"/>
  <c r="D49" i="53"/>
  <c r="E11" i="80"/>
  <c r="J84" i="48"/>
  <c r="C22" i="75"/>
  <c r="G30" i="59"/>
  <c r="J23"/>
  <c r="J46"/>
  <c r="F85" i="48"/>
  <c r="F72"/>
  <c r="G83"/>
  <c r="L55"/>
  <c r="D30" i="59"/>
  <c r="I77"/>
  <c r="F43"/>
  <c r="C11"/>
  <c r="E56" i="48"/>
  <c r="J50"/>
  <c r="K43"/>
  <c r="G52" i="53"/>
  <c r="H41" i="59"/>
  <c r="C36" i="75"/>
  <c r="K51" i="48"/>
  <c r="D54" i="59"/>
  <c r="L43" i="48"/>
  <c r="S43"/>
  <c r="I30" i="59"/>
  <c r="G59" i="48"/>
  <c r="E5"/>
  <c r="E40" i="59"/>
  <c r="C36"/>
  <c r="H22"/>
  <c r="F13"/>
  <c r="F56" i="48"/>
  <c r="K14" i="80"/>
  <c r="I33" i="59"/>
  <c r="F33"/>
  <c r="K68" i="48"/>
  <c r="K72"/>
  <c r="F31" i="59"/>
  <c r="N9" i="53"/>
  <c r="C44" i="59"/>
  <c r="I109"/>
  <c r="J33"/>
  <c r="K43" i="53"/>
  <c r="K5" i="59"/>
  <c r="I112"/>
  <c r="G45" i="53"/>
  <c r="F20" i="59"/>
  <c r="I100"/>
  <c r="N45" i="53"/>
  <c r="M51" i="48"/>
  <c r="E11" i="59"/>
  <c r="J11" i="80"/>
  <c r="G32" i="59"/>
  <c r="K13"/>
  <c r="J49" i="53"/>
  <c r="I4" i="59"/>
  <c r="G71" i="48"/>
  <c r="M74"/>
  <c r="I55" i="53"/>
  <c r="C91" i="59"/>
  <c r="I39"/>
  <c r="H51"/>
  <c r="H71" i="48"/>
  <c r="I43"/>
  <c r="H40" i="59"/>
  <c r="C11" i="80"/>
  <c r="F53" i="59"/>
  <c r="K51"/>
  <c r="I82"/>
  <c r="N47" i="53"/>
  <c r="F7" i="59"/>
  <c r="I11" i="80"/>
  <c r="K60" i="48"/>
  <c r="M85"/>
  <c r="C19" i="59"/>
  <c r="C10" i="80"/>
  <c r="J7" i="48"/>
  <c r="E21" i="59"/>
  <c r="D37"/>
  <c r="K16" i="80"/>
  <c r="E9" i="59"/>
  <c r="K69" i="48"/>
  <c r="K2" i="80"/>
  <c r="I70" i="59"/>
  <c r="G54" i="48"/>
  <c r="J11" i="59"/>
  <c r="G26"/>
  <c r="S51" i="48"/>
  <c r="F61"/>
  <c r="J46" i="53"/>
  <c r="H28" i="59"/>
  <c r="F18"/>
  <c r="C40" i="75"/>
  <c r="I7" i="59"/>
  <c r="H53"/>
  <c r="F63" i="48"/>
  <c r="C84" i="59"/>
  <c r="J40"/>
  <c r="C30"/>
  <c r="G9" i="53"/>
  <c r="H52"/>
  <c r="H42" i="48"/>
  <c r="N47"/>
  <c r="I35" i="59"/>
  <c r="G3" i="80"/>
  <c r="F29" i="59"/>
  <c r="I103"/>
  <c r="S68" i="48"/>
  <c r="I71"/>
  <c r="E85"/>
  <c r="K26" i="59"/>
  <c r="G23"/>
  <c r="H33"/>
  <c r="H83" i="48"/>
  <c r="M41"/>
  <c r="G43"/>
  <c r="N74"/>
  <c r="F37" i="59"/>
  <c r="E76" i="48"/>
  <c r="K49" i="59"/>
  <c r="J48" i="48"/>
  <c r="F10" i="59"/>
  <c r="H5" i="80"/>
  <c r="I73" i="59"/>
  <c r="H13"/>
  <c r="H24"/>
  <c r="C97"/>
  <c r="K79" i="48"/>
  <c r="F34" i="59"/>
  <c r="G58" i="48"/>
  <c r="I51" i="53"/>
  <c r="C37" i="75"/>
  <c r="S71" i="48"/>
  <c r="M77"/>
  <c r="J5" i="59"/>
  <c r="I29"/>
  <c r="I102"/>
  <c r="G21"/>
  <c r="H30" i="48"/>
  <c r="I30"/>
  <c r="S87"/>
  <c r="E36"/>
  <c r="H18" i="59"/>
  <c r="F34" i="48"/>
  <c r="I50"/>
  <c r="H25"/>
  <c r="C7" i="80"/>
  <c r="L18" i="48"/>
  <c r="E43" i="53"/>
  <c r="J18" i="48"/>
  <c r="G20"/>
  <c r="C15" i="59"/>
  <c r="O28" i="48"/>
  <c r="M82"/>
  <c r="M35"/>
  <c r="N79"/>
  <c r="S77"/>
  <c r="C24" i="59"/>
  <c r="H3" i="80"/>
  <c r="L2"/>
  <c r="E2"/>
  <c r="L82" i="48"/>
  <c r="G35" i="59"/>
  <c r="J56" i="48"/>
  <c r="D9" i="53"/>
  <c r="D12" i="59"/>
  <c r="E17"/>
  <c r="G37"/>
  <c r="D44"/>
  <c r="I40"/>
  <c r="F9" i="80"/>
  <c r="G4"/>
  <c r="E37" i="59"/>
  <c r="I59" i="48"/>
  <c r="K53" i="59"/>
  <c r="L72" i="48"/>
  <c r="G61"/>
  <c r="G82"/>
  <c r="J17" i="59"/>
  <c r="N63" i="48"/>
  <c r="L46" i="53"/>
  <c r="E36" i="59"/>
  <c r="I104"/>
  <c r="E49" i="53"/>
  <c r="H49" i="48"/>
  <c r="F54"/>
  <c r="C51" i="59"/>
  <c r="F16"/>
  <c r="E4"/>
  <c r="K40"/>
  <c r="G52" i="48"/>
  <c r="I68" i="59"/>
  <c r="D34"/>
  <c r="C79"/>
  <c r="F54"/>
  <c r="I2" i="80"/>
  <c r="G49" i="48"/>
  <c r="J69"/>
  <c r="K30" i="59"/>
  <c r="J55" i="48"/>
  <c r="S72"/>
  <c r="H30" i="59"/>
  <c r="D47" i="53"/>
  <c r="L54" i="48"/>
  <c r="M16" i="80"/>
  <c r="N49" i="48"/>
  <c r="E48" i="53"/>
  <c r="H87" i="48"/>
  <c r="F9" i="59"/>
  <c r="M80" i="48"/>
  <c r="E46" i="59"/>
  <c r="H76" i="48"/>
  <c r="D20" i="59"/>
  <c r="S85" i="48"/>
  <c r="E68"/>
  <c r="I108" i="59"/>
  <c r="H75" i="48"/>
  <c r="J45"/>
  <c r="C34" i="75"/>
  <c r="I87" i="59"/>
  <c r="K8" i="80"/>
  <c r="K9" i="59"/>
  <c r="J61" i="48"/>
  <c r="E24" i="59"/>
  <c r="I20"/>
  <c r="K45" i="53"/>
  <c r="H2" i="80"/>
  <c r="S75" i="48"/>
  <c r="I110" i="59"/>
  <c r="J42"/>
  <c r="E8" i="80"/>
  <c r="M50" i="48"/>
  <c r="G77"/>
  <c r="K45"/>
  <c r="G7" i="80"/>
  <c r="N68" i="48"/>
  <c r="L9" i="80"/>
  <c r="I89" i="59"/>
  <c r="L50" i="48"/>
  <c r="I69" i="59"/>
  <c r="D27"/>
  <c r="L16" i="80"/>
  <c r="I45" i="48"/>
  <c r="N71"/>
  <c r="C41" i="59"/>
  <c r="I111"/>
  <c r="G87" i="48"/>
  <c r="J71"/>
  <c r="K55" i="53"/>
  <c r="F57" i="48"/>
  <c r="K10" i="80"/>
  <c r="D23" i="59"/>
  <c r="E33"/>
  <c r="F77" i="48"/>
  <c r="E28" i="59"/>
  <c r="J85" i="48"/>
  <c r="H16" i="59"/>
  <c r="K81" i="48"/>
  <c r="N62"/>
  <c r="H61"/>
  <c r="F38" i="59"/>
  <c r="M81" i="48"/>
  <c r="I52"/>
  <c r="K21" i="59"/>
  <c r="J7" i="80"/>
  <c r="E51" i="59"/>
  <c r="G85" i="48"/>
  <c r="F27" i="59"/>
  <c r="G48" i="53"/>
  <c r="C4" i="59"/>
  <c r="I41" i="48"/>
  <c r="M12" i="80"/>
  <c r="H50" i="59"/>
  <c r="I14" i="80"/>
  <c r="D50" i="59"/>
  <c r="F45"/>
  <c r="K19"/>
  <c r="K33"/>
  <c r="I74"/>
  <c r="K47" i="53"/>
  <c r="L54"/>
  <c r="E50"/>
  <c r="M84" i="48"/>
  <c r="I54" i="53"/>
  <c r="I66" i="59"/>
  <c r="F48" i="48"/>
  <c r="K80"/>
  <c r="J47"/>
  <c r="E64"/>
  <c r="D47" i="59"/>
  <c r="I79" i="48"/>
  <c r="E5" i="59"/>
  <c r="M23" i="80"/>
  <c r="N45" i="48"/>
  <c r="G11" i="59"/>
  <c r="L71" i="48"/>
  <c r="E62"/>
  <c r="C46" i="59"/>
  <c r="M60" i="48"/>
  <c r="E88"/>
  <c r="I97" i="59"/>
  <c r="C34"/>
  <c r="G18"/>
  <c r="F4"/>
  <c r="G52"/>
  <c r="G42" i="48"/>
  <c r="D14" i="59"/>
  <c r="M69" i="48"/>
  <c r="I27" i="59"/>
  <c r="C76"/>
  <c r="L12" i="80"/>
  <c r="E57" i="48"/>
  <c r="L51"/>
  <c r="J81"/>
  <c r="G48"/>
  <c r="E42" i="59"/>
  <c r="L64" i="48"/>
  <c r="F42"/>
  <c r="J87"/>
  <c r="K88"/>
  <c r="F55" i="53"/>
  <c r="C31" i="59"/>
  <c r="G42"/>
  <c r="C106"/>
  <c r="F14" i="80"/>
  <c r="F3" i="59"/>
  <c r="C26"/>
  <c r="C104"/>
  <c r="K59" i="48"/>
  <c r="D52" i="59"/>
  <c r="J44"/>
  <c r="I64"/>
  <c r="F8" i="80"/>
  <c r="D14"/>
  <c r="J48" i="59"/>
  <c r="H21"/>
  <c r="J35"/>
  <c r="L79" i="48"/>
  <c r="E72"/>
  <c r="F51"/>
  <c r="J60"/>
  <c r="C33" i="59"/>
  <c r="I2" i="70"/>
  <c r="G76" i="48"/>
  <c r="N85"/>
  <c r="C25" i="59"/>
  <c r="N54" i="48"/>
  <c r="M7" i="80"/>
  <c r="J52" i="48"/>
  <c r="L62"/>
  <c r="L88"/>
  <c r="F58"/>
  <c r="H58"/>
  <c r="C72" i="59"/>
  <c r="I42"/>
  <c r="E49"/>
  <c r="F51" i="53"/>
  <c r="S76" i="48"/>
  <c r="L77"/>
  <c r="F79"/>
  <c r="B96" i="68"/>
  <c r="J27" i="59"/>
  <c r="G8"/>
  <c r="N60" i="48"/>
  <c r="F70"/>
  <c r="N55"/>
  <c r="H60"/>
  <c r="F22" i="59"/>
  <c r="G7"/>
  <c r="D35"/>
  <c r="C4" i="75"/>
  <c r="I80" i="48"/>
  <c r="C43" i="59"/>
  <c r="L41" i="48"/>
  <c r="K34" i="59"/>
  <c r="M48" i="48"/>
  <c r="J68"/>
  <c r="I26" i="59"/>
  <c r="S49" i="48"/>
  <c r="E44" i="59"/>
  <c r="G50" i="48"/>
  <c r="O27"/>
  <c r="K15" i="59"/>
  <c r="E30" i="48"/>
  <c r="I7"/>
  <c r="C80" i="59"/>
  <c r="J26"/>
  <c r="H31" i="48"/>
  <c r="E3" i="80"/>
  <c r="P35" i="48"/>
  <c r="K18"/>
  <c r="I84" i="59"/>
  <c r="F55" i="48"/>
  <c r="D31" i="59"/>
  <c r="F7" i="80"/>
  <c r="N48" i="53"/>
  <c r="I46" i="59"/>
  <c r="I20" i="48"/>
  <c r="E75"/>
  <c r="I18"/>
  <c r="M14" i="80"/>
  <c r="K49" i="53"/>
  <c r="C50" i="59"/>
  <c r="L24" i="48"/>
  <c r="L49" i="53"/>
  <c r="L34" i="48"/>
  <c r="J9" i="80"/>
  <c r="J48" i="53"/>
  <c r="S57" i="48"/>
  <c r="G9" i="80"/>
  <c r="H25" i="59"/>
  <c r="J77" i="48"/>
  <c r="I48" i="59"/>
  <c r="D43" i="53"/>
  <c r="P20" i="48"/>
  <c r="P37"/>
  <c r="I28"/>
  <c r="K24"/>
  <c r="J2" i="80"/>
  <c r="C18" i="75"/>
  <c r="C16" i="80"/>
  <c r="G10" i="59"/>
  <c r="C31" i="75"/>
  <c r="C70" i="59"/>
  <c r="I71"/>
  <c r="K83" i="48"/>
  <c r="G17" i="59"/>
  <c r="M63" i="48"/>
  <c r="I99" i="59"/>
  <c r="H50" i="48"/>
  <c r="E31" i="59"/>
  <c r="I82" i="48"/>
  <c r="G22" i="59"/>
  <c r="J54"/>
  <c r="L56" i="48"/>
  <c r="H77"/>
  <c r="I49"/>
  <c r="C69" i="59"/>
  <c r="M25" i="48"/>
  <c r="D46" i="53"/>
  <c r="D39" i="59"/>
  <c r="L47" i="48"/>
  <c r="E52"/>
  <c r="E69"/>
  <c r="G47"/>
  <c r="C7" i="59"/>
  <c r="H54"/>
  <c r="G72" i="48"/>
  <c r="J41" i="59"/>
  <c r="J38"/>
  <c r="C16"/>
  <c r="D16"/>
  <c r="I85" i="48"/>
  <c r="F46" i="59"/>
  <c r="I24"/>
  <c r="C22"/>
  <c r="J49" i="48"/>
  <c r="J13" i="59"/>
  <c r="M47" i="48"/>
  <c r="F51" i="59"/>
  <c r="L48" i="48"/>
  <c r="N42"/>
  <c r="N69"/>
  <c r="C8" i="59"/>
  <c r="I88"/>
  <c r="E47" i="53"/>
  <c r="E71" i="48"/>
  <c r="S81"/>
  <c r="L8" i="80"/>
  <c r="D22" i="59"/>
  <c r="J3"/>
  <c r="I7" i="80"/>
  <c r="C94" i="59"/>
  <c r="M72" i="48"/>
  <c r="E61"/>
  <c r="J47" i="59"/>
  <c r="J42" i="48"/>
  <c r="I12" i="80"/>
  <c r="S45" i="48"/>
  <c r="F83"/>
  <c r="F80"/>
  <c r="C35" i="75"/>
  <c r="N72" i="48"/>
  <c r="O14"/>
  <c r="H4" i="80"/>
  <c r="D16"/>
  <c r="I53" i="53"/>
  <c r="G53"/>
  <c r="L58" i="48"/>
  <c r="N50"/>
  <c r="K41" i="59"/>
  <c r="H39"/>
  <c r="E77" i="48"/>
  <c r="S79"/>
  <c r="J50" i="59"/>
  <c r="N43" i="48"/>
  <c r="E45" i="59"/>
  <c r="S74" i="48"/>
  <c r="E60"/>
  <c r="H3" i="59"/>
  <c r="F60" i="48"/>
  <c r="G34" i="59"/>
  <c r="I25"/>
  <c r="G13"/>
  <c r="H85" i="48"/>
  <c r="D32" i="59"/>
  <c r="K3"/>
  <c r="J41" i="48"/>
  <c r="K62"/>
  <c r="H14" i="80"/>
  <c r="H9" i="59"/>
  <c r="F68" i="48"/>
  <c r="F9" i="53"/>
  <c r="C8" i="69"/>
  <c r="H63" i="48"/>
  <c r="L14"/>
  <c r="G7"/>
  <c r="C12" i="80"/>
  <c r="K49" i="48"/>
  <c r="I38" i="59"/>
  <c r="L51" i="53"/>
  <c r="I81" i="59"/>
  <c r="D10"/>
  <c r="J24" i="48"/>
  <c r="H84"/>
  <c r="I57"/>
  <c r="I78" i="59"/>
  <c r="F53" i="53"/>
  <c r="H47" i="48"/>
  <c r="G2" i="80"/>
  <c r="G55" i="53"/>
  <c r="E18" i="48"/>
  <c r="F19" i="59"/>
  <c r="G63" i="48"/>
  <c r="K82"/>
  <c r="L4" i="80"/>
  <c r="L43" i="53"/>
  <c r="B3" i="59"/>
  <c r="H45" i="53"/>
  <c r="C68" i="59"/>
  <c r="L55" i="53"/>
  <c r="D41" i="59"/>
  <c r="F49" i="48"/>
  <c r="K29" i="59"/>
  <c r="C42" i="75"/>
  <c r="F10" i="80"/>
  <c r="M58" i="48"/>
  <c r="S59"/>
  <c r="H45"/>
  <c r="H43" i="59"/>
  <c r="N70" i="48"/>
  <c r="F46" i="53"/>
  <c r="M68" i="48"/>
  <c r="D7" i="59"/>
  <c r="G4"/>
  <c r="C39"/>
  <c r="E83" i="48"/>
  <c r="N58"/>
  <c r="J49" i="59"/>
  <c r="K14"/>
  <c r="I43"/>
  <c r="G51" i="53"/>
  <c r="J35" i="48"/>
  <c r="J51"/>
  <c r="F35" i="59"/>
  <c r="G41" i="48"/>
  <c r="E35" i="59"/>
  <c r="D8"/>
  <c r="C7" i="75"/>
  <c r="G46" i="59"/>
  <c r="J55" i="53"/>
  <c r="K64" i="48"/>
  <c r="I76"/>
  <c r="H35" i="59"/>
  <c r="H38"/>
  <c r="I34"/>
  <c r="N80" i="48"/>
  <c r="C96" i="59"/>
  <c r="J14" i="80"/>
  <c r="C45" i="59"/>
  <c r="F28"/>
  <c r="M43" i="53"/>
  <c r="J75" i="48"/>
  <c r="I52" i="59"/>
  <c r="N77" i="48"/>
  <c r="J5" i="80"/>
  <c r="C23" i="75"/>
  <c r="K85" i="48"/>
  <c r="J59"/>
  <c r="H70"/>
  <c r="J83"/>
  <c r="L87"/>
  <c r="I54"/>
  <c r="H48" i="53"/>
  <c r="D45" i="59"/>
  <c r="E32"/>
  <c r="L83" i="48"/>
  <c r="I32" i="59"/>
  <c r="M87" i="48"/>
  <c r="J47" i="53"/>
  <c r="E20" i="59"/>
  <c r="F52" i="48"/>
  <c r="F52" i="59"/>
  <c r="F15"/>
  <c r="F88" i="48"/>
  <c r="L14" i="80"/>
  <c r="E27" i="59"/>
  <c r="K31"/>
  <c r="I17"/>
  <c r="E53"/>
  <c r="J34" i="48"/>
  <c r="H19"/>
  <c r="C32" i="59"/>
  <c r="C28" i="75"/>
  <c r="H88" i="48"/>
  <c r="M2" i="80"/>
  <c r="J37" i="59"/>
  <c r="F6"/>
  <c r="C8" i="75"/>
  <c r="N75" i="48"/>
  <c r="H37" i="59"/>
  <c r="G54" i="53"/>
  <c r="H17" i="59"/>
  <c r="C6" i="80"/>
  <c r="E16" i="59"/>
  <c r="S61" i="48"/>
  <c r="I47"/>
  <c r="L75"/>
  <c r="H68"/>
  <c r="I105" i="59"/>
  <c r="L50" i="53"/>
  <c r="H72" i="48"/>
  <c r="J58"/>
  <c r="L81"/>
  <c r="K58"/>
  <c r="J43" i="59"/>
  <c r="E43" i="48"/>
  <c r="I48" i="53"/>
  <c r="K35" i="59"/>
  <c r="I19"/>
  <c r="C20" i="75"/>
  <c r="E6" i="59"/>
  <c r="G48"/>
  <c r="H50" i="81"/>
  <c r="E39" i="59"/>
  <c r="H41" i="48"/>
  <c r="E55" i="53"/>
  <c r="F24" i="59"/>
  <c r="K54" i="48"/>
  <c r="I5" i="70"/>
  <c r="S52" i="48"/>
  <c r="F21" i="59"/>
  <c r="K11"/>
  <c r="F36"/>
  <c r="M45" i="48"/>
  <c r="N84"/>
  <c r="N54" i="53"/>
  <c r="I9" i="80"/>
  <c r="F23" i="59"/>
  <c r="I45" i="53"/>
  <c r="F64" i="48"/>
  <c r="G69"/>
  <c r="K16" i="59"/>
  <c r="G88" i="48"/>
  <c r="G11" i="80"/>
  <c r="D54" i="53"/>
  <c r="M9" i="48"/>
  <c r="E9"/>
  <c r="J18" i="59"/>
  <c r="L6" i="80"/>
  <c r="M28" i="48"/>
  <c r="I26"/>
  <c r="N19"/>
  <c r="H47" i="59"/>
  <c r="I25" i="48"/>
  <c r="D38" i="59"/>
  <c r="I58" i="48"/>
  <c r="R16"/>
  <c r="H27" i="59"/>
  <c r="I4" i="80"/>
  <c r="L23"/>
  <c r="F11" i="59"/>
  <c r="R27" i="48"/>
  <c r="H28"/>
  <c r="C2" i="80"/>
  <c r="S50" i="48"/>
  <c r="C11" i="75"/>
  <c r="G53" i="59"/>
  <c r="G25"/>
  <c r="I51"/>
  <c r="E30"/>
  <c r="L48" i="53"/>
  <c r="F17" i="59"/>
  <c r="E84" i="48"/>
  <c r="K46" i="53"/>
  <c r="M79" i="48"/>
  <c r="G81"/>
  <c r="N44" i="53"/>
  <c r="J53" i="59"/>
  <c r="C10" i="75"/>
  <c r="I6" i="59"/>
  <c r="D7" i="80"/>
  <c r="F44" i="59"/>
  <c r="I28"/>
  <c r="K28"/>
  <c r="N64" i="48"/>
  <c r="I37" i="59"/>
  <c r="C30" i="75"/>
  <c r="E51" i="48"/>
  <c r="D11" i="80"/>
  <c r="D48" i="59"/>
  <c r="D21"/>
  <c r="A2" i="48"/>
  <c r="D42" i="59"/>
  <c r="H12"/>
  <c r="D5" i="80"/>
  <c r="P31" i="48"/>
  <c r="S70"/>
  <c r="F75"/>
  <c r="G16" i="59"/>
  <c r="M10" i="80"/>
  <c r="I63" i="48"/>
  <c r="E55"/>
  <c r="D15" i="59"/>
  <c r="E81" i="48"/>
  <c r="E13" i="59"/>
  <c r="M42" i="48"/>
  <c r="N48"/>
  <c r="S48"/>
  <c r="C73" i="59"/>
  <c r="F43" i="53"/>
  <c r="H53"/>
  <c r="R35" i="48"/>
  <c r="P34"/>
  <c r="O18"/>
  <c r="K19"/>
  <c r="N30"/>
  <c r="F47" i="53"/>
  <c r="F5" i="80"/>
  <c r="H46" i="53"/>
  <c r="K28" i="48"/>
  <c r="C2" i="70"/>
  <c r="M54" i="53"/>
  <c r="D53" i="59"/>
  <c r="G74" i="48"/>
  <c r="E50" i="59"/>
  <c r="H8"/>
  <c r="H7" i="80"/>
  <c r="K4" i="59"/>
  <c r="N61" i="48"/>
  <c r="G46" i="53"/>
  <c r="F26" i="59"/>
  <c r="J6"/>
  <c r="G43"/>
  <c r="I90"/>
  <c r="H29"/>
  <c r="L30" i="48"/>
  <c r="G10" i="80"/>
  <c r="M49" i="53"/>
  <c r="M64" i="48"/>
  <c r="G54" i="59"/>
  <c r="I10"/>
  <c r="E48"/>
  <c r="H23"/>
  <c r="I60" i="48"/>
  <c r="E2" i="84"/>
  <c r="I42" i="48"/>
  <c r="D36" i="59"/>
  <c r="K22"/>
  <c r="D43"/>
  <c r="H52"/>
  <c r="C33" i="75"/>
  <c r="K63" i="48"/>
  <c r="H74"/>
  <c r="H6" i="59"/>
  <c r="J31"/>
  <c r="K7"/>
  <c r="S56" i="48"/>
  <c r="C13" i="75"/>
  <c r="J54" i="53"/>
  <c r="N26" i="48"/>
  <c r="E63"/>
  <c r="J80"/>
  <c r="K45" i="59"/>
  <c r="G60" i="48"/>
  <c r="J54"/>
  <c r="D49" i="59"/>
  <c r="N41" i="48"/>
  <c r="G5" i="59"/>
  <c r="M54" i="48"/>
  <c r="J32" i="59"/>
  <c r="E10"/>
  <c r="K42" i="48"/>
  <c r="F45"/>
  <c r="G12" i="59"/>
  <c r="K6"/>
  <c r="I31"/>
  <c r="D3" i="80"/>
  <c r="K20" i="59"/>
  <c r="I13"/>
  <c r="E45" i="48"/>
  <c r="G29" i="59"/>
  <c r="J7"/>
  <c r="B36" i="81"/>
  <c r="K46" i="59"/>
  <c r="C27"/>
  <c r="E9" i="80"/>
  <c r="J76" i="48"/>
  <c r="F3" i="80"/>
  <c r="J51" i="59"/>
  <c r="N14" i="48"/>
  <c r="C105" i="59"/>
  <c r="H16" i="48"/>
  <c r="N36"/>
  <c r="I72" i="59"/>
  <c r="J52" i="53"/>
  <c r="L7" i="48"/>
  <c r="L16"/>
  <c r="G70"/>
  <c r="K48"/>
  <c r="F48" i="53"/>
  <c r="I27" i="48"/>
  <c r="E59"/>
  <c r="I87"/>
  <c r="I85" i="59"/>
  <c r="H54" i="53"/>
  <c r="N35" i="48"/>
  <c r="I6" i="80"/>
  <c r="D50" i="53"/>
  <c r="M88" i="48"/>
  <c r="N76"/>
  <c r="C41" i="75"/>
  <c r="M76" i="48"/>
  <c r="I56"/>
  <c r="M5" i="80"/>
  <c r="M57" i="48"/>
  <c r="D29" i="59"/>
  <c r="E26"/>
  <c r="J16"/>
  <c r="M71" i="48"/>
  <c r="J21" i="59"/>
  <c r="H62" i="48"/>
  <c r="H54"/>
  <c r="H47" i="53"/>
  <c r="J4" i="59"/>
  <c r="E34"/>
  <c r="H55" i="48"/>
  <c r="K71"/>
  <c r="M56"/>
  <c r="H44" i="59"/>
  <c r="C32" i="75"/>
  <c r="J45" i="59"/>
  <c r="F81" i="48"/>
  <c r="H4" i="59"/>
  <c r="K50"/>
  <c r="B7" i="68"/>
  <c r="K50" i="48"/>
  <c r="S47"/>
  <c r="J10" i="59"/>
  <c r="J14"/>
  <c r="F50" i="48"/>
  <c r="D25" i="59"/>
  <c r="E48" i="48"/>
  <c r="S62"/>
  <c r="I75"/>
  <c r="L70"/>
  <c r="F40" i="59"/>
  <c r="E16" i="80"/>
  <c r="L80" i="48"/>
  <c r="C12" i="75"/>
  <c r="L60" i="48"/>
  <c r="I67" i="59"/>
  <c r="K52"/>
  <c r="N51" i="48"/>
  <c r="E50"/>
  <c r="I91" i="59"/>
  <c r="M21" i="48"/>
  <c r="E37"/>
  <c r="G31"/>
  <c r="K9"/>
  <c r="G16"/>
  <c r="G27" i="59"/>
  <c r="J22"/>
  <c r="N52" i="48"/>
  <c r="M14"/>
  <c r="M4" i="80"/>
  <c r="C78" i="59"/>
  <c r="D6"/>
  <c r="K25"/>
  <c r="F71" i="48"/>
  <c r="B8" i="68"/>
  <c r="S80" i="48"/>
  <c r="N56"/>
  <c r="E79"/>
  <c r="K38" i="59"/>
  <c r="F30"/>
  <c r="S42" i="48"/>
  <c r="S41"/>
  <c r="D11" i="59"/>
  <c r="D10" i="80"/>
  <c r="H6"/>
  <c r="J50" i="53"/>
  <c r="C47" i="59"/>
  <c r="K18"/>
  <c r="B3" i="68"/>
  <c r="I50" i="59"/>
  <c r="E52" i="53"/>
  <c r="E43" i="59"/>
  <c r="C38"/>
  <c r="C17"/>
  <c r="K87" i="48"/>
  <c r="L10" i="80"/>
  <c r="N81" i="48"/>
  <c r="G9" i="59"/>
  <c r="G39"/>
  <c r="M59" i="48"/>
  <c r="C39" i="75"/>
  <c r="F49" i="53"/>
  <c r="I5" i="80"/>
  <c r="J34" i="59"/>
  <c r="K12"/>
  <c r="J28"/>
  <c r="C81"/>
  <c r="C93"/>
  <c r="G47"/>
  <c r="N46" i="53"/>
  <c r="C71" i="59"/>
  <c r="I16"/>
  <c r="J12"/>
  <c r="G64" i="48"/>
  <c r="F47" i="59"/>
  <c r="N87" i="48"/>
  <c r="K37" i="59"/>
  <c r="B4" i="68"/>
  <c r="C90" i="59"/>
  <c r="K56" i="48"/>
  <c r="C40" i="59"/>
  <c r="H32"/>
  <c r="E6" i="80"/>
  <c r="L47" i="53"/>
  <c r="K39" i="59"/>
  <c r="I77" i="48"/>
  <c r="L61"/>
  <c r="H51" i="53"/>
  <c r="F74" i="48"/>
  <c r="D19" i="59"/>
  <c r="C6"/>
  <c r="F5"/>
  <c r="I83" i="48"/>
  <c r="H36" i="59"/>
  <c r="K61" i="48"/>
  <c r="E3" i="50"/>
  <c r="M3" i="84"/>
  <c r="E53" i="75"/>
  <c r="M53"/>
  <c r="E57"/>
  <c r="M57"/>
  <c r="E76"/>
  <c r="M76"/>
  <c r="E68"/>
  <c r="M68"/>
  <c r="E58"/>
  <c r="M58"/>
  <c r="E77"/>
  <c r="M77"/>
  <c r="E52"/>
  <c r="M52"/>
  <c r="M47"/>
  <c r="E55"/>
  <c r="M55"/>
  <c r="E83"/>
  <c r="M83"/>
  <c r="E54"/>
  <c r="M54"/>
  <c r="E61"/>
  <c r="M61"/>
  <c r="E70"/>
  <c r="M70"/>
  <c r="E74"/>
  <c r="M74"/>
  <c r="E50"/>
  <c r="M50"/>
  <c r="E49"/>
  <c r="M49"/>
  <c r="E51"/>
  <c r="M51"/>
  <c r="E80"/>
  <c r="M80"/>
  <c r="E60"/>
  <c r="M60"/>
  <c r="E85"/>
  <c r="M85"/>
  <c r="E67"/>
  <c r="M67"/>
  <c r="E59"/>
  <c r="M59"/>
  <c r="E72"/>
  <c r="M72"/>
  <c r="E79"/>
  <c r="M79"/>
  <c r="E66"/>
  <c r="M66"/>
  <c r="E82"/>
  <c r="M82"/>
  <c r="E48"/>
  <c r="M48"/>
  <c r="E81"/>
  <c r="M81"/>
  <c r="E86"/>
  <c r="M86"/>
  <c r="E56"/>
  <c r="M56"/>
  <c r="E69"/>
  <c r="M69"/>
  <c r="E73"/>
  <c r="M73"/>
  <c r="E63"/>
  <c r="M63"/>
  <c r="E64"/>
  <c r="M64"/>
  <c r="E65"/>
  <c r="M65"/>
  <c r="E71"/>
  <c r="M71"/>
  <c r="E62"/>
  <c r="M62"/>
  <c r="E78"/>
  <c r="M78"/>
  <c r="E84"/>
  <c r="M84"/>
  <c r="E75"/>
  <c r="M75"/>
  <c r="B39" i="81"/>
  <c r="H84" i="75"/>
  <c r="P84"/>
  <c r="H76"/>
  <c r="P76"/>
  <c r="H68"/>
  <c r="P68"/>
  <c r="H60"/>
  <c r="P60"/>
  <c r="H51"/>
  <c r="P51"/>
  <c r="H79"/>
  <c r="P79"/>
  <c r="H71"/>
  <c r="P71"/>
  <c r="H63"/>
  <c r="P63"/>
  <c r="H55"/>
  <c r="P55"/>
  <c r="H86"/>
  <c r="P86"/>
  <c r="H78"/>
  <c r="P78"/>
  <c r="H70"/>
  <c r="P70"/>
  <c r="H62"/>
  <c r="P62"/>
  <c r="H54"/>
  <c r="P54"/>
  <c r="H85"/>
  <c r="P85"/>
  <c r="H77"/>
  <c r="P77"/>
  <c r="H69"/>
  <c r="P69"/>
  <c r="H57"/>
  <c r="P57"/>
  <c r="P47"/>
  <c r="H80"/>
  <c r="P80"/>
  <c r="H72"/>
  <c r="P72"/>
  <c r="H64"/>
  <c r="P64"/>
  <c r="H56"/>
  <c r="P56"/>
  <c r="H83"/>
  <c r="P83"/>
  <c r="H75"/>
  <c r="P75"/>
  <c r="H67"/>
  <c r="P67"/>
  <c r="H59"/>
  <c r="P59"/>
  <c r="H50"/>
  <c r="P50"/>
  <c r="H82"/>
  <c r="P82"/>
  <c r="H74"/>
  <c r="P74"/>
  <c r="H66"/>
  <c r="P66"/>
  <c r="H58"/>
  <c r="P58"/>
  <c r="H49"/>
  <c r="P49"/>
  <c r="H81"/>
  <c r="P81"/>
  <c r="H73"/>
  <c r="P73"/>
  <c r="H65"/>
  <c r="P65"/>
  <c r="H52"/>
  <c r="P52"/>
  <c r="H53"/>
  <c r="P53"/>
  <c r="H48"/>
  <c r="P48"/>
  <c r="N47"/>
  <c r="F53"/>
  <c r="N53"/>
  <c r="F80"/>
  <c r="N80"/>
  <c r="F64"/>
  <c r="N64"/>
  <c r="F83"/>
  <c r="N83"/>
  <c r="F67"/>
  <c r="N67"/>
  <c r="F50"/>
  <c r="N50"/>
  <c r="F77"/>
  <c r="N77"/>
  <c r="F49"/>
  <c r="N49"/>
  <c r="F86"/>
  <c r="N86"/>
  <c r="F54"/>
  <c r="N54"/>
  <c r="F57"/>
  <c r="N57"/>
  <c r="F76"/>
  <c r="N76"/>
  <c r="F60"/>
  <c r="N60"/>
  <c r="F79"/>
  <c r="N79"/>
  <c r="F63"/>
  <c r="N63"/>
  <c r="F58"/>
  <c r="N58"/>
  <c r="F61"/>
  <c r="N61"/>
  <c r="F66"/>
  <c r="N66"/>
  <c r="F85"/>
  <c r="N85"/>
  <c r="F52"/>
  <c r="N52"/>
  <c r="F78"/>
  <c r="N78"/>
  <c r="F62"/>
  <c r="N62"/>
  <c r="F81"/>
  <c r="N81"/>
  <c r="F65"/>
  <c r="N65"/>
  <c r="F48"/>
  <c r="N48"/>
  <c r="F72"/>
  <c r="N72"/>
  <c r="F56"/>
  <c r="N56"/>
  <c r="F75"/>
  <c r="N75"/>
  <c r="F59"/>
  <c r="N59"/>
  <c r="F74"/>
  <c r="N74"/>
  <c r="F82"/>
  <c r="N82"/>
  <c r="F69"/>
  <c r="N69"/>
  <c r="F70"/>
  <c r="N70"/>
  <c r="F73"/>
  <c r="N73"/>
  <c r="F84"/>
  <c r="N84"/>
  <c r="F68"/>
  <c r="N68"/>
  <c r="F51"/>
  <c r="N51"/>
  <c r="F71"/>
  <c r="N71"/>
  <c r="F55"/>
  <c r="N55"/>
  <c r="G70"/>
  <c r="O70"/>
  <c r="G51"/>
  <c r="O51"/>
  <c r="G85"/>
  <c r="O85"/>
  <c r="G69"/>
  <c r="O69"/>
  <c r="G58"/>
  <c r="O58"/>
  <c r="G76"/>
  <c r="O76"/>
  <c r="G53"/>
  <c r="O53"/>
  <c r="G83"/>
  <c r="O83"/>
  <c r="G67"/>
  <c r="O67"/>
  <c r="G59"/>
  <c r="O59"/>
  <c r="G86"/>
  <c r="O86"/>
  <c r="G84"/>
  <c r="O84"/>
  <c r="G73"/>
  <c r="O73"/>
  <c r="G52"/>
  <c r="O52"/>
  <c r="G78"/>
  <c r="O78"/>
  <c r="G80"/>
  <c r="O80"/>
  <c r="G77"/>
  <c r="O77"/>
  <c r="G75"/>
  <c r="O75"/>
  <c r="O47"/>
  <c r="G50"/>
  <c r="O50"/>
  <c r="G82"/>
  <c r="O82"/>
  <c r="G66"/>
  <c r="O66"/>
  <c r="G81"/>
  <c r="O81"/>
  <c r="G65"/>
  <c r="O65"/>
  <c r="G54"/>
  <c r="O54"/>
  <c r="G72"/>
  <c r="O72"/>
  <c r="G55"/>
  <c r="O55"/>
  <c r="G48"/>
  <c r="O48"/>
  <c r="G79"/>
  <c r="O79"/>
  <c r="G63"/>
  <c r="O63"/>
  <c r="G62"/>
  <c r="O62"/>
  <c r="G68"/>
  <c r="O68"/>
  <c r="G60"/>
  <c r="O60"/>
  <c r="G71"/>
  <c r="O71"/>
  <c r="G74"/>
  <c r="O74"/>
  <c r="G64"/>
  <c r="O64"/>
  <c r="G49"/>
  <c r="O49"/>
  <c r="G56"/>
  <c r="O56"/>
  <c r="G57"/>
  <c r="O57"/>
  <c r="D75"/>
  <c r="L75"/>
  <c r="D64"/>
  <c r="L64"/>
  <c r="D74"/>
  <c r="L74"/>
  <c r="D57"/>
  <c r="L57"/>
  <c r="D49"/>
  <c r="L49"/>
  <c r="D58"/>
  <c r="L58"/>
  <c r="D79"/>
  <c r="L79"/>
  <c r="D72"/>
  <c r="L72"/>
  <c r="D77"/>
  <c r="L77"/>
  <c r="D56"/>
  <c r="L56"/>
  <c r="D70"/>
  <c r="L70"/>
  <c r="L47"/>
  <c r="D73"/>
  <c r="L73"/>
  <c r="D71"/>
  <c r="L71"/>
  <c r="D65"/>
  <c r="L65"/>
  <c r="D85"/>
  <c r="L85"/>
  <c r="D55"/>
  <c r="L55"/>
  <c r="D61"/>
  <c r="L61"/>
  <c r="D63"/>
  <c r="L63"/>
  <c r="D76"/>
  <c r="L76"/>
  <c r="D84"/>
  <c r="L84"/>
  <c r="D81"/>
  <c r="L81"/>
  <c r="D69"/>
  <c r="L69"/>
  <c r="D50"/>
  <c r="L50"/>
  <c r="D62"/>
  <c r="L62"/>
  <c r="D60"/>
  <c r="L60"/>
  <c r="D51"/>
  <c r="L51"/>
  <c r="D66"/>
  <c r="L66"/>
  <c r="D86"/>
  <c r="L86"/>
  <c r="D53"/>
  <c r="L53"/>
  <c r="D48"/>
  <c r="L48"/>
  <c r="D54"/>
  <c r="L54"/>
  <c r="D83"/>
  <c r="L83"/>
  <c r="D59"/>
  <c r="L59"/>
  <c r="D67"/>
  <c r="L67"/>
  <c r="D78"/>
  <c r="L78"/>
  <c r="D52"/>
  <c r="L52"/>
  <c r="D68"/>
  <c r="L68"/>
  <c r="D80"/>
  <c r="L80"/>
  <c r="D82"/>
  <c r="L82"/>
  <c r="A4" i="81"/>
  <c r="L36" i="59"/>
  <c r="F120"/>
  <c r="C121"/>
  <c r="E22" i="80"/>
  <c r="L32" i="59"/>
  <c r="D90"/>
  <c r="H38" i="81"/>
  <c r="H7" i="38"/>
  <c r="H7" i="43"/>
  <c r="J7" i="81"/>
  <c r="N89" i="48"/>
  <c r="K14" i="68"/>
  <c r="F130" i="59"/>
  <c r="D71"/>
  <c r="G130"/>
  <c r="D93"/>
  <c r="H41" i="81"/>
  <c r="K41"/>
  <c r="D81" i="59"/>
  <c r="B54" i="81"/>
  <c r="E54"/>
  <c r="I24" i="80"/>
  <c r="C83" i="75"/>
  <c r="K83"/>
  <c r="J12" i="78"/>
  <c r="J34" i="68"/>
  <c r="J14" i="85"/>
  <c r="K89" i="48"/>
  <c r="H14" i="68"/>
  <c r="E27" i="69"/>
  <c r="C130" i="59"/>
  <c r="H22" i="80"/>
  <c r="A3" i="70"/>
  <c r="E8" i="68"/>
  <c r="D121" i="59"/>
  <c r="D78"/>
  <c r="B51" i="81"/>
  <c r="E51"/>
  <c r="J11" i="85"/>
  <c r="J22" i="68"/>
  <c r="K10" i="85"/>
  <c r="K33" i="68"/>
  <c r="K3" i="78"/>
  <c r="H5" i="85"/>
  <c r="D2" i="78"/>
  <c r="D26"/>
  <c r="E13" i="79"/>
  <c r="D21" i="68"/>
  <c r="B15" i="78"/>
  <c r="B32"/>
  <c r="C19" i="79"/>
  <c r="J20" i="68"/>
  <c r="F125" i="59"/>
  <c r="F148"/>
  <c r="I8" i="78"/>
  <c r="I52" i="68"/>
  <c r="J35" i="38"/>
  <c r="I15" i="85"/>
  <c r="I56" i="68"/>
  <c r="C56" i="75"/>
  <c r="K56"/>
  <c r="L35" i="68"/>
  <c r="L54"/>
  <c r="B32"/>
  <c r="B11" i="78"/>
  <c r="B7" i="85"/>
  <c r="K133" i="59"/>
  <c r="J124"/>
  <c r="E7" i="68"/>
  <c r="E9"/>
  <c r="B9"/>
  <c r="A2" i="70"/>
  <c r="H119" i="59"/>
  <c r="C76" i="75"/>
  <c r="K76"/>
  <c r="L44" i="59"/>
  <c r="E55" i="68"/>
  <c r="J119" i="59"/>
  <c r="E35" i="68"/>
  <c r="E54"/>
  <c r="M24" i="80"/>
  <c r="C85" i="75"/>
  <c r="K85"/>
  <c r="F154" i="59"/>
  <c r="J28" i="68"/>
  <c r="I22" i="80"/>
  <c r="K23" i="68"/>
  <c r="M11" i="53"/>
  <c r="W32" i="54"/>
  <c r="I89" i="48"/>
  <c r="F14" i="68"/>
  <c r="B12" i="78"/>
  <c r="B13"/>
  <c r="B31"/>
  <c r="C18" i="79"/>
  <c r="B14" i="85"/>
  <c r="B34" i="68"/>
  <c r="B42"/>
  <c r="I29" i="48"/>
  <c r="F24" i="68"/>
  <c r="F33" i="53"/>
  <c r="F32"/>
  <c r="H7" i="85"/>
  <c r="H32" i="68"/>
  <c r="H11" i="78"/>
  <c r="G59" i="59"/>
  <c r="L8" i="48"/>
  <c r="G58" i="59"/>
  <c r="L10" i="48"/>
  <c r="L11"/>
  <c r="I16" i="78"/>
  <c r="L15" i="48"/>
  <c r="L32"/>
  <c r="I41" i="68"/>
  <c r="L12" i="48"/>
  <c r="I39" i="68"/>
  <c r="I18"/>
  <c r="L17" i="48"/>
  <c r="I4" i="85"/>
  <c r="C59" i="59"/>
  <c r="D105"/>
  <c r="H53" i="81"/>
  <c r="K53"/>
  <c r="K11" i="85"/>
  <c r="K22" i="68"/>
  <c r="B46"/>
  <c r="J132" i="59"/>
  <c r="K121"/>
  <c r="C46" i="68"/>
  <c r="F46" i="48"/>
  <c r="G120" i="59"/>
  <c r="D15" i="85"/>
  <c r="D52" i="68"/>
  <c r="E35" i="38"/>
  <c r="D56" i="68"/>
  <c r="D8" i="78"/>
  <c r="B37" i="68"/>
  <c r="B36"/>
  <c r="B51"/>
  <c r="C57" i="75"/>
  <c r="K57"/>
  <c r="H121" i="59"/>
  <c r="H37" i="68"/>
  <c r="H51"/>
  <c r="H36"/>
  <c r="C77" i="75"/>
  <c r="K77"/>
  <c r="L52" i="59"/>
  <c r="F52" i="68"/>
  <c r="G35" i="38"/>
  <c r="F56" i="68"/>
  <c r="F15" i="85"/>
  <c r="F8" i="78"/>
  <c r="H138" i="59"/>
  <c r="L23"/>
  <c r="L138"/>
  <c r="E131"/>
  <c r="I124"/>
  <c r="I12" i="85"/>
  <c r="L29" i="59"/>
  <c r="J121"/>
  <c r="K119"/>
  <c r="H18" i="80"/>
  <c r="F24"/>
  <c r="K12" i="85"/>
  <c r="S18" i="48"/>
  <c r="D73" i="59"/>
  <c r="L32" i="68"/>
  <c r="L11" i="78"/>
  <c r="L7" i="85"/>
  <c r="K11" i="78"/>
  <c r="K7" i="85"/>
  <c r="K32" i="68"/>
  <c r="E132" i="59"/>
  <c r="B55" i="68"/>
  <c r="F37"/>
  <c r="F51"/>
  <c r="F36"/>
  <c r="D24" i="80"/>
  <c r="L12" i="59"/>
  <c r="A2" i="81"/>
  <c r="E2" i="50"/>
  <c r="B2" i="84"/>
  <c r="A2" i="38"/>
  <c r="A2" i="56"/>
  <c r="B1" i="54"/>
  <c r="B1" i="79"/>
  <c r="A2" i="43"/>
  <c r="A1" i="47"/>
  <c r="B2" i="69"/>
  <c r="D131" i="59"/>
  <c r="D20" i="80"/>
  <c r="D39" i="79"/>
  <c r="C74" i="75"/>
  <c r="K74"/>
  <c r="D18" i="80"/>
  <c r="I121" i="59"/>
  <c r="C54" i="75"/>
  <c r="K54"/>
  <c r="N8" i="53"/>
  <c r="L32" i="54"/>
  <c r="L33" i="53"/>
  <c r="L32"/>
  <c r="C55" i="75"/>
  <c r="K55"/>
  <c r="F31" i="56"/>
  <c r="G31"/>
  <c r="C36" i="79"/>
  <c r="R29" i="48"/>
  <c r="L42" i="79"/>
  <c r="L27" i="59"/>
  <c r="L47"/>
  <c r="L130"/>
  <c r="H130"/>
  <c r="L22" i="80"/>
  <c r="B5" i="85"/>
  <c r="J5"/>
  <c r="G20" i="80"/>
  <c r="G39" i="79"/>
  <c r="D28" i="68"/>
  <c r="D9" i="85"/>
  <c r="F138" i="59"/>
  <c r="J46" i="68"/>
  <c r="M46" i="48"/>
  <c r="L33" i="68"/>
  <c r="L10" i="85"/>
  <c r="L3" i="78"/>
  <c r="F139" i="59"/>
  <c r="K50" i="81"/>
  <c r="G131" i="59"/>
  <c r="E121"/>
  <c r="C64" i="75"/>
  <c r="K64"/>
  <c r="I125" i="59"/>
  <c r="I148"/>
  <c r="I32" i="53"/>
  <c r="I33"/>
  <c r="B6" i="85"/>
  <c r="E13"/>
  <c r="E27" i="68"/>
  <c r="E6" i="78"/>
  <c r="H90" i="48"/>
  <c r="E15" i="68"/>
  <c r="G5" i="53"/>
  <c r="Q17" i="54"/>
  <c r="C22" i="80"/>
  <c r="L17" i="59"/>
  <c r="L37"/>
  <c r="C52" i="75"/>
  <c r="K52"/>
  <c r="F121" i="59"/>
  <c r="M36" i="79"/>
  <c r="E28" i="68"/>
  <c r="C72" i="75"/>
  <c r="K72"/>
  <c r="C28" i="68"/>
  <c r="C3" i="78"/>
  <c r="C10" i="85"/>
  <c r="C33" i="68"/>
  <c r="M89" i="48"/>
  <c r="J14" i="68"/>
  <c r="H33" i="53"/>
  <c r="H32"/>
  <c r="L89" i="48"/>
  <c r="I14" i="68"/>
  <c r="G34"/>
  <c r="G12" i="78"/>
  <c r="G14" i="85"/>
  <c r="C67" i="75"/>
  <c r="K67"/>
  <c r="J24" i="80"/>
  <c r="D96" i="59"/>
  <c r="L38"/>
  <c r="L35"/>
  <c r="C51" i="75"/>
  <c r="K51"/>
  <c r="I11" i="53"/>
  <c r="S32" i="54"/>
  <c r="G23" i="68"/>
  <c r="G119" i="59"/>
  <c r="M90" i="48"/>
  <c r="J15" i="68"/>
  <c r="L5" i="53"/>
  <c r="V17" i="54"/>
  <c r="L43" i="59"/>
  <c r="H46" i="48"/>
  <c r="E46" i="68"/>
  <c r="L34"/>
  <c r="L42"/>
  <c r="L14" i="85"/>
  <c r="L12" i="78"/>
  <c r="L13"/>
  <c r="C86" i="75"/>
  <c r="K86"/>
  <c r="C8" i="85"/>
  <c r="D68" i="59"/>
  <c r="D37" i="68"/>
  <c r="D51"/>
  <c r="D36"/>
  <c r="G36" i="79"/>
  <c r="H8" i="85"/>
  <c r="F57" i="59"/>
  <c r="C21" i="80"/>
  <c r="G8" i="48"/>
  <c r="D16" i="78"/>
  <c r="G15" i="48"/>
  <c r="D18" i="68"/>
  <c r="G32" i="48"/>
  <c r="D41" i="68"/>
  <c r="G11" i="48"/>
  <c r="G10"/>
  <c r="D4" i="85"/>
  <c r="G17" i="48"/>
  <c r="I22" i="68"/>
  <c r="I11" i="85"/>
  <c r="E36" i="68"/>
  <c r="E51"/>
  <c r="E37"/>
  <c r="F18" i="53"/>
  <c r="P76" i="54"/>
  <c r="F90" i="48"/>
  <c r="C15" i="68"/>
  <c r="E5" i="53"/>
  <c r="O17" i="54"/>
  <c r="H35" i="68"/>
  <c r="H54"/>
  <c r="K123" i="59"/>
  <c r="G132"/>
  <c r="C8" i="78"/>
  <c r="C15" i="85"/>
  <c r="C52" i="68"/>
  <c r="D35" i="38"/>
  <c r="C56" i="68"/>
  <c r="H123" i="59"/>
  <c r="B56" i="68"/>
  <c r="B52"/>
  <c r="C35" i="38"/>
  <c r="B8" i="78"/>
  <c r="B15" i="85"/>
  <c r="N44" i="48"/>
  <c r="K6" i="85"/>
  <c r="L39" i="59"/>
  <c r="S14" i="48"/>
  <c r="K27" i="68"/>
  <c r="L11" i="38"/>
  <c r="K6" i="78"/>
  <c r="K13" i="85"/>
  <c r="C79" i="75"/>
  <c r="K79"/>
  <c r="S46" i="48"/>
  <c r="I21" i="80"/>
  <c r="J130" i="59"/>
  <c r="J13" i="85"/>
  <c r="J6" i="78"/>
  <c r="J27" i="68"/>
  <c r="K11" i="38"/>
  <c r="D94" i="59"/>
  <c r="H42" i="81"/>
  <c r="K42"/>
  <c r="I18" i="80"/>
  <c r="J123" i="59"/>
  <c r="L19" i="80"/>
  <c r="L38" i="79"/>
  <c r="K9" i="85"/>
  <c r="G156" i="59"/>
  <c r="I7" i="85"/>
  <c r="I32" i="68"/>
  <c r="I11" i="78"/>
  <c r="K132" i="59"/>
  <c r="E57"/>
  <c r="G8" i="85"/>
  <c r="I139" i="59"/>
  <c r="D27" i="68"/>
  <c r="D6" i="78"/>
  <c r="D13" i="85"/>
  <c r="L54" i="59"/>
  <c r="B9" i="85"/>
  <c r="B3" i="78"/>
  <c r="B10" i="85"/>
  <c r="B33" i="68"/>
  <c r="D69" i="59"/>
  <c r="B8" i="82"/>
  <c r="C14" i="69"/>
  <c r="F14"/>
  <c r="D57" i="59"/>
  <c r="F8" i="85"/>
  <c r="J51" i="68"/>
  <c r="J36"/>
  <c r="J37"/>
  <c r="D70" i="59"/>
  <c r="C75" i="75"/>
  <c r="K75"/>
  <c r="C62"/>
  <c r="K62"/>
  <c r="J36" i="79"/>
  <c r="I131" i="59"/>
  <c r="L25"/>
  <c r="J33" i="53"/>
  <c r="J32"/>
  <c r="N32"/>
  <c r="N33"/>
  <c r="F18" i="80"/>
  <c r="C55" i="68"/>
  <c r="E21"/>
  <c r="E2" i="78"/>
  <c r="E26"/>
  <c r="F13" i="79"/>
  <c r="C82" i="59"/>
  <c r="D80"/>
  <c r="D58"/>
  <c r="I11" i="48"/>
  <c r="I8"/>
  <c r="I32"/>
  <c r="F41" i="68"/>
  <c r="F16" i="78"/>
  <c r="I17" i="48"/>
  <c r="I12"/>
  <c r="F39" i="68"/>
  <c r="I10" i="48"/>
  <c r="I15"/>
  <c r="F18" i="68"/>
  <c r="F4" i="85"/>
  <c r="B12"/>
  <c r="S27" i="48"/>
  <c r="O29"/>
  <c r="J57" i="59"/>
  <c r="L8" i="85"/>
  <c r="J90" i="48"/>
  <c r="G15" i="68"/>
  <c r="I5" i="53"/>
  <c r="S17" i="54"/>
  <c r="J32" i="68"/>
  <c r="J7" i="85"/>
  <c r="J11" i="78"/>
  <c r="C48" i="75"/>
  <c r="K48"/>
  <c r="C9"/>
  <c r="C53"/>
  <c r="K53"/>
  <c r="E15" i="85"/>
  <c r="E56" i="68"/>
  <c r="E52"/>
  <c r="F35" i="38"/>
  <c r="E8" i="78"/>
  <c r="K55" i="68"/>
  <c r="K15" i="85"/>
  <c r="K8" i="78"/>
  <c r="K52" i="68"/>
  <c r="K56"/>
  <c r="B93"/>
  <c r="B94"/>
  <c r="B95"/>
  <c r="B98"/>
  <c r="D72" i="59"/>
  <c r="E154"/>
  <c r="I28" i="68"/>
  <c r="I54"/>
  <c r="I35"/>
  <c r="G3" i="78"/>
  <c r="G33" i="68"/>
  <c r="G10" i="85"/>
  <c r="M18" i="80"/>
  <c r="G8" i="78"/>
  <c r="G56" i="68"/>
  <c r="G15" i="85"/>
  <c r="G52" i="68"/>
  <c r="H35" i="38"/>
  <c r="B6" i="78"/>
  <c r="B13" i="85"/>
  <c r="B27" i="68"/>
  <c r="L21" i="59"/>
  <c r="J131"/>
  <c r="F19" i="80"/>
  <c r="F38" i="79"/>
  <c r="H12" i="78"/>
  <c r="H13"/>
  <c r="H14" i="85"/>
  <c r="H34" i="68"/>
  <c r="H42"/>
  <c r="D104" i="59"/>
  <c r="H52" i="81"/>
  <c r="K52"/>
  <c r="D106" i="59"/>
  <c r="H54" i="81"/>
  <c r="H28" i="68"/>
  <c r="D154" i="59"/>
  <c r="J89" i="48"/>
  <c r="G14" i="68"/>
  <c r="D32"/>
  <c r="D7" i="85"/>
  <c r="D11" i="78"/>
  <c r="L21" i="80"/>
  <c r="D76" i="59"/>
  <c r="B49" i="81"/>
  <c r="E49"/>
  <c r="F156" i="59"/>
  <c r="J9" i="85"/>
  <c r="D133" i="59"/>
  <c r="F119"/>
  <c r="B28" i="68"/>
  <c r="J15" i="85"/>
  <c r="J56" i="68"/>
  <c r="J8" i="78"/>
  <c r="J52" i="68"/>
  <c r="K35" i="38"/>
  <c r="B54" i="68"/>
  <c r="B35"/>
  <c r="K46"/>
  <c r="N46" i="48"/>
  <c r="M42" i="79"/>
  <c r="E120" i="59"/>
  <c r="D130"/>
  <c r="D143"/>
  <c r="D144"/>
  <c r="C7" i="85"/>
  <c r="C32" i="68"/>
  <c r="C11" i="78"/>
  <c r="K148" i="59"/>
  <c r="K125"/>
  <c r="L50"/>
  <c r="M21" i="80"/>
  <c r="C119" i="59"/>
  <c r="G32" i="53"/>
  <c r="G33"/>
  <c r="J18" i="80"/>
  <c r="F3" i="78"/>
  <c r="F33" i="68"/>
  <c r="F10" i="85"/>
  <c r="K35" i="68"/>
  <c r="K54"/>
  <c r="L16" i="59"/>
  <c r="D138"/>
  <c r="G89" i="48"/>
  <c r="D14" i="68"/>
  <c r="I46" i="48"/>
  <c r="F46" i="68"/>
  <c r="N90" i="48"/>
  <c r="K15" i="68"/>
  <c r="M5" i="53"/>
  <c r="W17" i="54"/>
  <c r="G18" i="80"/>
  <c r="H46" i="68"/>
  <c r="K46" i="48"/>
  <c r="E19" i="80"/>
  <c r="E38" i="79"/>
  <c r="H36"/>
  <c r="E139" i="59"/>
  <c r="K19" i="80"/>
  <c r="K38" i="79"/>
  <c r="C78" i="75"/>
  <c r="K78"/>
  <c r="G46" i="68"/>
  <c r="J46" i="48"/>
  <c r="E90"/>
  <c r="B15" i="68"/>
  <c r="D5" i="53"/>
  <c r="N17" i="54"/>
  <c r="H89" i="48"/>
  <c r="E14" i="68"/>
  <c r="E33" i="53"/>
  <c r="E32"/>
  <c r="K8" i="85"/>
  <c r="I57" i="59"/>
  <c r="L30"/>
  <c r="L13" i="85"/>
  <c r="L6" i="78"/>
  <c r="L27" i="68"/>
  <c r="M11" i="38"/>
  <c r="G55" i="68"/>
  <c r="G9" i="85"/>
  <c r="C156" i="59"/>
  <c r="D8" i="85"/>
  <c r="I36" i="79"/>
  <c r="D79" i="59"/>
  <c r="B15" i="82"/>
  <c r="C21" i="69"/>
  <c r="F21"/>
  <c r="E26"/>
  <c r="D33" i="68"/>
  <c r="D10" i="85"/>
  <c r="D18"/>
  <c r="D3" i="78"/>
  <c r="E119" i="59"/>
  <c r="E8" i="85"/>
  <c r="C57" i="59"/>
  <c r="K37" i="68"/>
  <c r="K51"/>
  <c r="K36"/>
  <c r="I6" i="78"/>
  <c r="I13" i="85"/>
  <c r="I27" i="68"/>
  <c r="F12" i="78"/>
  <c r="F34" i="68"/>
  <c r="F14" i="85"/>
  <c r="D18" i="53"/>
  <c r="N76" i="54"/>
  <c r="E36" i="79"/>
  <c r="L36"/>
  <c r="C139" i="59"/>
  <c r="L11" i="53"/>
  <c r="V32" i="54"/>
  <c r="J23" i="68"/>
  <c r="S28" i="48"/>
  <c r="C18" i="80"/>
  <c r="L18" i="59"/>
  <c r="S89" i="48"/>
  <c r="L14" i="68"/>
  <c r="F12" i="85"/>
  <c r="E12"/>
  <c r="J120" i="59"/>
  <c r="C81" i="75"/>
  <c r="K81"/>
  <c r="D97" i="59"/>
  <c r="H45" i="81"/>
  <c r="K45"/>
  <c r="I36" i="84"/>
  <c r="L24" i="59"/>
  <c r="L139"/>
  <c r="H139"/>
  <c r="H132"/>
  <c r="L13"/>
  <c r="I132"/>
  <c r="H24" i="80"/>
  <c r="G11" i="78"/>
  <c r="G7" i="85"/>
  <c r="G32" i="68"/>
  <c r="D6" i="85"/>
  <c r="G44" i="48"/>
  <c r="L33" i="59"/>
  <c r="G138"/>
  <c r="S90" i="48"/>
  <c r="G18" i="53"/>
  <c r="Q76" i="54"/>
  <c r="D84" i="59"/>
  <c r="B57" i="81"/>
  <c r="E57"/>
  <c r="C36" i="68"/>
  <c r="C37"/>
  <c r="C51"/>
  <c r="L53" i="59"/>
  <c r="C84" i="75"/>
  <c r="K84"/>
  <c r="L28" i="59"/>
  <c r="K36" i="79"/>
  <c r="H9" i="85"/>
  <c r="D156" i="59"/>
  <c r="J8" i="48"/>
  <c r="E58" i="59"/>
  <c r="J11" i="48"/>
  <c r="G4" i="85"/>
  <c r="G16" i="78"/>
  <c r="J15" i="48"/>
  <c r="J12"/>
  <c r="G39" i="68"/>
  <c r="G18"/>
  <c r="J17" i="48"/>
  <c r="J32"/>
  <c r="G41" i="68"/>
  <c r="J10" i="48"/>
  <c r="H8" i="78"/>
  <c r="H56" i="68"/>
  <c r="H15" i="85"/>
  <c r="H52" i="68"/>
  <c r="I35" i="38"/>
  <c r="I20" i="80"/>
  <c r="I39" i="79"/>
  <c r="N56" i="53"/>
  <c r="C20" i="80"/>
  <c r="C39" i="79"/>
  <c r="L40" i="59"/>
  <c r="I44" i="48"/>
  <c r="F6" i="85"/>
  <c r="L51" i="59"/>
  <c r="D91"/>
  <c r="H39" i="81"/>
  <c r="I119" i="59"/>
  <c r="J20" i="80"/>
  <c r="J39" i="79"/>
  <c r="K120" i="59"/>
  <c r="N18" i="53"/>
  <c r="X76" i="54"/>
  <c r="H13" i="85"/>
  <c r="H6" i="78"/>
  <c r="H27" i="68"/>
  <c r="K90" i="48"/>
  <c r="H15" i="68"/>
  <c r="J5" i="53"/>
  <c r="T17" i="54"/>
  <c r="F132" i="59"/>
  <c r="L22"/>
  <c r="B1" i="78"/>
  <c r="B25"/>
  <c r="C10" i="79"/>
  <c r="B3" i="85"/>
  <c r="C71" i="79"/>
  <c r="B13" i="68"/>
  <c r="F5" i="48"/>
  <c r="D34" i="68"/>
  <c r="D42"/>
  <c r="D14" i="85"/>
  <c r="D12" i="78"/>
  <c r="D13"/>
  <c r="L6" i="85"/>
  <c r="S44" i="48"/>
  <c r="L44"/>
  <c r="I6" i="85"/>
  <c r="C80" i="75"/>
  <c r="K80"/>
  <c r="L41" i="59"/>
  <c r="H6" i="85"/>
  <c r="K44" i="48"/>
  <c r="I55" i="68"/>
  <c r="C27"/>
  <c r="C13" i="85"/>
  <c r="C6" i="78"/>
  <c r="J138" i="59"/>
  <c r="C66" i="75"/>
  <c r="K66"/>
  <c r="E20" i="80"/>
  <c r="E39" i="79"/>
  <c r="E138" i="59"/>
  <c r="E140"/>
  <c r="D92"/>
  <c r="H40" i="81"/>
  <c r="K40"/>
  <c r="L49" i="59"/>
  <c r="D119"/>
  <c r="C73" i="75"/>
  <c r="K73"/>
  <c r="E5" i="85"/>
  <c r="I18" i="53"/>
  <c r="S76" i="54"/>
  <c r="L9" i="85"/>
  <c r="H156" i="59"/>
  <c r="L90" i="48"/>
  <c r="I15" i="68"/>
  <c r="K5" i="53"/>
  <c r="U17" i="54"/>
  <c r="U18"/>
  <c r="C35" i="68"/>
  <c r="C54"/>
  <c r="C82" i="75"/>
  <c r="K82"/>
  <c r="G90" i="48"/>
  <c r="D15" i="68"/>
  <c r="F5" i="53"/>
  <c r="P17" i="54"/>
  <c r="D19" i="80"/>
  <c r="D38" i="79"/>
  <c r="C131" i="59"/>
  <c r="C24" i="80"/>
  <c r="E21"/>
  <c r="C138" i="59"/>
  <c r="C140"/>
  <c r="L48"/>
  <c r="L131"/>
  <c r="H131"/>
  <c r="L55" i="68"/>
  <c r="K7" i="81"/>
  <c r="I7" i="38"/>
  <c r="I7" i="43"/>
  <c r="G22" i="68"/>
  <c r="G11" i="85"/>
  <c r="C68" i="75"/>
  <c r="K68"/>
  <c r="F89" i="48"/>
  <c r="C14" i="68"/>
  <c r="D83" i="59"/>
  <c r="B56" i="81"/>
  <c r="E56"/>
  <c r="I31" i="84"/>
  <c r="D11" i="85"/>
  <c r="D22" i="68"/>
  <c r="B18"/>
  <c r="E10" i="48"/>
  <c r="E32"/>
  <c r="B41" i="68"/>
  <c r="B4" i="85"/>
  <c r="E15" i="48"/>
  <c r="B16" i="78"/>
  <c r="E11" i="48"/>
  <c r="E17"/>
  <c r="E12"/>
  <c r="B39" i="68"/>
  <c r="J29" i="48"/>
  <c r="G24" i="68"/>
  <c r="K28"/>
  <c r="G154" i="59"/>
  <c r="F27" i="69"/>
  <c r="D7" i="38"/>
  <c r="B82"/>
  <c r="D7" i="43"/>
  <c r="B29"/>
  <c r="E7" i="81"/>
  <c r="C5" i="69"/>
  <c r="C8" i="84"/>
  <c r="B10" i="66"/>
  <c r="C6" i="85"/>
  <c r="F44" i="48"/>
  <c r="D35" i="68"/>
  <c r="D54"/>
  <c r="D15" i="78"/>
  <c r="G54" i="68"/>
  <c r="G35"/>
  <c r="D5" i="85"/>
  <c r="H29" i="48"/>
  <c r="E24" i="68"/>
  <c r="D22" i="80"/>
  <c r="K11" i="48"/>
  <c r="H18" i="68"/>
  <c r="K12" i="48"/>
  <c r="H39" i="68"/>
  <c r="K15" i="48"/>
  <c r="K17"/>
  <c r="H16" i="78"/>
  <c r="K10" i="48"/>
  <c r="K32"/>
  <c r="H41" i="68"/>
  <c r="K8" i="48"/>
  <c r="H4" i="85"/>
  <c r="F58" i="59"/>
  <c r="M29" i="48"/>
  <c r="J24" i="68"/>
  <c r="C133" i="59"/>
  <c r="I59"/>
  <c r="I8" i="85"/>
  <c r="G57" i="59"/>
  <c r="L34"/>
  <c r="G5" i="85"/>
  <c r="J6"/>
  <c r="M44" i="48"/>
  <c r="D55" i="68"/>
  <c r="C70" i="75"/>
  <c r="K70"/>
  <c r="J133" i="59"/>
  <c r="H33" i="68"/>
  <c r="H10" i="85"/>
  <c r="H18"/>
  <c r="H3" i="78"/>
  <c r="C60" i="75"/>
  <c r="K60"/>
  <c r="J54" i="68"/>
  <c r="J35"/>
  <c r="D86" i="59"/>
  <c r="B59" i="81"/>
  <c r="E59"/>
  <c r="D107" i="59"/>
  <c r="H55" i="81"/>
  <c r="K55"/>
  <c r="L14" i="59"/>
  <c r="H133"/>
  <c r="I133"/>
  <c r="E130"/>
  <c r="E143"/>
  <c r="E144"/>
  <c r="I9" i="85"/>
  <c r="E156" i="59"/>
  <c r="H124"/>
  <c r="L10"/>
  <c r="D77"/>
  <c r="B50" i="81"/>
  <c r="E50"/>
  <c r="H19" i="80"/>
  <c r="H38" i="79"/>
  <c r="C120" i="59"/>
  <c r="C58" i="75"/>
  <c r="K58"/>
  <c r="D139" i="59"/>
  <c r="J8" i="85"/>
  <c r="H57" i="59"/>
  <c r="K138"/>
  <c r="I10" i="85"/>
  <c r="I18"/>
  <c r="I22"/>
  <c r="I32"/>
  <c r="I77" i="79"/>
  <c r="I33" i="68"/>
  <c r="I3" i="78"/>
  <c r="L18" i="80"/>
  <c r="J125" i="59"/>
  <c r="J135"/>
  <c r="J148"/>
  <c r="D87"/>
  <c r="D33" i="53"/>
  <c r="D32"/>
  <c r="K124" i="59"/>
  <c r="F9" i="85"/>
  <c r="G24"/>
  <c r="G34"/>
  <c r="G79" i="79"/>
  <c r="I120" i="59"/>
  <c r="I130"/>
  <c r="I143"/>
  <c r="I144"/>
  <c r="L20"/>
  <c r="D11" i="53"/>
  <c r="N32" i="54"/>
  <c r="B23" i="68"/>
  <c r="L18" i="53"/>
  <c r="V76" i="54"/>
  <c r="M32" i="53"/>
  <c r="M33"/>
  <c r="B8" i="85"/>
  <c r="F15" i="78"/>
  <c r="F131" i="59"/>
  <c r="K2" i="78"/>
  <c r="K26"/>
  <c r="L13" i="79"/>
  <c r="K21" i="68"/>
  <c r="S34" i="48"/>
  <c r="Q32"/>
  <c r="Q11"/>
  <c r="Q21"/>
  <c r="Q22"/>
  <c r="Q17"/>
  <c r="Q15"/>
  <c r="G21" i="80"/>
  <c r="I5" i="85"/>
  <c r="J19" i="80"/>
  <c r="J38" i="79"/>
  <c r="L26" i="59"/>
  <c r="F28" i="68"/>
  <c r="G139" i="59"/>
  <c r="G13" i="85"/>
  <c r="G6" i="78"/>
  <c r="G27" i="68"/>
  <c r="D101" i="59"/>
  <c r="H49" i="81"/>
  <c r="K49"/>
  <c r="D65" i="59"/>
  <c r="H125"/>
  <c r="L19"/>
  <c r="H148"/>
  <c r="L46"/>
  <c r="L31"/>
  <c r="D132"/>
  <c r="D67"/>
  <c r="C71" i="75"/>
  <c r="K71"/>
  <c r="I12" i="78"/>
  <c r="I13"/>
  <c r="I31"/>
  <c r="J18" i="79"/>
  <c r="I14" i="85"/>
  <c r="I34" i="68"/>
  <c r="I42"/>
  <c r="K21" i="80"/>
  <c r="E89" i="48"/>
  <c r="B14" i="68"/>
  <c r="G22" i="80"/>
  <c r="D21"/>
  <c r="C49" i="75"/>
  <c r="K49"/>
  <c r="D102" i="59"/>
  <c r="B16" i="82"/>
  <c r="C22" i="69"/>
  <c r="F22"/>
  <c r="M11" i="48"/>
  <c r="M8"/>
  <c r="J16" i="78"/>
  <c r="M17" i="48"/>
  <c r="M12"/>
  <c r="J39" i="68"/>
  <c r="M22" i="48"/>
  <c r="J40" i="68"/>
  <c r="J18"/>
  <c r="M15" i="48"/>
  <c r="M10"/>
  <c r="M32"/>
  <c r="J41" i="68"/>
  <c r="J4" i="85"/>
  <c r="H58" i="59"/>
  <c r="D74"/>
  <c r="R15" i="48"/>
  <c r="R11"/>
  <c r="R21"/>
  <c r="R17"/>
  <c r="R12"/>
  <c r="R32"/>
  <c r="R22"/>
  <c r="G121" i="59"/>
  <c r="F21" i="80"/>
  <c r="J55" i="68"/>
  <c r="H11" i="85"/>
  <c r="H25"/>
  <c r="H35"/>
  <c r="H80" i="79"/>
  <c r="H22" i="68"/>
  <c r="D98" i="59"/>
  <c r="H46" i="81"/>
  <c r="K46"/>
  <c r="H17" i="48"/>
  <c r="H15"/>
  <c r="C58" i="59"/>
  <c r="H11" i="48"/>
  <c r="H10"/>
  <c r="H32"/>
  <c r="E41" i="68"/>
  <c r="E18"/>
  <c r="E16" i="78"/>
  <c r="H8" i="48"/>
  <c r="H12"/>
  <c r="E39" i="68"/>
  <c r="E4" i="85"/>
  <c r="I21" i="68"/>
  <c r="I2" i="78"/>
  <c r="I26"/>
  <c r="J13" i="79"/>
  <c r="J2" i="78"/>
  <c r="J26"/>
  <c r="K13" i="79"/>
  <c r="J21" i="68"/>
  <c r="S37" i="48"/>
  <c r="L15" i="78"/>
  <c r="G24" i="80"/>
  <c r="B6" i="84"/>
  <c r="C61" i="75"/>
  <c r="K61"/>
  <c r="I58" i="59"/>
  <c r="K16" i="78"/>
  <c r="N15" i="48"/>
  <c r="K18" i="68"/>
  <c r="N32" i="48"/>
  <c r="K41" i="68"/>
  <c r="N8" i="48"/>
  <c r="K4" i="85"/>
  <c r="N11" i="48"/>
  <c r="N22"/>
  <c r="K40" i="68"/>
  <c r="N17" i="48"/>
  <c r="N10"/>
  <c r="N12"/>
  <c r="K39" i="68"/>
  <c r="C12" i="85"/>
  <c r="C26"/>
  <c r="C36"/>
  <c r="C81" i="79"/>
  <c r="S25" i="48"/>
  <c r="S26"/>
  <c r="H120" i="59"/>
  <c r="J22" i="80"/>
  <c r="K24"/>
  <c r="C9" i="85"/>
  <c r="D24"/>
  <c r="D34"/>
  <c r="D79" i="79"/>
  <c r="E133" i="59"/>
  <c r="D12" i="85"/>
  <c r="D26"/>
  <c r="D36"/>
  <c r="D81" i="79"/>
  <c r="F55" i="68"/>
  <c r="L24" i="80"/>
  <c r="G6" i="85"/>
  <c r="G20"/>
  <c r="J44" i="48"/>
  <c r="J21" i="80"/>
  <c r="E14" i="85"/>
  <c r="E12" i="78"/>
  <c r="E34" i="68"/>
  <c r="C21"/>
  <c r="C2" i="78"/>
  <c r="C26"/>
  <c r="D13" i="79"/>
  <c r="G133" i="59"/>
  <c r="H55" i="68"/>
  <c r="D59" i="59"/>
  <c r="C5" i="85"/>
  <c r="F20" i="80"/>
  <c r="F39" i="79"/>
  <c r="C34" i="68"/>
  <c r="C42"/>
  <c r="C12" i="78"/>
  <c r="C13"/>
  <c r="C31"/>
  <c r="D18" i="79"/>
  <c r="C14" i="85"/>
  <c r="B11"/>
  <c r="B22" i="68"/>
  <c r="H23"/>
  <c r="J11" i="53"/>
  <c r="T32" i="54"/>
  <c r="N11" i="53"/>
  <c r="X32" i="54"/>
  <c r="X33"/>
  <c r="S35" i="48"/>
  <c r="L23" i="68"/>
  <c r="S31" i="48"/>
  <c r="Q29"/>
  <c r="F11" i="78"/>
  <c r="F32" i="68"/>
  <c r="F7" i="85"/>
  <c r="J18" i="53"/>
  <c r="T76" i="54"/>
  <c r="T77"/>
  <c r="S19" i="48"/>
  <c r="S36"/>
  <c r="N29"/>
  <c r="G2" i="78"/>
  <c r="G26"/>
  <c r="H13" i="79"/>
  <c r="G21" i="68"/>
  <c r="S16" i="48"/>
  <c r="J59" i="59"/>
  <c r="I15" i="78"/>
  <c r="J15"/>
  <c r="O15" i="48"/>
  <c r="O32"/>
  <c r="O11"/>
  <c r="O17"/>
  <c r="S7"/>
  <c r="E9" i="85"/>
  <c r="F24"/>
  <c r="F34"/>
  <c r="F79" i="79"/>
  <c r="F27" i="68"/>
  <c r="F6" i="78"/>
  <c r="F13" i="85"/>
  <c r="I36" i="68"/>
  <c r="I51"/>
  <c r="I37"/>
  <c r="K18" i="80"/>
  <c r="K18" i="53"/>
  <c r="U76" i="54"/>
  <c r="D85" i="59"/>
  <c r="B58" i="81"/>
  <c r="E58"/>
  <c r="E24" i="80"/>
  <c r="F133" i="59"/>
  <c r="I123"/>
  <c r="I46" i="68"/>
  <c r="L46" i="48"/>
  <c r="J10" i="85"/>
  <c r="J18"/>
  <c r="J22"/>
  <c r="J32"/>
  <c r="J77" i="79"/>
  <c r="J3" i="78"/>
  <c r="J33" i="68"/>
  <c r="K5" i="85"/>
  <c r="G46" i="48"/>
  <c r="D46" i="68"/>
  <c r="F10" i="48"/>
  <c r="C16" i="78"/>
  <c r="C18" i="68"/>
  <c r="C4" i="85"/>
  <c r="F15" i="48"/>
  <c r="F8"/>
  <c r="F17"/>
  <c r="F32"/>
  <c r="C41" i="68"/>
  <c r="F11" i="48"/>
  <c r="I19" i="80"/>
  <c r="I38" i="79"/>
  <c r="E29" i="48"/>
  <c r="B24" i="68"/>
  <c r="J12" i="85"/>
  <c r="L37" i="68"/>
  <c r="L36"/>
  <c r="L51"/>
  <c r="D99" i="59"/>
  <c r="H47" i="81"/>
  <c r="K47"/>
  <c r="S30" i="48"/>
  <c r="L12" i="85"/>
  <c r="L26"/>
  <c r="L36"/>
  <c r="L81" i="79"/>
  <c r="G37" i="68"/>
  <c r="G36"/>
  <c r="G51"/>
  <c r="G19" i="80"/>
  <c r="G38" i="79"/>
  <c r="L20" i="80"/>
  <c r="L39" i="79"/>
  <c r="K29" i="48"/>
  <c r="H24" i="68"/>
  <c r="C22"/>
  <c r="C11" i="85"/>
  <c r="C19" i="80"/>
  <c r="C38" i="79"/>
  <c r="E33" i="68"/>
  <c r="E3" i="78"/>
  <c r="E10" i="85"/>
  <c r="E6"/>
  <c r="E20"/>
  <c r="H44" i="48"/>
  <c r="F2" i="78"/>
  <c r="F26"/>
  <c r="G13" i="79"/>
  <c r="F21" i="68"/>
  <c r="L42" i="59"/>
  <c r="C15" i="78"/>
  <c r="C32"/>
  <c r="D19" i="79"/>
  <c r="P11" i="48"/>
  <c r="P21"/>
  <c r="P22"/>
  <c r="P17"/>
  <c r="P15"/>
  <c r="P32"/>
  <c r="E11" i="85"/>
  <c r="E25"/>
  <c r="E35"/>
  <c r="E80" i="79"/>
  <c r="E22" i="68"/>
  <c r="F11" i="85"/>
  <c r="F25"/>
  <c r="F35"/>
  <c r="F80" i="79"/>
  <c r="F22" i="68"/>
  <c r="F36" i="79"/>
  <c r="K12" i="78"/>
  <c r="K13"/>
  <c r="K34" i="68"/>
  <c r="K42"/>
  <c r="F26" i="56"/>
  <c r="G26"/>
  <c r="K14" i="85"/>
  <c r="G12"/>
  <c r="G26"/>
  <c r="G36"/>
  <c r="G81" i="79"/>
  <c r="E18" i="53"/>
  <c r="O76" i="54"/>
  <c r="K22" i="80"/>
  <c r="F29" i="48"/>
  <c r="C24" i="68"/>
  <c r="C132" i="59"/>
  <c r="G29" i="48"/>
  <c r="D24" i="68"/>
  <c r="H12" i="85"/>
  <c r="H26"/>
  <c r="H36"/>
  <c r="H81" i="79"/>
  <c r="C69" i="75"/>
  <c r="K69"/>
  <c r="G3" i="70"/>
  <c r="D120" i="59"/>
  <c r="M19" i="80"/>
  <c r="M38" i="79"/>
  <c r="M22" i="80"/>
  <c r="L15" i="59"/>
  <c r="H21" i="80"/>
  <c r="K130" i="59"/>
  <c r="I90" i="48"/>
  <c r="F15" i="68"/>
  <c r="H5" i="53"/>
  <c r="R17" i="54"/>
  <c r="E18" i="80"/>
  <c r="G28" i="68"/>
  <c r="C154" i="59"/>
  <c r="I154"/>
  <c r="J139"/>
  <c r="L11"/>
  <c r="F35" i="68"/>
  <c r="F54"/>
  <c r="C65" i="75"/>
  <c r="K65"/>
  <c r="K32" i="53"/>
  <c r="K33"/>
  <c r="K139" i="59"/>
  <c r="H154"/>
  <c r="L28" i="68"/>
  <c r="K20" i="80"/>
  <c r="K39" i="79"/>
  <c r="C63" i="75"/>
  <c r="K63"/>
  <c r="P29" i="48"/>
  <c r="H59" i="59"/>
  <c r="K131"/>
  <c r="E7" i="85"/>
  <c r="E11" i="78"/>
  <c r="E32" i="68"/>
  <c r="H15" i="78"/>
  <c r="D103" i="59"/>
  <c r="H51" i="81"/>
  <c r="K51"/>
  <c r="S24" i="48"/>
  <c r="S9"/>
  <c r="L5" i="85"/>
  <c r="E23" i="68"/>
  <c r="G11" i="53"/>
  <c r="Q32" i="54"/>
  <c r="H11" i="53"/>
  <c r="R32" i="54"/>
  <c r="F23" i="68"/>
  <c r="G15" i="78"/>
  <c r="G32"/>
  <c r="H19" i="79"/>
  <c r="L45" i="59"/>
  <c r="G125"/>
  <c r="G135"/>
  <c r="G148"/>
  <c r="K20" i="68"/>
  <c r="C59" i="75"/>
  <c r="K59"/>
  <c r="H20" i="80"/>
  <c r="H39" i="79"/>
  <c r="F5" i="85"/>
  <c r="D36" i="79"/>
  <c r="L29" i="48"/>
  <c r="I24" i="68"/>
  <c r="F11" i="53"/>
  <c r="P32" i="54"/>
  <c r="D23" i="68"/>
  <c r="D95" i="59"/>
  <c r="H43" i="81"/>
  <c r="K43"/>
  <c r="E15" i="78"/>
  <c r="E32"/>
  <c r="F19" i="79"/>
  <c r="B2" i="78"/>
  <c r="B26"/>
  <c r="C13" i="79"/>
  <c r="B21" i="68"/>
  <c r="C23"/>
  <c r="E11" i="53"/>
  <c r="O32" i="54"/>
  <c r="M18" i="53"/>
  <c r="W76" i="54"/>
  <c r="C50" i="75"/>
  <c r="K50"/>
  <c r="K15" i="78"/>
  <c r="K32"/>
  <c r="L19" i="79"/>
  <c r="F22" i="80"/>
  <c r="L52" i="68"/>
  <c r="M35" i="38"/>
  <c r="L56" i="68"/>
  <c r="L15" i="85"/>
  <c r="L27"/>
  <c r="L37"/>
  <c r="L82" i="79"/>
  <c r="L8" i="78"/>
  <c r="M20" i="80"/>
  <c r="M39" i="79"/>
  <c r="D75" i="59"/>
  <c r="I138"/>
  <c r="I140"/>
  <c r="E59"/>
  <c r="F59"/>
  <c r="B20" i="81"/>
  <c r="H2" i="78"/>
  <c r="H26"/>
  <c r="I13" i="79"/>
  <c r="H21" i="68"/>
  <c r="H18" i="53"/>
  <c r="R76" i="54"/>
  <c r="K11" i="53"/>
  <c r="U32" i="54"/>
  <c r="U33"/>
  <c r="I23" i="68"/>
  <c r="A3" i="56"/>
  <c r="B3" i="79"/>
  <c r="A4" i="38"/>
  <c r="B4" i="69"/>
  <c r="G38" i="50" a="1"/>
  <c r="E38" a="1"/>
  <c r="L21" i="48"/>
  <c r="I21"/>
  <c r="E21"/>
  <c r="H21"/>
  <c r="F21"/>
  <c r="D15" i="80"/>
  <c r="F44" i="53"/>
  <c r="M44"/>
  <c r="L44"/>
  <c r="E15" i="80"/>
  <c r="H15"/>
  <c r="G15"/>
  <c r="K44" i="53"/>
  <c r="J44"/>
  <c r="G44"/>
  <c r="G21" i="48"/>
  <c r="J21"/>
  <c r="K21"/>
  <c r="F15" i="80"/>
  <c r="D44" i="53"/>
  <c r="E44"/>
  <c r="C15" i="80"/>
  <c r="H44" i="53"/>
  <c r="J15" i="80"/>
  <c r="I44" i="53"/>
  <c r="I15" i="80"/>
  <c r="K15"/>
  <c r="L15"/>
  <c r="E481" i="50"/>
  <c r="E488"/>
  <c r="E312"/>
  <c r="E344"/>
  <c r="E185"/>
  <c r="E454"/>
  <c r="E403"/>
  <c r="E379"/>
  <c r="E46"/>
  <c r="E470"/>
  <c r="E603"/>
  <c r="E363"/>
  <c r="E193"/>
  <c r="E359"/>
  <c r="E173"/>
  <c r="E543"/>
  <c r="E404"/>
  <c r="E67"/>
  <c r="E556"/>
  <c r="E194"/>
  <c r="E417"/>
  <c r="E168"/>
  <c r="E280"/>
  <c r="E318"/>
  <c r="E555"/>
  <c r="E88"/>
  <c r="E288"/>
  <c r="E328"/>
  <c r="E165"/>
  <c r="E339"/>
  <c r="E143"/>
  <c r="E455"/>
  <c r="E284"/>
  <c r="E519"/>
  <c r="E99"/>
  <c r="E84"/>
  <c r="E508"/>
  <c r="E535"/>
  <c r="E282"/>
  <c r="E73"/>
  <c r="E249"/>
  <c r="E558"/>
  <c r="E61"/>
  <c r="E367"/>
  <c r="E537"/>
  <c r="E152"/>
  <c r="E220"/>
  <c r="E415"/>
  <c r="E300"/>
  <c r="E59"/>
  <c r="E592"/>
  <c r="E272"/>
  <c r="E224"/>
  <c r="E410"/>
  <c r="E577"/>
  <c r="E341"/>
  <c r="E205"/>
  <c r="E172"/>
  <c r="E501"/>
  <c r="E375"/>
  <c r="E564"/>
  <c r="E70"/>
  <c r="E296"/>
  <c r="E568"/>
  <c r="E397"/>
  <c r="E322"/>
  <c r="E253"/>
  <c r="E427"/>
  <c r="E133"/>
  <c r="E245"/>
  <c r="E305"/>
  <c r="E490"/>
  <c r="E47"/>
  <c r="E308"/>
  <c r="E428"/>
  <c r="E395"/>
  <c r="E91"/>
  <c r="E163"/>
  <c r="E588"/>
  <c r="E78"/>
  <c r="E167"/>
  <c r="E362"/>
  <c r="E452"/>
  <c r="E292"/>
  <c r="E179"/>
  <c r="E576"/>
  <c r="E391"/>
  <c r="E595"/>
  <c r="E315"/>
  <c r="E393"/>
  <c r="E169"/>
  <c r="E302"/>
  <c r="E582"/>
  <c r="E502"/>
  <c r="E500"/>
  <c r="E394"/>
  <c r="E79"/>
  <c r="E364"/>
  <c r="E562"/>
  <c r="E255"/>
  <c r="E463"/>
  <c r="E141"/>
  <c r="E448"/>
  <c r="E290"/>
  <c r="E418"/>
  <c r="E74"/>
  <c r="E486"/>
  <c r="E357"/>
  <c r="E580"/>
  <c r="E548"/>
  <c r="E409"/>
  <c r="E386"/>
  <c r="E483"/>
  <c r="E496"/>
  <c r="E151"/>
  <c r="E449"/>
  <c r="E162"/>
  <c r="E62"/>
  <c r="E242"/>
  <c r="E552"/>
  <c r="E584"/>
  <c r="E445"/>
  <c r="E137"/>
  <c r="E225"/>
  <c r="E401"/>
  <c r="E420"/>
  <c r="E524"/>
  <c r="E608"/>
  <c r="E467"/>
  <c r="E512"/>
  <c r="E117"/>
  <c r="E53"/>
  <c r="E85"/>
  <c r="E484"/>
  <c r="E529"/>
  <c r="E213"/>
  <c r="E247"/>
  <c r="E119"/>
  <c r="E188"/>
  <c r="E405"/>
  <c r="E64"/>
  <c r="E271"/>
  <c r="E116"/>
  <c r="E219"/>
  <c r="E207"/>
  <c r="E601"/>
  <c r="E446"/>
  <c r="E114"/>
  <c r="E433"/>
  <c r="E472"/>
  <c r="E254"/>
  <c r="E447"/>
  <c r="E547"/>
  <c r="E424"/>
  <c r="E77"/>
  <c r="E278"/>
  <c r="E321"/>
  <c r="E311"/>
  <c r="E89"/>
  <c r="E482"/>
  <c r="E55"/>
  <c r="E187"/>
  <c r="E129"/>
  <c r="E589"/>
  <c r="E150"/>
  <c r="E468"/>
  <c r="E42"/>
  <c r="E299"/>
  <c r="E369"/>
  <c r="E457"/>
  <c r="E80"/>
  <c r="E94"/>
  <c r="E380"/>
  <c r="E373"/>
  <c r="E511"/>
  <c r="E235"/>
  <c r="E270"/>
  <c r="E414"/>
  <c r="E216"/>
  <c r="E76"/>
  <c r="E144"/>
  <c r="E597"/>
  <c r="E233"/>
  <c r="E334"/>
  <c r="E590"/>
  <c r="E267"/>
  <c r="E439"/>
  <c r="E572"/>
  <c r="E348"/>
  <c r="E297"/>
  <c r="E202"/>
  <c r="E602"/>
  <c r="E41"/>
  <c r="E528"/>
  <c r="E347"/>
  <c r="E240"/>
  <c r="E48"/>
  <c r="E425"/>
  <c r="E154"/>
  <c r="E184"/>
  <c r="E408"/>
  <c r="E331"/>
  <c r="E462"/>
  <c r="E411"/>
  <c r="E227"/>
  <c r="E545"/>
  <c r="E189"/>
  <c r="E513"/>
  <c r="E286"/>
  <c r="E527"/>
  <c r="E148"/>
  <c r="E609"/>
  <c r="E313"/>
  <c r="E518"/>
  <c r="E250"/>
  <c r="E157"/>
  <c r="E407"/>
  <c r="E389"/>
  <c r="E122"/>
  <c r="E489"/>
  <c r="E159"/>
  <c r="E495"/>
  <c r="E453"/>
  <c r="E199"/>
  <c r="E390"/>
  <c r="E559"/>
  <c r="E161"/>
  <c r="E371"/>
  <c r="E444"/>
  <c r="E100"/>
  <c r="E323"/>
  <c r="E301"/>
  <c r="E289"/>
  <c r="E534"/>
  <c r="E171"/>
  <c r="E258"/>
  <c r="E338"/>
  <c r="E319"/>
  <c r="E177"/>
  <c r="E166"/>
  <c r="E342"/>
  <c r="E517"/>
  <c r="E605"/>
  <c r="E273"/>
  <c r="E238"/>
  <c r="E423"/>
  <c r="E307"/>
  <c r="E111"/>
  <c r="E353"/>
  <c r="E350"/>
  <c r="E579"/>
  <c r="E421"/>
  <c r="E112"/>
  <c r="E465"/>
  <c r="E549"/>
  <c r="E232"/>
  <c r="E234"/>
  <c r="E377"/>
  <c r="E326"/>
  <c r="E86"/>
  <c r="E487"/>
  <c r="E330"/>
  <c r="E507"/>
  <c r="E248"/>
  <c r="E120"/>
  <c r="E44"/>
  <c r="E275"/>
  <c r="E186"/>
  <c r="E293"/>
  <c r="E383"/>
  <c r="E201"/>
  <c r="E241"/>
  <c r="E456"/>
  <c r="E345"/>
  <c r="E123"/>
  <c r="E541"/>
  <c r="E419"/>
  <c r="E336"/>
  <c r="E478"/>
  <c r="E266"/>
  <c r="E520"/>
  <c r="E368"/>
  <c r="E538"/>
  <c r="E226"/>
  <c r="E475"/>
  <c r="E82"/>
  <c r="E317"/>
  <c r="E124"/>
  <c r="E492"/>
  <c r="E370"/>
  <c r="E530"/>
  <c r="E57"/>
  <c r="E107"/>
  <c r="E214"/>
  <c r="E598"/>
  <c r="E109"/>
  <c r="E43"/>
  <c r="E263"/>
  <c r="E140"/>
  <c r="E569"/>
  <c r="E504"/>
  <c r="E81"/>
  <c r="E521"/>
  <c r="E174"/>
  <c r="E400"/>
  <c r="E571"/>
  <c r="E52"/>
  <c r="E95"/>
  <c r="E102"/>
  <c r="E441"/>
  <c r="E175"/>
  <c r="E337"/>
  <c r="E164"/>
  <c r="E594"/>
  <c r="E155"/>
  <c r="E147"/>
  <c r="E566"/>
  <c r="E497"/>
  <c r="E361"/>
  <c r="E515"/>
  <c r="E98"/>
  <c r="E306"/>
  <c r="E182"/>
  <c r="E237"/>
  <c r="E209"/>
  <c r="E69"/>
  <c r="E525"/>
  <c r="E156"/>
  <c r="E381"/>
  <c r="E450"/>
  <c r="E146"/>
  <c r="E436"/>
  <c r="E553"/>
  <c r="E471"/>
  <c r="E506"/>
  <c r="E461"/>
  <c r="E388"/>
  <c r="E264"/>
  <c r="E451"/>
  <c r="E346"/>
  <c r="E170"/>
  <c r="E39"/>
  <c r="E325"/>
  <c r="E126"/>
  <c r="E356"/>
  <c r="E295"/>
  <c r="E197"/>
  <c r="E310"/>
  <c r="E130"/>
  <c r="E437"/>
  <c r="E51"/>
  <c r="E561"/>
  <c r="E591"/>
  <c r="E71"/>
  <c r="E434"/>
  <c r="E430"/>
  <c r="E610"/>
  <c r="E516"/>
  <c r="E132"/>
  <c r="E215"/>
  <c r="E106"/>
  <c r="E378"/>
  <c r="E539"/>
  <c r="E192"/>
  <c r="E333"/>
  <c r="E494"/>
  <c r="E476"/>
  <c r="E607"/>
  <c r="E108"/>
  <c r="E574"/>
  <c r="E586"/>
  <c r="E269"/>
  <c r="E142"/>
  <c r="E251"/>
  <c r="E40"/>
  <c r="E587"/>
  <c r="E198"/>
  <c r="E596"/>
  <c r="E285"/>
  <c r="E260"/>
  <c r="E239"/>
  <c r="E50"/>
  <c r="E329"/>
  <c r="E402"/>
  <c r="E206"/>
  <c r="E442"/>
  <c r="E276"/>
  <c r="E440"/>
  <c r="E340"/>
  <c r="E324"/>
  <c r="E131"/>
  <c r="E229"/>
  <c r="E523"/>
  <c r="E550"/>
  <c r="E135"/>
  <c r="E259"/>
  <c r="E406"/>
  <c r="E181"/>
  <c r="E203"/>
  <c r="E540"/>
  <c r="E335"/>
  <c r="E466"/>
  <c r="E252"/>
  <c r="E127"/>
  <c r="E581"/>
  <c r="E544"/>
  <c r="E58"/>
  <c r="E138"/>
  <c r="E87"/>
  <c r="E93"/>
  <c r="E90"/>
  <c r="E60"/>
  <c r="E145"/>
  <c r="E183"/>
  <c r="E432"/>
  <c r="E287"/>
  <c r="E565"/>
  <c r="E477"/>
  <c r="E469"/>
  <c r="E262"/>
  <c r="E533"/>
  <c r="E387"/>
  <c r="E277"/>
  <c r="E281"/>
  <c r="E480"/>
  <c r="E38"/>
  <c r="E316"/>
  <c r="E320"/>
  <c r="E218"/>
  <c r="E392"/>
  <c r="E327"/>
  <c r="E382"/>
  <c r="E160"/>
  <c r="E149"/>
  <c r="E567"/>
  <c r="E358"/>
  <c r="E349"/>
  <c r="E531"/>
  <c r="E384"/>
  <c r="E599"/>
  <c r="E97"/>
  <c r="E493"/>
  <c r="E593"/>
  <c r="E438"/>
  <c r="E505"/>
  <c r="E536"/>
  <c r="E268"/>
  <c r="E113"/>
  <c r="E257"/>
  <c r="E134"/>
  <c r="E158"/>
  <c r="E557"/>
  <c r="E526"/>
  <c r="E283"/>
  <c r="E261"/>
  <c r="E474"/>
  <c r="E200"/>
  <c r="E355"/>
  <c r="E303"/>
  <c r="E422"/>
  <c r="E223"/>
  <c r="E125"/>
  <c r="E230"/>
  <c r="E121"/>
  <c r="E573"/>
  <c r="E499"/>
  <c r="E105"/>
  <c r="E578"/>
  <c r="E72"/>
  <c r="E228"/>
  <c r="E110"/>
  <c r="E274"/>
  <c r="E479"/>
  <c r="E412"/>
  <c r="E352"/>
  <c r="E236"/>
  <c r="E314"/>
  <c r="E231"/>
  <c r="E180"/>
  <c r="E372"/>
  <c r="E115"/>
  <c r="E304"/>
  <c r="E309"/>
  <c r="E178"/>
  <c r="E431"/>
  <c r="E575"/>
  <c r="E256"/>
  <c r="E413"/>
  <c r="E429"/>
  <c r="E560"/>
  <c r="E217"/>
  <c r="E265"/>
  <c r="E354"/>
  <c r="E96"/>
  <c r="E583"/>
  <c r="E136"/>
  <c r="E396"/>
  <c r="E360"/>
  <c r="E542"/>
  <c r="E460"/>
  <c r="E509"/>
  <c r="E443"/>
  <c r="E63"/>
  <c r="E212"/>
  <c r="E103"/>
  <c r="E104"/>
  <c r="E473"/>
  <c r="E503"/>
  <c r="E56"/>
  <c r="E606"/>
  <c r="E54"/>
  <c r="E279"/>
  <c r="E464"/>
  <c r="E554"/>
  <c r="E176"/>
  <c r="E66"/>
  <c r="E128"/>
  <c r="E190"/>
  <c r="E101"/>
  <c r="E211"/>
  <c r="E244"/>
  <c r="E510"/>
  <c r="E75"/>
  <c r="E399"/>
  <c r="E570"/>
  <c r="E332"/>
  <c r="E208"/>
  <c r="E83"/>
  <c r="E585"/>
  <c r="E343"/>
  <c r="E351"/>
  <c r="E514"/>
  <c r="E600"/>
  <c r="E139"/>
  <c r="E294"/>
  <c r="E416"/>
  <c r="E191"/>
  <c r="E49"/>
  <c r="E291"/>
  <c r="E65"/>
  <c r="E45"/>
  <c r="E611"/>
  <c r="E435"/>
  <c r="E221"/>
  <c r="E118"/>
  <c r="E498"/>
  <c r="E68"/>
  <c r="E385"/>
  <c r="E92"/>
  <c r="E376"/>
  <c r="E546"/>
  <c r="E604"/>
  <c r="E458"/>
  <c r="E485"/>
  <c r="E374"/>
  <c r="E532"/>
  <c r="E551"/>
  <c r="E522"/>
  <c r="E365"/>
  <c r="E366"/>
  <c r="E426"/>
  <c r="E204"/>
  <c r="E563"/>
  <c r="E491"/>
  <c r="E195"/>
  <c r="E210"/>
  <c r="E398"/>
  <c r="E153"/>
  <c r="E246"/>
  <c r="E222"/>
  <c r="E298"/>
  <c r="E196"/>
  <c r="E243"/>
  <c r="E459"/>
  <c r="G580"/>
  <c r="G465"/>
  <c r="G143"/>
  <c r="G521"/>
  <c r="G322"/>
  <c r="G172"/>
  <c r="G471"/>
  <c r="G162"/>
  <c r="G225"/>
  <c r="G542"/>
  <c r="G605"/>
  <c r="G287"/>
  <c r="G201"/>
  <c r="G583"/>
  <c r="G190"/>
  <c r="G480"/>
  <c r="G236"/>
  <c r="G490"/>
  <c r="G482"/>
  <c r="G308"/>
  <c r="G485"/>
  <c r="G290"/>
  <c r="G211"/>
  <c r="G354"/>
  <c r="G45"/>
  <c r="G311"/>
  <c r="G504"/>
  <c r="G238"/>
  <c r="G417"/>
  <c r="G345"/>
  <c r="G222"/>
  <c r="G451"/>
  <c r="G179"/>
  <c r="G408"/>
  <c r="G332"/>
  <c r="G412"/>
  <c r="G164"/>
  <c r="G400"/>
  <c r="G494"/>
  <c r="G296"/>
  <c r="G309"/>
  <c r="G38"/>
  <c r="G414"/>
  <c r="G486"/>
  <c r="G176"/>
  <c r="G352"/>
  <c r="G410"/>
  <c r="G246"/>
  <c r="G247"/>
  <c r="G61"/>
  <c r="G434"/>
  <c r="G585"/>
  <c r="G450"/>
  <c r="G553"/>
  <c r="G65"/>
  <c r="G368"/>
  <c r="G611"/>
  <c r="G376"/>
  <c r="G457"/>
  <c r="G592"/>
  <c r="G546"/>
  <c r="G512"/>
  <c r="G252"/>
  <c r="G356"/>
  <c r="G265"/>
  <c r="G233"/>
  <c r="G503"/>
  <c r="G107"/>
  <c r="G67"/>
  <c r="G280"/>
  <c r="G506"/>
  <c r="G258"/>
  <c r="G317"/>
  <c r="G600"/>
  <c r="G159"/>
  <c r="G479"/>
  <c r="G297"/>
  <c r="G476"/>
  <c r="G455"/>
  <c r="G75"/>
  <c r="G369"/>
  <c r="G516"/>
  <c r="G180"/>
  <c r="G318"/>
  <c r="G216"/>
  <c r="G109"/>
  <c r="G367"/>
  <c r="G501"/>
  <c r="G86"/>
  <c r="G602"/>
  <c r="G266"/>
  <c r="G295"/>
  <c r="G454"/>
  <c r="G254"/>
  <c r="G597"/>
  <c r="G286"/>
  <c r="G478"/>
  <c r="G256"/>
  <c r="G165"/>
  <c r="G40"/>
  <c r="G212"/>
  <c r="G411"/>
  <c r="G464"/>
  <c r="G148"/>
  <c r="G41"/>
  <c r="G578"/>
  <c r="G96"/>
  <c r="G429"/>
  <c r="G519"/>
  <c r="G596"/>
  <c r="G606"/>
  <c r="G456"/>
  <c r="G524"/>
  <c r="G599"/>
  <c r="G195"/>
  <c r="G146"/>
  <c r="G115"/>
  <c r="G428"/>
  <c r="G124"/>
  <c r="G73"/>
  <c r="G229"/>
  <c r="G552"/>
  <c r="G134"/>
  <c r="G523"/>
  <c r="G423"/>
  <c r="G139"/>
  <c r="G548"/>
  <c r="G48"/>
  <c r="G487"/>
  <c r="G340"/>
  <c r="G361"/>
  <c r="G302"/>
  <c r="G334"/>
  <c r="G549"/>
  <c r="G360"/>
  <c r="G537"/>
  <c r="G267"/>
  <c r="G149"/>
  <c r="G245"/>
  <c r="G393"/>
  <c r="G589"/>
  <c r="G300"/>
  <c r="G310"/>
  <c r="G60"/>
  <c r="G333"/>
  <c r="G536"/>
  <c r="G391"/>
  <c r="G556"/>
  <c r="G522"/>
  <c r="G262"/>
  <c r="G550"/>
  <c r="G85"/>
  <c r="G257"/>
  <c r="G118"/>
  <c r="G219"/>
  <c r="G511"/>
  <c r="G554"/>
  <c r="G54"/>
  <c r="G467"/>
  <c r="G150"/>
  <c r="G415"/>
  <c r="G351"/>
  <c r="G49"/>
  <c r="G316"/>
  <c r="G386"/>
  <c r="G294"/>
  <c r="G192"/>
  <c r="G98"/>
  <c r="G184"/>
  <c r="G598"/>
  <c r="G468"/>
  <c r="G271"/>
  <c r="G260"/>
  <c r="G436"/>
  <c r="G355"/>
  <c r="G194"/>
  <c r="G105"/>
  <c r="G462"/>
  <c r="G437"/>
  <c r="G51"/>
  <c r="G515"/>
  <c r="G551"/>
  <c r="G449"/>
  <c r="G277"/>
  <c r="G173"/>
  <c r="G474"/>
  <c r="G66"/>
  <c r="G279"/>
  <c r="G413"/>
  <c r="G426"/>
  <c r="G155"/>
  <c r="G152"/>
  <c r="G301"/>
  <c r="G364"/>
  <c r="G163"/>
  <c r="G409"/>
  <c r="G337"/>
  <c r="G331"/>
  <c r="G174"/>
  <c r="G39"/>
  <c r="G223"/>
  <c r="G171"/>
  <c r="G387"/>
  <c r="G573"/>
  <c r="G481"/>
  <c r="G241"/>
  <c r="G209"/>
  <c r="G343"/>
  <c r="G293"/>
  <c r="G525"/>
  <c r="G88"/>
  <c r="G500"/>
  <c r="G303"/>
  <c r="G545"/>
  <c r="G191"/>
  <c r="G509"/>
  <c r="G90"/>
  <c r="G76"/>
  <c r="G56"/>
  <c r="G328"/>
  <c r="G528"/>
  <c r="G587"/>
  <c r="G425"/>
  <c r="G532"/>
  <c r="G544"/>
  <c r="G283"/>
  <c r="G47"/>
  <c r="G234"/>
  <c r="G151"/>
  <c r="G298"/>
  <c r="G527"/>
  <c r="G177"/>
  <c r="G116"/>
  <c r="G497"/>
  <c r="G261"/>
  <c r="G274"/>
  <c r="G518"/>
  <c r="G153"/>
  <c r="G181"/>
  <c r="G278"/>
  <c r="G382"/>
  <c r="G591"/>
  <c r="G111"/>
  <c r="G226"/>
  <c r="G452"/>
  <c r="G586"/>
  <c r="G187"/>
  <c r="G305"/>
  <c r="G323"/>
  <c r="G299"/>
  <c r="G158"/>
  <c r="G264"/>
  <c r="G579"/>
  <c r="G224"/>
  <c r="G397"/>
  <c r="G307"/>
  <c r="G381"/>
  <c r="G473"/>
  <c r="G561"/>
  <c r="G228"/>
  <c r="G239"/>
  <c r="G291"/>
  <c r="G281"/>
  <c r="G430"/>
  <c r="G249"/>
  <c r="G156"/>
  <c r="G120"/>
  <c r="G483"/>
  <c r="G106"/>
  <c r="G339"/>
  <c r="G108"/>
  <c r="G405"/>
  <c r="G160"/>
  <c r="G401"/>
  <c r="G488"/>
  <c r="G122"/>
  <c r="G270"/>
  <c r="G594"/>
  <c r="G440"/>
  <c r="G477"/>
  <c r="G568"/>
  <c r="G353"/>
  <c r="G198"/>
  <c r="G565"/>
  <c r="G251"/>
  <c r="G484"/>
  <c r="G214"/>
  <c r="G169"/>
  <c r="G489"/>
  <c r="G470"/>
  <c r="G421"/>
  <c r="G562"/>
  <c r="G319"/>
  <c r="G168"/>
  <c r="G610"/>
  <c r="G362"/>
  <c r="G424"/>
  <c r="G513"/>
  <c r="G81"/>
  <c r="G306"/>
  <c r="G507"/>
  <c r="G499"/>
  <c r="G574"/>
  <c r="G193"/>
  <c r="G244"/>
  <c r="G569"/>
  <c r="G62"/>
  <c r="G284"/>
  <c r="G231"/>
  <c r="G541"/>
  <c r="G145"/>
  <c r="G95"/>
  <c r="G582"/>
  <c r="G384"/>
  <c r="G446"/>
  <c r="G584"/>
  <c r="G529"/>
  <c r="G380"/>
  <c r="G217"/>
  <c r="G275"/>
  <c r="G502"/>
  <c r="G232"/>
  <c r="G197"/>
  <c r="G203"/>
  <c r="G395"/>
  <c r="G603"/>
  <c r="G59"/>
  <c r="G609"/>
  <c r="G399"/>
  <c r="G530"/>
  <c r="G185"/>
  <c r="G167"/>
  <c r="G199"/>
  <c r="G533"/>
  <c r="G372"/>
  <c r="G404"/>
  <c r="G363"/>
  <c r="G453"/>
  <c r="G132"/>
  <c r="G385"/>
  <c r="G357"/>
  <c r="G540"/>
  <c r="G444"/>
  <c r="G431"/>
  <c r="G571"/>
  <c r="G112"/>
  <c r="G564"/>
  <c r="G320"/>
  <c r="G517"/>
  <c r="G576"/>
  <c r="G157"/>
  <c r="G607"/>
  <c r="G459"/>
  <c r="G79"/>
  <c r="G558"/>
  <c r="G443"/>
  <c r="G496"/>
  <c r="G237"/>
  <c r="G166"/>
  <c r="G273"/>
  <c r="G492"/>
  <c r="G140"/>
  <c r="G126"/>
  <c r="G575"/>
  <c r="G466"/>
  <c r="G390"/>
  <c r="G188"/>
  <c r="G250"/>
  <c r="G94"/>
  <c r="G255"/>
  <c r="G292"/>
  <c r="G539"/>
  <c r="G420"/>
  <c r="G373"/>
  <c r="G358"/>
  <c r="G388"/>
  <c r="G147"/>
  <c r="G461"/>
  <c r="G182"/>
  <c r="G175"/>
  <c r="G289"/>
  <c r="G52"/>
  <c r="G131"/>
  <c r="G329"/>
  <c r="G359"/>
  <c r="G406"/>
  <c r="G349"/>
  <c r="G422"/>
  <c r="G392"/>
  <c r="G204"/>
  <c r="G538"/>
  <c r="G129"/>
  <c r="G463"/>
  <c r="G268"/>
  <c r="G330"/>
  <c r="G313"/>
  <c r="G137"/>
  <c r="G102"/>
  <c r="G240"/>
  <c r="G327"/>
  <c r="G125"/>
  <c r="G407"/>
  <c r="G534"/>
  <c r="G342"/>
  <c r="G472"/>
  <c r="G505"/>
  <c r="G447"/>
  <c r="G371"/>
  <c r="G82"/>
  <c r="G347"/>
  <c r="G215"/>
  <c r="G227"/>
  <c r="G581"/>
  <c r="G84"/>
  <c r="G439"/>
  <c r="G493"/>
  <c r="G433"/>
  <c r="G110"/>
  <c r="G555"/>
  <c r="G235"/>
  <c r="G208"/>
  <c r="G248"/>
  <c r="G435"/>
  <c r="G346"/>
  <c r="G375"/>
  <c r="G46"/>
  <c r="G142"/>
  <c r="G336"/>
  <c r="G74"/>
  <c r="G206"/>
  <c r="G458"/>
  <c r="G144"/>
  <c r="G383"/>
  <c r="G543"/>
  <c r="G338"/>
  <c r="G441"/>
  <c r="G402"/>
  <c r="G210"/>
  <c r="G207"/>
  <c r="G71"/>
  <c r="G77"/>
  <c r="G416"/>
  <c r="G154"/>
  <c r="G242"/>
  <c r="G378"/>
  <c r="G72"/>
  <c r="G218"/>
  <c r="G220"/>
  <c r="G341"/>
  <c r="G221"/>
  <c r="G183"/>
  <c r="G567"/>
  <c r="G99"/>
  <c r="G58"/>
  <c r="G178"/>
  <c r="G119"/>
  <c r="G63"/>
  <c r="G285"/>
  <c r="G588"/>
  <c r="G288"/>
  <c r="G205"/>
  <c r="G91"/>
  <c r="G344"/>
  <c r="G324"/>
  <c r="G460"/>
  <c r="G535"/>
  <c r="G377"/>
  <c r="G103"/>
  <c r="G100"/>
  <c r="G114"/>
  <c r="G445"/>
  <c r="G526"/>
  <c r="G50"/>
  <c r="G101"/>
  <c r="G78"/>
  <c r="G64"/>
  <c r="G69"/>
  <c r="G438"/>
  <c r="G570"/>
  <c r="G70"/>
  <c r="G418"/>
  <c r="G127"/>
  <c r="G189"/>
  <c r="G590"/>
  <c r="G577"/>
  <c r="G196"/>
  <c r="G92"/>
  <c r="G442"/>
  <c r="G80"/>
  <c r="G520"/>
  <c r="G566"/>
  <c r="G44"/>
  <c r="G325"/>
  <c r="G366"/>
  <c r="G350"/>
  <c r="G43"/>
  <c r="G379"/>
  <c r="G272"/>
  <c r="G572"/>
  <c r="G113"/>
  <c r="G563"/>
  <c r="G365"/>
  <c r="G263"/>
  <c r="G83"/>
  <c r="G601"/>
  <c r="G396"/>
  <c r="G253"/>
  <c r="G230"/>
  <c r="G130"/>
  <c r="G141"/>
  <c r="G419"/>
  <c r="G469"/>
  <c r="G557"/>
  <c r="G55"/>
  <c r="G97"/>
  <c r="G604"/>
  <c r="G93"/>
  <c r="G560"/>
  <c r="G326"/>
  <c r="G374"/>
  <c r="G475"/>
  <c r="G123"/>
  <c r="G593"/>
  <c r="G608"/>
  <c r="G510"/>
  <c r="G200"/>
  <c r="G104"/>
  <c r="G186"/>
  <c r="G259"/>
  <c r="G117"/>
  <c r="G321"/>
  <c r="G269"/>
  <c r="G398"/>
  <c r="G370"/>
  <c r="G161"/>
  <c r="G491"/>
  <c r="G89"/>
  <c r="G42"/>
  <c r="G559"/>
  <c r="G135"/>
  <c r="G498"/>
  <c r="G282"/>
  <c r="G403"/>
  <c r="G213"/>
  <c r="G495"/>
  <c r="G427"/>
  <c r="G170"/>
  <c r="G138"/>
  <c r="G53"/>
  <c r="G315"/>
  <c r="G514"/>
  <c r="G133"/>
  <c r="G335"/>
  <c r="G276"/>
  <c r="G57"/>
  <c r="G508"/>
  <c r="G202"/>
  <c r="G121"/>
  <c r="G68"/>
  <c r="G87"/>
  <c r="G389"/>
  <c r="G304"/>
  <c r="G314"/>
  <c r="G547"/>
  <c r="G595"/>
  <c r="G448"/>
  <c r="G243"/>
  <c r="G432"/>
  <c r="G394"/>
  <c r="G312"/>
  <c r="G136"/>
  <c r="G348"/>
  <c r="G128"/>
  <c r="G531"/>
  <c r="T18" i="54"/>
  <c r="O33"/>
  <c r="K135" i="59"/>
  <c r="E39" i="81"/>
  <c r="I27" i="84"/>
  <c r="P12" i="48"/>
  <c r="C25" i="85"/>
  <c r="C35"/>
  <c r="C80" i="79"/>
  <c r="Q12" i="48"/>
  <c r="E10" i="68"/>
  <c r="B10"/>
  <c r="E18" i="85"/>
  <c r="E22"/>
  <c r="E32"/>
  <c r="E77" i="79"/>
  <c r="H32" i="78"/>
  <c r="I19" i="79"/>
  <c r="J26" i="85"/>
  <c r="J36"/>
  <c r="J81" i="79"/>
  <c r="J32" i="78"/>
  <c r="K19" i="79"/>
  <c r="L133" i="59"/>
  <c r="W77" i="54"/>
  <c r="R18"/>
  <c r="O77"/>
  <c r="T33"/>
  <c r="Q77"/>
  <c r="R77"/>
  <c r="Q33"/>
  <c r="P18"/>
  <c r="W18"/>
  <c r="K23" i="80"/>
  <c r="I23"/>
  <c r="I8" i="53"/>
  <c r="G32" i="54"/>
  <c r="I56" i="53"/>
  <c r="J23" i="80"/>
  <c r="H8" i="53"/>
  <c r="F32" i="54"/>
  <c r="H56" i="53"/>
  <c r="C23" i="80"/>
  <c r="E8" i="53"/>
  <c r="C32" i="54"/>
  <c r="E56" i="53"/>
  <c r="D8"/>
  <c r="B32" i="54"/>
  <c r="D56" i="53"/>
  <c r="F23" i="80"/>
  <c r="H20" i="68"/>
  <c r="D148" i="59"/>
  <c r="D125"/>
  <c r="D135"/>
  <c r="K22" i="48"/>
  <c r="H40" i="68"/>
  <c r="G20"/>
  <c r="C125" i="59"/>
  <c r="C135"/>
  <c r="C142"/>
  <c r="C148"/>
  <c r="J22" i="48"/>
  <c r="G40" i="68"/>
  <c r="D20"/>
  <c r="G22" i="48"/>
  <c r="D40" i="68"/>
  <c r="G8" i="53"/>
  <c r="E32" i="54"/>
  <c r="G56" i="53"/>
  <c r="J8"/>
  <c r="H32" i="54"/>
  <c r="J56" i="53"/>
  <c r="K8"/>
  <c r="I32" i="54"/>
  <c r="I33"/>
  <c r="K56" i="53"/>
  <c r="G23" i="80"/>
  <c r="H23"/>
  <c r="E23"/>
  <c r="L8" i="53"/>
  <c r="J32" i="54"/>
  <c r="L56" i="53"/>
  <c r="M8"/>
  <c r="K32" i="54"/>
  <c r="K33"/>
  <c r="M56" i="53"/>
  <c r="F8"/>
  <c r="D32" i="54"/>
  <c r="D33"/>
  <c r="F56" i="53"/>
  <c r="D23" i="80"/>
  <c r="C20" i="68"/>
  <c r="F22" i="48"/>
  <c r="C40" i="68"/>
  <c r="E20"/>
  <c r="H22" i="48"/>
  <c r="E40" i="68"/>
  <c r="B20"/>
  <c r="E22" i="48"/>
  <c r="B40" i="68"/>
  <c r="F20"/>
  <c r="I22" i="48"/>
  <c r="F40" i="68"/>
  <c r="E125" i="59"/>
  <c r="E135"/>
  <c r="E142"/>
  <c r="E146"/>
  <c r="I20" i="68"/>
  <c r="E148" i="59"/>
  <c r="L22" i="48"/>
  <c r="I40" i="68"/>
  <c r="D23" i="38"/>
  <c r="C86" i="68"/>
  <c r="C8" i="76"/>
  <c r="F86" i="68"/>
  <c r="D86"/>
  <c r="D8" i="76"/>
  <c r="G86" i="68"/>
  <c r="E23" i="38"/>
  <c r="K36" i="53"/>
  <c r="U121" i="54"/>
  <c r="J24" i="38"/>
  <c r="I86" i="68"/>
  <c r="G23" i="38"/>
  <c r="G72" i="68"/>
  <c r="F8" i="76"/>
  <c r="D72" i="68"/>
  <c r="B72"/>
  <c r="H12" i="38"/>
  <c r="I6" i="53"/>
  <c r="H40" i="79"/>
  <c r="H34" i="80"/>
  <c r="H41"/>
  <c r="I37" i="53"/>
  <c r="G136" i="54"/>
  <c r="H34" i="38"/>
  <c r="C84" i="68"/>
  <c r="C65" i="38"/>
  <c r="F84" i="68"/>
  <c r="F65" i="38"/>
  <c r="D20"/>
  <c r="E24" i="53"/>
  <c r="O91" i="54"/>
  <c r="C23" i="85"/>
  <c r="C33"/>
  <c r="C78" i="79"/>
  <c r="D21" i="85"/>
  <c r="D31"/>
  <c r="D76" i="79"/>
  <c r="E29" i="38"/>
  <c r="F34" i="53"/>
  <c r="J9" i="78"/>
  <c r="J20"/>
  <c r="J4"/>
  <c r="E37" i="80"/>
  <c r="E44"/>
  <c r="E43" i="79"/>
  <c r="K37" i="53"/>
  <c r="I136" i="54"/>
  <c r="J34" i="38"/>
  <c r="G73" i="68"/>
  <c r="G53" i="38"/>
  <c r="I87" i="68"/>
  <c r="I68" i="38"/>
  <c r="B73" i="68"/>
  <c r="D73"/>
  <c r="D53" i="38"/>
  <c r="G11"/>
  <c r="L18" i="68"/>
  <c r="S10" i="48"/>
  <c r="S17"/>
  <c r="S32"/>
  <c r="L41" i="68"/>
  <c r="S8" i="48"/>
  <c r="S15"/>
  <c r="L4" i="85"/>
  <c r="L23"/>
  <c r="L33"/>
  <c r="L78" i="79"/>
  <c r="J58" i="59"/>
  <c r="L16" i="78"/>
  <c r="S11" i="48"/>
  <c r="O21"/>
  <c r="G48" i="68"/>
  <c r="G47"/>
  <c r="K24"/>
  <c r="B97"/>
  <c r="B99"/>
  <c r="M23" i="38"/>
  <c r="L8" i="76"/>
  <c r="L17" i="43"/>
  <c r="L37" i="80"/>
  <c r="L43" i="79"/>
  <c r="J41"/>
  <c r="J35" i="80"/>
  <c r="J42"/>
  <c r="M23" i="53"/>
  <c r="L19" i="38"/>
  <c r="K23" i="85"/>
  <c r="K33"/>
  <c r="K78" i="79"/>
  <c r="L21" i="85"/>
  <c r="L31"/>
  <c r="L76" i="79"/>
  <c r="M24" i="53"/>
  <c r="W91" i="54"/>
  <c r="L20" i="38"/>
  <c r="G153" i="59"/>
  <c r="G155"/>
  <c r="G124"/>
  <c r="G152"/>
  <c r="I47" i="68"/>
  <c r="I48"/>
  <c r="G22" i="53"/>
  <c r="E91" i="54"/>
  <c r="F18" i="38"/>
  <c r="H82" i="68"/>
  <c r="H63" i="38"/>
  <c r="H85" i="68"/>
  <c r="H66" i="38"/>
  <c r="F34" i="80"/>
  <c r="F41"/>
  <c r="F40" i="79"/>
  <c r="B13" i="82"/>
  <c r="C19" i="69"/>
  <c r="B47" i="81"/>
  <c r="K21" i="85"/>
  <c r="K31"/>
  <c r="K76" i="79"/>
  <c r="J23" i="85"/>
  <c r="J33"/>
  <c r="J78" i="79"/>
  <c r="L22" i="53"/>
  <c r="J91" i="54"/>
  <c r="K18" i="38"/>
  <c r="J19" i="68"/>
  <c r="J29"/>
  <c r="K13" i="38"/>
  <c r="J17" i="78"/>
  <c r="J18"/>
  <c r="G35" i="80"/>
  <c r="G42"/>
  <c r="G41" i="79"/>
  <c r="K34" i="80"/>
  <c r="K41"/>
  <c r="K40" i="79"/>
  <c r="B4" i="82"/>
  <c r="C10" i="69"/>
  <c r="F10"/>
  <c r="B38" i="81"/>
  <c r="H73" i="68"/>
  <c r="H53" i="38"/>
  <c r="C73" i="68"/>
  <c r="C53" i="38"/>
  <c r="E73" i="68"/>
  <c r="E53" i="38"/>
  <c r="H11"/>
  <c r="G12"/>
  <c r="H6" i="53"/>
  <c r="G40" i="79"/>
  <c r="G34" i="80"/>
  <c r="G41"/>
  <c r="L37" i="79"/>
  <c r="L33" i="80"/>
  <c r="H9" i="78"/>
  <c r="H20"/>
  <c r="H4"/>
  <c r="K24" i="38"/>
  <c r="L36" i="53"/>
  <c r="V121" i="54"/>
  <c r="D153" i="59"/>
  <c r="D152"/>
  <c r="D124"/>
  <c r="F68" i="68"/>
  <c r="F48" i="38"/>
  <c r="I68" i="68"/>
  <c r="I48" i="38"/>
  <c r="I18"/>
  <c r="J22" i="53"/>
  <c r="H91" i="54"/>
  <c r="H17" i="78"/>
  <c r="H19" i="68"/>
  <c r="G36" i="53"/>
  <c r="Q121" i="54"/>
  <c r="F24" i="38"/>
  <c r="I36" i="53"/>
  <c r="S121" i="54"/>
  <c r="H24" i="38"/>
  <c r="E84" i="68"/>
  <c r="E65" i="38"/>
  <c r="C20"/>
  <c r="B84" i="68"/>
  <c r="D24" i="53"/>
  <c r="N91" i="54"/>
  <c r="B85" i="68"/>
  <c r="E85"/>
  <c r="E66" i="38"/>
  <c r="C30" i="68"/>
  <c r="E4" i="53"/>
  <c r="E40" i="79"/>
  <c r="E34" i="80"/>
  <c r="E41"/>
  <c r="C27" i="78"/>
  <c r="D14" i="79"/>
  <c r="C29" i="78"/>
  <c r="D16" i="79"/>
  <c r="C87" i="68"/>
  <c r="C68" i="38"/>
  <c r="F87" i="68"/>
  <c r="F68" i="38"/>
  <c r="D11"/>
  <c r="D2" i="53"/>
  <c r="C9" i="38"/>
  <c r="A6" i="50"/>
  <c r="A7"/>
  <c r="A8"/>
  <c r="A9"/>
  <c r="A10"/>
  <c r="A11"/>
  <c r="A12"/>
  <c r="A13"/>
  <c r="A14"/>
  <c r="A15"/>
  <c r="A16"/>
  <c r="B7" i="76"/>
  <c r="F73" i="68"/>
  <c r="F53" i="38"/>
  <c r="I73" i="68"/>
  <c r="I53" i="38"/>
  <c r="I11"/>
  <c r="H70" i="68"/>
  <c r="H50" i="38"/>
  <c r="C70" i="68"/>
  <c r="C50" i="38"/>
  <c r="I24" i="53"/>
  <c r="S91" i="54"/>
  <c r="E70" i="68"/>
  <c r="E50" i="38"/>
  <c r="H20"/>
  <c r="H68" i="68"/>
  <c r="H48" i="38"/>
  <c r="I22" i="53"/>
  <c r="G91" i="54"/>
  <c r="C68" i="68"/>
  <c r="C48" i="38"/>
  <c r="E68" i="68"/>
  <c r="E48" i="38"/>
  <c r="H18"/>
  <c r="G19" i="68"/>
  <c r="G29"/>
  <c r="H13" i="38"/>
  <c r="G17" i="78"/>
  <c r="L15" i="68"/>
  <c r="N5" i="53"/>
  <c r="X17" i="54"/>
  <c r="X18"/>
  <c r="H37" i="80"/>
  <c r="H44"/>
  <c r="H43" i="79"/>
  <c r="J8" i="76"/>
  <c r="K23" i="38"/>
  <c r="D4" i="78"/>
  <c r="D9"/>
  <c r="D20"/>
  <c r="L27"/>
  <c r="M14" i="79"/>
  <c r="G4" i="53"/>
  <c r="E30" i="68"/>
  <c r="E45"/>
  <c r="I29" i="38"/>
  <c r="J34" i="53"/>
  <c r="F20" i="78"/>
  <c r="F4"/>
  <c r="F9"/>
  <c r="L29" i="38"/>
  <c r="M34" i="53"/>
  <c r="B87" i="68"/>
  <c r="E87"/>
  <c r="E68" i="38"/>
  <c r="C11"/>
  <c r="B29" i="78"/>
  <c r="C16" i="79"/>
  <c r="B27" i="78"/>
  <c r="C14" i="79"/>
  <c r="G9" i="78"/>
  <c r="G30"/>
  <c r="H17" i="79"/>
  <c r="G20" i="78"/>
  <c r="G4"/>
  <c r="L35" i="38"/>
  <c r="F30" i="56"/>
  <c r="G30"/>
  <c r="H22" i="53"/>
  <c r="F91" i="54"/>
  <c r="G68" i="68"/>
  <c r="G48" i="38"/>
  <c r="I82" i="68"/>
  <c r="I63" i="38"/>
  <c r="D68" i="68"/>
  <c r="D48" i="38"/>
  <c r="G18"/>
  <c r="B68" i="68"/>
  <c r="E47"/>
  <c r="E48"/>
  <c r="B9" i="82"/>
  <c r="C15" i="69"/>
  <c r="B43" i="81"/>
  <c r="D87" i="68"/>
  <c r="D68" i="38"/>
  <c r="G87" i="68"/>
  <c r="G68" i="38"/>
  <c r="E11"/>
  <c r="J29" i="78"/>
  <c r="K16" i="79"/>
  <c r="J27" i="78"/>
  <c r="K14" i="79"/>
  <c r="K29" i="78"/>
  <c r="L16" i="79"/>
  <c r="K27" i="78"/>
  <c r="L14" i="79"/>
  <c r="L11" i="85"/>
  <c r="L25"/>
  <c r="L35"/>
  <c r="L80" i="79"/>
  <c r="L22" i="68"/>
  <c r="H76"/>
  <c r="H57" i="38"/>
  <c r="D23" i="85"/>
  <c r="D33"/>
  <c r="D78" i="79"/>
  <c r="E21" i="85"/>
  <c r="E31"/>
  <c r="E76" i="79"/>
  <c r="D19" i="68"/>
  <c r="D29"/>
  <c r="E13" i="38"/>
  <c r="D17" i="78"/>
  <c r="D18"/>
  <c r="G85" i="68"/>
  <c r="G66" i="38"/>
  <c r="D85" i="68"/>
  <c r="D66" i="38"/>
  <c r="C40" i="79"/>
  <c r="C34" i="80"/>
  <c r="C41"/>
  <c r="D76" i="68"/>
  <c r="D57" i="38"/>
  <c r="G76" i="68"/>
  <c r="G57" i="38"/>
  <c r="B7" i="82"/>
  <c r="C13" i="69"/>
  <c r="B41" i="81"/>
  <c r="E41"/>
  <c r="F29" i="38"/>
  <c r="G34" i="53"/>
  <c r="J37" i="80"/>
  <c r="J44"/>
  <c r="J43" i="79"/>
  <c r="J30" i="68"/>
  <c r="K14" i="38"/>
  <c r="L4" i="53"/>
  <c r="C4" i="78"/>
  <c r="C9"/>
  <c r="C20"/>
  <c r="H87" i="68"/>
  <c r="H68" i="38"/>
  <c r="F11"/>
  <c r="B16" i="81"/>
  <c r="I37" i="84"/>
  <c r="L20" i="78"/>
  <c r="L9"/>
  <c r="L34" i="53"/>
  <c r="K29" i="38"/>
  <c r="D33" i="80"/>
  <c r="D40"/>
  <c r="D37" i="79"/>
  <c r="D37" i="80"/>
  <c r="D44"/>
  <c r="D43" i="79"/>
  <c r="H37" i="53"/>
  <c r="F136" i="54"/>
  <c r="G34" i="38"/>
  <c r="B12" i="82"/>
  <c r="C18" i="69"/>
  <c r="B46" i="81"/>
  <c r="H33" i="80"/>
  <c r="H40"/>
  <c r="H37" i="79"/>
  <c r="J37" i="53"/>
  <c r="H136" i="54"/>
  <c r="I34" i="38"/>
  <c r="D37" i="53"/>
  <c r="B136" i="54"/>
  <c r="C34" i="38"/>
  <c r="J21" i="85"/>
  <c r="J31"/>
  <c r="J76" i="79"/>
  <c r="I23" i="85"/>
  <c r="I33"/>
  <c r="I78" i="79"/>
  <c r="J71" i="68"/>
  <c r="J51" i="38"/>
  <c r="J20"/>
  <c r="J70" i="68"/>
  <c r="J50" i="38"/>
  <c r="K24" i="53"/>
  <c r="U91" i="54"/>
  <c r="I35" i="80"/>
  <c r="I42"/>
  <c r="I41" i="79"/>
  <c r="M37" i="80"/>
  <c r="M43" i="79"/>
  <c r="D3" i="38"/>
  <c r="B11" i="68"/>
  <c r="D3" i="81"/>
  <c r="C3" i="43"/>
  <c r="C3" i="38"/>
  <c r="D47" i="68"/>
  <c r="D48"/>
  <c r="H35" i="80"/>
  <c r="H42"/>
  <c r="H41" i="79"/>
  <c r="I37" i="80"/>
  <c r="I44"/>
  <c r="I43" i="79"/>
  <c r="B10" i="82"/>
  <c r="C16" i="69"/>
  <c r="B44" i="81"/>
  <c r="M4" i="53"/>
  <c r="K30" i="68"/>
  <c r="L14" i="38"/>
  <c r="K38" i="81"/>
  <c r="H44"/>
  <c r="E35" i="80"/>
  <c r="E42"/>
  <c r="E41" i="79"/>
  <c r="I32" i="78"/>
  <c r="J19" i="79"/>
  <c r="E42" i="68"/>
  <c r="L32" i="78"/>
  <c r="M19" i="79"/>
  <c r="V77" i="54"/>
  <c r="K140" i="59"/>
  <c r="D25" i="85"/>
  <c r="D35"/>
  <c r="D80" i="79"/>
  <c r="G25" i="85"/>
  <c r="G35"/>
  <c r="G80" i="79"/>
  <c r="C57" i="68"/>
  <c r="S77" i="54"/>
  <c r="I20" i="85"/>
  <c r="D31" i="78"/>
  <c r="E18" i="79"/>
  <c r="X77" i="54"/>
  <c r="H27" i="85"/>
  <c r="H37"/>
  <c r="H82" i="79"/>
  <c r="G18" i="78"/>
  <c r="I24" i="85"/>
  <c r="I34"/>
  <c r="I79" i="79"/>
  <c r="D20" i="85"/>
  <c r="F26"/>
  <c r="F36"/>
  <c r="F81" i="79"/>
  <c r="F13" i="78"/>
  <c r="I156" i="59"/>
  <c r="D140"/>
  <c r="K57" i="68"/>
  <c r="F18" i="85"/>
  <c r="F22"/>
  <c r="F32"/>
  <c r="F77" i="79"/>
  <c r="J27" i="85"/>
  <c r="J37"/>
  <c r="J82" i="79"/>
  <c r="K24" i="85"/>
  <c r="K34"/>
  <c r="K79" i="79"/>
  <c r="G27" i="85"/>
  <c r="G37"/>
  <c r="G82" i="79"/>
  <c r="G18" i="85"/>
  <c r="G22"/>
  <c r="G32"/>
  <c r="G77" i="79"/>
  <c r="K27" i="85"/>
  <c r="K37"/>
  <c r="K82" i="79"/>
  <c r="E59" i="68"/>
  <c r="C58"/>
  <c r="B18" i="85"/>
  <c r="C24"/>
  <c r="C34"/>
  <c r="C79" i="79"/>
  <c r="J143" i="59"/>
  <c r="J144"/>
  <c r="L46" i="68"/>
  <c r="K20" i="85"/>
  <c r="S33" i="54"/>
  <c r="G42" i="68"/>
  <c r="Q18" i="54"/>
  <c r="I135" i="59"/>
  <c r="I142"/>
  <c r="I146"/>
  <c r="E24" i="85"/>
  <c r="E34"/>
  <c r="E79" i="79"/>
  <c r="H143" i="59"/>
  <c r="I26" i="85"/>
  <c r="I36"/>
  <c r="I81" i="79"/>
  <c r="H140" i="59"/>
  <c r="F27" i="85"/>
  <c r="F37"/>
  <c r="F82" i="79"/>
  <c r="D27" i="85"/>
  <c r="D37"/>
  <c r="D82" i="79"/>
  <c r="K25" i="85"/>
  <c r="K35"/>
  <c r="K80" i="79"/>
  <c r="W33" i="54"/>
  <c r="I27" i="85"/>
  <c r="I37"/>
  <c r="I82" i="79"/>
  <c r="F135" i="59"/>
  <c r="J13" i="78"/>
  <c r="J31"/>
  <c r="K18" i="79"/>
  <c r="B22" i="81"/>
  <c r="H21"/>
  <c r="M41" i="79"/>
  <c r="M35" i="80"/>
  <c r="E24" i="38"/>
  <c r="F36" i="53"/>
  <c r="P121" i="54"/>
  <c r="E36" i="53"/>
  <c r="O121" i="54"/>
  <c r="D24" i="38"/>
  <c r="F47" i="68"/>
  <c r="F48"/>
  <c r="I8" i="76"/>
  <c r="J72" i="68"/>
  <c r="J23" i="38"/>
  <c r="H48" i="68"/>
  <c r="H47"/>
  <c r="B14" i="82"/>
  <c r="C20" i="69"/>
  <c r="F20"/>
  <c r="B48" i="81"/>
  <c r="F35" i="80"/>
  <c r="F42"/>
  <c r="F41" i="79"/>
  <c r="B47" i="68"/>
  <c r="B48"/>
  <c r="H86"/>
  <c r="E8" i="76"/>
  <c r="F23" i="38"/>
  <c r="M12"/>
  <c r="N6" i="53"/>
  <c r="E33" i="80"/>
  <c r="E40"/>
  <c r="E37" i="79"/>
  <c r="K35" i="80"/>
  <c r="K42"/>
  <c r="K41" i="79"/>
  <c r="E30" i="85"/>
  <c r="E75" i="79"/>
  <c r="E4" i="78"/>
  <c r="E28"/>
  <c r="F15" i="79"/>
  <c r="E9" i="78"/>
  <c r="E30"/>
  <c r="F17" i="79"/>
  <c r="E20" i="78"/>
  <c r="E34"/>
  <c r="F21" i="79"/>
  <c r="H29" i="68"/>
  <c r="I13" i="38"/>
  <c r="I24"/>
  <c r="J36" i="53"/>
  <c r="T121" i="54"/>
  <c r="C62" i="68"/>
  <c r="C42" i="38"/>
  <c r="E62" i="68"/>
  <c r="E42" i="38"/>
  <c r="H62" i="68"/>
  <c r="H42" i="38"/>
  <c r="N37" i="53"/>
  <c r="L136" i="54"/>
  <c r="M34" i="38"/>
  <c r="D36" i="53"/>
  <c r="N121" i="54"/>
  <c r="C24" i="38"/>
  <c r="C17" i="78"/>
  <c r="C18"/>
  <c r="C19" i="68"/>
  <c r="C29"/>
  <c r="D13" i="38"/>
  <c r="F85" i="68"/>
  <c r="F66" i="38"/>
  <c r="C85" i="68"/>
  <c r="C66" i="38"/>
  <c r="C45" i="68"/>
  <c r="K34" i="53"/>
  <c r="J29" i="38"/>
  <c r="K33" i="80"/>
  <c r="K40"/>
  <c r="K37" i="79"/>
  <c r="J62" i="68"/>
  <c r="J42" i="38"/>
  <c r="F27" i="78"/>
  <c r="G14" i="79"/>
  <c r="F29" i="78"/>
  <c r="G16" i="79"/>
  <c r="L2" i="78"/>
  <c r="L26"/>
  <c r="M13" i="79"/>
  <c r="L21" i="68"/>
  <c r="F72"/>
  <c r="H8" i="76"/>
  <c r="I72" i="68"/>
  <c r="I23" i="38"/>
  <c r="C48" i="68"/>
  <c r="C47"/>
  <c r="J40" i="79"/>
  <c r="J34" i="80"/>
  <c r="J41"/>
  <c r="G30" i="85"/>
  <c r="G75" i="79"/>
  <c r="K37" i="80"/>
  <c r="K44"/>
  <c r="K43" i="79"/>
  <c r="M22" i="53"/>
  <c r="K91" i="54"/>
  <c r="K92"/>
  <c r="L18" i="38"/>
  <c r="K17" i="78"/>
  <c r="K19" i="68"/>
  <c r="G43" i="79"/>
  <c r="G37" i="80"/>
  <c r="G44"/>
  <c r="J48" i="68"/>
  <c r="J47"/>
  <c r="E23" i="85"/>
  <c r="E33"/>
  <c r="E78" i="79"/>
  <c r="F21" i="85"/>
  <c r="F31"/>
  <c r="F76" i="79"/>
  <c r="G24" i="53"/>
  <c r="Q91" i="54"/>
  <c r="H84" i="68"/>
  <c r="H65" i="38"/>
  <c r="F20"/>
  <c r="E17" i="78"/>
  <c r="E18"/>
  <c r="E19" i="68"/>
  <c r="E29"/>
  <c r="F13" i="38"/>
  <c r="F124" i="59"/>
  <c r="F152"/>
  <c r="F153"/>
  <c r="K20" i="38"/>
  <c r="L24" i="53"/>
  <c r="V91" i="54"/>
  <c r="L23" i="53"/>
  <c r="K19" i="38"/>
  <c r="D40" i="79"/>
  <c r="D34" i="80"/>
  <c r="D41"/>
  <c r="B30" i="68"/>
  <c r="B57"/>
  <c r="D4" i="53"/>
  <c r="B6" i="82"/>
  <c r="C12" i="69"/>
  <c r="B40" i="81"/>
  <c r="H135" i="59"/>
  <c r="L125"/>
  <c r="G29" i="78"/>
  <c r="H16" i="79"/>
  <c r="G27" i="78"/>
  <c r="H14" i="79"/>
  <c r="K47" i="68"/>
  <c r="K48"/>
  <c r="B8" i="76"/>
  <c r="C23" i="38"/>
  <c r="B86" i="68"/>
  <c r="E86"/>
  <c r="K129" i="59"/>
  <c r="K136"/>
  <c r="K127"/>
  <c r="I9" i="78"/>
  <c r="I30"/>
  <c r="J17" i="79"/>
  <c r="I20" i="78"/>
  <c r="I34"/>
  <c r="J21" i="79"/>
  <c r="I4" i="78"/>
  <c r="I28"/>
  <c r="J15" i="79"/>
  <c r="H127" i="59"/>
  <c r="H136"/>
  <c r="L124"/>
  <c r="H129"/>
  <c r="I21" i="85"/>
  <c r="I31"/>
  <c r="I76" i="79"/>
  <c r="H23" i="85"/>
  <c r="H33"/>
  <c r="H78" i="79"/>
  <c r="I70" i="68"/>
  <c r="I50" i="38"/>
  <c r="I20"/>
  <c r="J24" i="53"/>
  <c r="T91" i="54"/>
  <c r="F70" i="68"/>
  <c r="F50" i="38"/>
  <c r="I71" i="68"/>
  <c r="I51" i="38"/>
  <c r="F71" i="68"/>
  <c r="F51" i="38"/>
  <c r="D41" i="79"/>
  <c r="D35" i="80"/>
  <c r="D42"/>
  <c r="L12" i="38"/>
  <c r="M6" i="53"/>
  <c r="D22"/>
  <c r="B91" i="54"/>
  <c r="C18" i="38"/>
  <c r="B17" i="78"/>
  <c r="B18"/>
  <c r="B33"/>
  <c r="C20" i="79"/>
  <c r="B19" i="68"/>
  <c r="B29"/>
  <c r="C13" i="38"/>
  <c r="C37" i="80"/>
  <c r="C44"/>
  <c r="C43" i="79"/>
  <c r="C1" i="78"/>
  <c r="C25"/>
  <c r="D10" i="79"/>
  <c r="C3" i="85"/>
  <c r="D71" i="79"/>
  <c r="C13" i="68"/>
  <c r="G5" i="48"/>
  <c r="H27" i="78"/>
  <c r="I14" i="79"/>
  <c r="H29" i="78"/>
  <c r="I16" i="79"/>
  <c r="K39" i="81"/>
  <c r="B105" i="68"/>
  <c r="N10" i="53"/>
  <c r="N17"/>
  <c r="H71" i="68"/>
  <c r="H51" i="38"/>
  <c r="E71" i="68"/>
  <c r="E51" i="38"/>
  <c r="C71" i="68"/>
  <c r="C51" i="38"/>
  <c r="H21" i="85"/>
  <c r="H31"/>
  <c r="H76" i="79"/>
  <c r="G23" i="85"/>
  <c r="G33"/>
  <c r="G78" i="79"/>
  <c r="C124" i="59"/>
  <c r="C152"/>
  <c r="C153"/>
  <c r="E37" i="53"/>
  <c r="C136" i="54"/>
  <c r="C137"/>
  <c r="D34" i="38"/>
  <c r="C76" i="68"/>
  <c r="C57" i="38"/>
  <c r="F76" i="68"/>
  <c r="F57" i="38"/>
  <c r="N4" i="53"/>
  <c r="L30" i="68"/>
  <c r="M14" i="38"/>
  <c r="L44" i="68"/>
  <c r="C33" i="80"/>
  <c r="C40"/>
  <c r="C37" i="79"/>
  <c r="J11" i="38"/>
  <c r="J73" i="68"/>
  <c r="J53" i="38"/>
  <c r="I29" i="78"/>
  <c r="J16" i="79"/>
  <c r="I27" i="78"/>
  <c r="J14" i="79"/>
  <c r="F28" i="56"/>
  <c r="G28"/>
  <c r="L34" i="38"/>
  <c r="M37" i="53"/>
  <c r="K136" i="54"/>
  <c r="E30" i="69"/>
  <c r="H29" i="38"/>
  <c r="I34" i="53"/>
  <c r="G33" i="80"/>
  <c r="G40"/>
  <c r="G37" i="79"/>
  <c r="G29" i="38"/>
  <c r="H34" i="53"/>
  <c r="F4"/>
  <c r="D30" i="68"/>
  <c r="D45"/>
  <c r="J37" i="79"/>
  <c r="J33" i="80"/>
  <c r="J40"/>
  <c r="M34"/>
  <c r="M40" i="79"/>
  <c r="D6" i="53"/>
  <c r="C12" i="38"/>
  <c r="L40" i="79"/>
  <c r="L34" i="80"/>
  <c r="G30" i="68"/>
  <c r="G57"/>
  <c r="I4" i="53"/>
  <c r="I12" i="38"/>
  <c r="J6" i="53"/>
  <c r="M37" i="79"/>
  <c r="M33" i="80"/>
  <c r="K6" i="53"/>
  <c r="J12" i="38"/>
  <c r="B11" i="82"/>
  <c r="C17" i="69"/>
  <c r="B45" i="81"/>
  <c r="G21" i="85"/>
  <c r="G31"/>
  <c r="G76" i="79"/>
  <c r="F23" i="85"/>
  <c r="F33"/>
  <c r="F78" i="79"/>
  <c r="I85" i="68"/>
  <c r="I66" i="38"/>
  <c r="D71" i="68"/>
  <c r="D51" i="38"/>
  <c r="G71" i="68"/>
  <c r="G51" i="38"/>
  <c r="B71" i="68"/>
  <c r="G70"/>
  <c r="G50" i="38"/>
  <c r="G20"/>
  <c r="B70" i="68"/>
  <c r="D70"/>
  <c r="D50" i="38"/>
  <c r="I84" i="68"/>
  <c r="I65" i="38"/>
  <c r="H24" i="53"/>
  <c r="R91" i="54"/>
  <c r="R92"/>
  <c r="F17" i="78"/>
  <c r="F18"/>
  <c r="F19" i="68"/>
  <c r="F29"/>
  <c r="G13" i="38"/>
  <c r="B53" i="81"/>
  <c r="D82" i="59"/>
  <c r="F33" i="80"/>
  <c r="F40"/>
  <c r="F37" i="79"/>
  <c r="L37" i="53"/>
  <c r="J136" i="54"/>
  <c r="J137"/>
  <c r="K34" i="38"/>
  <c r="B20" i="78"/>
  <c r="B34"/>
  <c r="C21" i="79"/>
  <c r="B9" i="78"/>
  <c r="B30"/>
  <c r="C17" i="79"/>
  <c r="B4" i="78"/>
  <c r="B28"/>
  <c r="C15" i="79"/>
  <c r="D27" i="78"/>
  <c r="E14" i="79"/>
  <c r="D29" i="78"/>
  <c r="E16" i="79"/>
  <c r="I37"/>
  <c r="I33" i="80"/>
  <c r="I40"/>
  <c r="I40" i="79"/>
  <c r="I34" i="80"/>
  <c r="I41"/>
  <c r="F34" i="38"/>
  <c r="G37" i="53"/>
  <c r="E136" i="54"/>
  <c r="F24" i="53"/>
  <c r="P91" i="54"/>
  <c r="D84" i="68"/>
  <c r="D65" i="38"/>
  <c r="E20"/>
  <c r="G84" i="68"/>
  <c r="G65" i="38"/>
  <c r="F37" i="53"/>
  <c r="D136" i="54"/>
  <c r="E34" i="38"/>
  <c r="H72" i="68"/>
  <c r="H23" i="38"/>
  <c r="C72" i="68"/>
  <c r="G8" i="76"/>
  <c r="E72" i="68"/>
  <c r="K4" i="53"/>
  <c r="I30" i="68"/>
  <c r="I45"/>
  <c r="D12" i="38"/>
  <c r="E6" i="53"/>
  <c r="F12" i="38"/>
  <c r="G6" i="53"/>
  <c r="C41" i="79"/>
  <c r="C35" i="80"/>
  <c r="C42"/>
  <c r="E29" i="78"/>
  <c r="F16" i="79"/>
  <c r="E27" i="78"/>
  <c r="F14" i="79"/>
  <c r="F6" i="53"/>
  <c r="E12" i="38"/>
  <c r="L35" i="80"/>
  <c r="L41" i="79"/>
  <c r="B62" i="68"/>
  <c r="I76"/>
  <c r="I57" i="38"/>
  <c r="G62" i="68"/>
  <c r="G42" i="38"/>
  <c r="D62" i="68"/>
  <c r="D42" i="38"/>
  <c r="F43" i="79"/>
  <c r="F37" i="80"/>
  <c r="F44"/>
  <c r="I129" i="59"/>
  <c r="I136"/>
  <c r="I127"/>
  <c r="I147"/>
  <c r="I62" i="68"/>
  <c r="I42" i="38"/>
  <c r="F62" i="68"/>
  <c r="F42" i="38"/>
  <c r="C90" i="75"/>
  <c r="D90"/>
  <c r="G90"/>
  <c r="F90"/>
  <c r="E90"/>
  <c r="H90"/>
  <c r="E76" i="68"/>
  <c r="E57" i="38"/>
  <c r="B76" i="68"/>
  <c r="D29" i="38"/>
  <c r="E34" i="53"/>
  <c r="C29" i="38"/>
  <c r="D34" i="53"/>
  <c r="K22"/>
  <c r="I91" i="54"/>
  <c r="J18" i="38"/>
  <c r="J68" i="68"/>
  <c r="J48" i="38"/>
  <c r="I17" i="78"/>
  <c r="I18"/>
  <c r="I19" i="68"/>
  <c r="I29"/>
  <c r="J13" i="38"/>
  <c r="E124" i="59"/>
  <c r="E152"/>
  <c r="E153"/>
  <c r="H36" i="53"/>
  <c r="R121" i="54"/>
  <c r="G24" i="38"/>
  <c r="H4" i="53"/>
  <c r="F30" i="68"/>
  <c r="F45"/>
  <c r="L23" i="38"/>
  <c r="K8" i="76"/>
  <c r="L6" i="53"/>
  <c r="K12" i="38"/>
  <c r="J127" i="59"/>
  <c r="J129"/>
  <c r="J136"/>
  <c r="K20" i="78"/>
  <c r="K34"/>
  <c r="L21" i="79"/>
  <c r="K9" i="78"/>
  <c r="K30"/>
  <c r="L17" i="79"/>
  <c r="K4" i="78"/>
  <c r="K28"/>
  <c r="L15" i="79"/>
  <c r="H30" i="68"/>
  <c r="H59"/>
  <c r="J4" i="53"/>
  <c r="L59" i="68"/>
  <c r="P33" i="54"/>
  <c r="R33"/>
  <c r="F57" i="68"/>
  <c r="K143" i="59"/>
  <c r="K144"/>
  <c r="K31" i="78"/>
  <c r="L18" i="79"/>
  <c r="F12" i="48"/>
  <c r="C39" i="68"/>
  <c r="U77" i="54"/>
  <c r="O12" i="48"/>
  <c r="E13" i="78"/>
  <c r="E31"/>
  <c r="F18" i="79"/>
  <c r="F58" i="68"/>
  <c r="K45"/>
  <c r="K18" i="78"/>
  <c r="J58" i="68"/>
  <c r="L148" i="59"/>
  <c r="F32" i="78"/>
  <c r="G19" i="79"/>
  <c r="J24" i="85"/>
  <c r="J34"/>
  <c r="J79" i="79"/>
  <c r="J57" i="68"/>
  <c r="H22" i="85"/>
  <c r="H32"/>
  <c r="H77" i="79"/>
  <c r="D58" i="68"/>
  <c r="J20" i="85"/>
  <c r="H18" i="78"/>
  <c r="H33"/>
  <c r="I20" i="79"/>
  <c r="D32" i="78"/>
  <c r="E19" i="79"/>
  <c r="C20" i="85"/>
  <c r="C21"/>
  <c r="C31"/>
  <c r="C76" i="79"/>
  <c r="J140" i="59"/>
  <c r="J142"/>
  <c r="J146"/>
  <c r="J147"/>
  <c r="H20" i="85"/>
  <c r="L20"/>
  <c r="F20"/>
  <c r="B18" i="81"/>
  <c r="B19"/>
  <c r="G140" i="59"/>
  <c r="G142"/>
  <c r="L132"/>
  <c r="E26" i="85"/>
  <c r="E36"/>
  <c r="E81" i="79"/>
  <c r="V33" i="54"/>
  <c r="F42" i="68"/>
  <c r="H24" i="85"/>
  <c r="H34"/>
  <c r="H79" i="79"/>
  <c r="K142" i="59"/>
  <c r="K146"/>
  <c r="K147"/>
  <c r="M36" i="80"/>
  <c r="J59" i="68"/>
  <c r="K59"/>
  <c r="K58"/>
  <c r="E27" i="85"/>
  <c r="E37"/>
  <c r="E82" i="79"/>
  <c r="S18" i="54"/>
  <c r="S29" i="48"/>
  <c r="L24" i="68"/>
  <c r="L24" i="85"/>
  <c r="L34"/>
  <c r="L79" i="79"/>
  <c r="B59" i="68"/>
  <c r="C59"/>
  <c r="C27" i="85"/>
  <c r="C37"/>
  <c r="C82" i="79"/>
  <c r="O18" i="54"/>
  <c r="P77"/>
  <c r="I25" i="85"/>
  <c r="I35"/>
  <c r="I80" i="79"/>
  <c r="G12" i="48"/>
  <c r="D39" i="68"/>
  <c r="L31" i="78"/>
  <c r="M18" i="79"/>
  <c r="V18" i="54"/>
  <c r="G13" i="78"/>
  <c r="G31"/>
  <c r="H18" i="79"/>
  <c r="C18" i="85"/>
  <c r="C22"/>
  <c r="C32"/>
  <c r="C77" i="79"/>
  <c r="L18" i="85"/>
  <c r="F140" i="59"/>
  <c r="L36" i="80"/>
  <c r="K26" i="85"/>
  <c r="K36"/>
  <c r="K81" i="79"/>
  <c r="L140" i="59"/>
  <c r="F59" i="68"/>
  <c r="E57"/>
  <c r="E58"/>
  <c r="K18" i="85"/>
  <c r="K22"/>
  <c r="K32"/>
  <c r="K77" i="79"/>
  <c r="J25" i="85"/>
  <c r="J35"/>
  <c r="J80" i="79"/>
  <c r="C143" i="59"/>
  <c r="C144"/>
  <c r="J42" i="68"/>
  <c r="G143" i="59"/>
  <c r="G144"/>
  <c r="F143"/>
  <c r="F144"/>
  <c r="T92" i="54"/>
  <c r="K33" i="78"/>
  <c r="L20" i="79"/>
  <c r="G59" i="68"/>
  <c r="G28" i="78"/>
  <c r="H15" i="79"/>
  <c r="C22" i="78"/>
  <c r="C23"/>
  <c r="D155" i="59"/>
  <c r="G146"/>
  <c r="H57" i="68"/>
  <c r="E155" i="59"/>
  <c r="D30" i="78"/>
  <c r="E17" i="79"/>
  <c r="R122" i="54"/>
  <c r="T122"/>
  <c r="H137"/>
  <c r="L33"/>
  <c r="D137"/>
  <c r="P92"/>
  <c r="H33"/>
  <c r="L15" i="38"/>
  <c r="I92" i="54"/>
  <c r="F92"/>
  <c r="V122"/>
  <c r="O122"/>
  <c r="H92"/>
  <c r="E33"/>
  <c r="I33" i="78"/>
  <c r="J20" i="79"/>
  <c r="K13" i="53"/>
  <c r="I47" i="54"/>
  <c r="J28" i="38"/>
  <c r="D33" i="78"/>
  <c r="E20" i="79"/>
  <c r="F33" i="78"/>
  <c r="G20" i="79"/>
  <c r="E28" i="38"/>
  <c r="F13" i="53"/>
  <c r="D47" i="54"/>
  <c r="M27" i="38"/>
  <c r="N16" i="53"/>
  <c r="L62" i="54"/>
  <c r="D38" i="53"/>
  <c r="N136" i="54"/>
  <c r="C36" i="38"/>
  <c r="C127" i="59"/>
  <c r="C136"/>
  <c r="C129"/>
  <c r="F22" i="84"/>
  <c r="L76" i="54"/>
  <c r="D9" i="38"/>
  <c r="E2" i="53"/>
  <c r="H22" i="81"/>
  <c r="L129" i="59"/>
  <c r="L127"/>
  <c r="E67" i="38"/>
  <c r="E14" i="76"/>
  <c r="E14" i="43"/>
  <c r="M20" i="53"/>
  <c r="L31" i="38"/>
  <c r="E40" i="81"/>
  <c r="E42"/>
  <c r="B42"/>
  <c r="I28" i="84"/>
  <c r="D15" i="53"/>
  <c r="N62" i="54"/>
  <c r="B17"/>
  <c r="F136" i="59"/>
  <c r="F127"/>
  <c r="F129"/>
  <c r="L19" i="53"/>
  <c r="K30" i="38"/>
  <c r="C81" i="68"/>
  <c r="C62" i="38"/>
  <c r="F81" i="68"/>
  <c r="F62" i="38"/>
  <c r="D31"/>
  <c r="E20" i="53"/>
  <c r="I11" i="76"/>
  <c r="I11" i="43"/>
  <c r="I52" i="38"/>
  <c r="F11" i="76"/>
  <c r="F11" i="43"/>
  <c r="F52" i="38"/>
  <c r="E13" i="53"/>
  <c r="C47" i="54"/>
  <c r="D28" i="38"/>
  <c r="H14" i="76"/>
  <c r="H14" i="43"/>
  <c r="H67" i="38"/>
  <c r="D19" i="53"/>
  <c r="C30" i="38"/>
  <c r="B80" i="68"/>
  <c r="E80"/>
  <c r="E61" i="38"/>
  <c r="F67" i="68"/>
  <c r="F47" i="38"/>
  <c r="I67" i="68"/>
  <c r="I47" i="38"/>
  <c r="I31"/>
  <c r="J20" i="53"/>
  <c r="J11" i="76"/>
  <c r="J11" i="43"/>
  <c r="J52" i="38"/>
  <c r="B67" i="68"/>
  <c r="D67"/>
  <c r="D47" i="38"/>
  <c r="G31"/>
  <c r="H20" i="53"/>
  <c r="I81" i="68"/>
  <c r="I62" i="38"/>
  <c r="G67" i="68"/>
  <c r="G47" i="38"/>
  <c r="D51" i="79"/>
  <c r="M42" i="80"/>
  <c r="H144" i="59"/>
  <c r="L144"/>
  <c r="L143"/>
  <c r="N34" i="53"/>
  <c r="M29" i="38"/>
  <c r="E39" i="53"/>
  <c r="C151" i="54"/>
  <c r="D37" i="38"/>
  <c r="G81" i="68"/>
  <c r="G62" i="38"/>
  <c r="D81" i="68"/>
  <c r="D62" i="38"/>
  <c r="E31"/>
  <c r="F20" i="53"/>
  <c r="D3" i="43"/>
  <c r="C23" i="69"/>
  <c r="F23"/>
  <c r="F26"/>
  <c r="E3" i="81"/>
  <c r="B78" i="38"/>
  <c r="D53" i="79"/>
  <c r="M44" i="80"/>
  <c r="J17" i="54"/>
  <c r="L15" i="53"/>
  <c r="V62" i="54"/>
  <c r="H80" i="68"/>
  <c r="H61" i="38"/>
  <c r="F30"/>
  <c r="G19" i="53"/>
  <c r="B68" i="38"/>
  <c r="J87" i="68"/>
  <c r="J68" i="38"/>
  <c r="H77" i="68"/>
  <c r="H58" i="38"/>
  <c r="F14"/>
  <c r="J29" i="76"/>
  <c r="J17" i="43"/>
  <c r="C7" i="76"/>
  <c r="B28"/>
  <c r="B16" i="43"/>
  <c r="N120" i="54"/>
  <c r="B46"/>
  <c r="N61"/>
  <c r="B150"/>
  <c r="B61"/>
  <c r="N31"/>
  <c r="N105"/>
  <c r="B31"/>
  <c r="N46"/>
  <c r="B120"/>
  <c r="B135"/>
  <c r="B16"/>
  <c r="B90"/>
  <c r="B105"/>
  <c r="N16"/>
  <c r="N90"/>
  <c r="B75"/>
  <c r="N135"/>
  <c r="N150"/>
  <c r="N75"/>
  <c r="D42" i="53"/>
  <c r="C17" i="54"/>
  <c r="E15" i="53"/>
  <c r="O62" i="54"/>
  <c r="J85" i="68"/>
  <c r="J66" i="38"/>
  <c r="B66"/>
  <c r="J84" i="68"/>
  <c r="J65" i="38"/>
  <c r="B65"/>
  <c r="C49" i="79"/>
  <c r="L40" i="80"/>
  <c r="I26" i="84"/>
  <c r="E38" i="81"/>
  <c r="B52"/>
  <c r="K19" i="53"/>
  <c r="J30" i="38"/>
  <c r="J66" i="68"/>
  <c r="J46" i="38"/>
  <c r="G127" i="59"/>
  <c r="G136"/>
  <c r="G129"/>
  <c r="G147"/>
  <c r="C66" i="68"/>
  <c r="C46" i="38"/>
  <c r="H30"/>
  <c r="H66" i="68"/>
  <c r="H46" i="38"/>
  <c r="E66" i="68"/>
  <c r="E46" i="38"/>
  <c r="I19" i="53"/>
  <c r="S21" i="48"/>
  <c r="O22"/>
  <c r="D11" i="76"/>
  <c r="D11" i="43"/>
  <c r="D52" i="38"/>
  <c r="G11" i="76"/>
  <c r="G11" i="43"/>
  <c r="G52" i="38"/>
  <c r="I14" i="76"/>
  <c r="I14" i="43"/>
  <c r="I67" i="38"/>
  <c r="D17" i="43"/>
  <c r="D29" i="76"/>
  <c r="F67" i="38"/>
  <c r="F14" i="76"/>
  <c r="F14" i="43"/>
  <c r="C67" i="38"/>
  <c r="C14" i="76"/>
  <c r="C14" i="43"/>
  <c r="J69" i="68"/>
  <c r="J49" i="38"/>
  <c r="J19"/>
  <c r="K23" i="53"/>
  <c r="H23"/>
  <c r="G69" i="68"/>
  <c r="G49" i="38"/>
  <c r="G19"/>
  <c r="I83" i="68"/>
  <c r="I64" i="38"/>
  <c r="B69" i="68"/>
  <c r="D69"/>
  <c r="D49" i="38"/>
  <c r="E83" i="68"/>
  <c r="E64" i="38"/>
  <c r="C19"/>
  <c r="B83" i="68"/>
  <c r="D23" i="53"/>
  <c r="G23"/>
  <c r="F19" i="38"/>
  <c r="H83" i="68"/>
  <c r="H64" i="38"/>
  <c r="E23" i="53"/>
  <c r="F83" i="68"/>
  <c r="F64" i="38"/>
  <c r="D19"/>
  <c r="C83" i="68"/>
  <c r="C64" i="38"/>
  <c r="D36" i="80"/>
  <c r="D43"/>
  <c r="D42" i="79"/>
  <c r="H36" i="80"/>
  <c r="H43"/>
  <c r="H42" i="79"/>
  <c r="K10" i="53"/>
  <c r="K17"/>
  <c r="I76" i="54"/>
  <c r="K14" i="53"/>
  <c r="U47" i="54"/>
  <c r="J10" i="53"/>
  <c r="J17"/>
  <c r="H76" i="54"/>
  <c r="J14" i="53"/>
  <c r="T47" i="54"/>
  <c r="G10" i="53"/>
  <c r="G17"/>
  <c r="E76" i="54"/>
  <c r="G14" i="53"/>
  <c r="Q47" i="54"/>
  <c r="D83" i="68"/>
  <c r="D64" i="38"/>
  <c r="G83" i="68"/>
  <c r="G64" i="38"/>
  <c r="E19"/>
  <c r="F23" i="53"/>
  <c r="H69" i="68"/>
  <c r="H49" i="38"/>
  <c r="I23" i="53"/>
  <c r="E69" i="68"/>
  <c r="E49" i="38"/>
  <c r="H19"/>
  <c r="C69" i="68"/>
  <c r="C49" i="38"/>
  <c r="F69" i="68"/>
  <c r="F49" i="38"/>
  <c r="I69" i="68"/>
  <c r="I49" i="38"/>
  <c r="I19"/>
  <c r="J23" i="53"/>
  <c r="F36" i="80"/>
  <c r="F43"/>
  <c r="F42" i="79"/>
  <c r="H14" i="53"/>
  <c r="R47" i="54"/>
  <c r="R48"/>
  <c r="H10" i="53"/>
  <c r="H17"/>
  <c r="F76" i="54"/>
  <c r="F77"/>
  <c r="J36" i="80"/>
  <c r="J43"/>
  <c r="J46"/>
  <c r="J42" i="79"/>
  <c r="K36" i="80"/>
  <c r="K43"/>
  <c r="K46"/>
  <c r="K42" i="79"/>
  <c r="C155" i="59"/>
  <c r="V92" i="54"/>
  <c r="F155" i="59"/>
  <c r="G40" i="85"/>
  <c r="G41"/>
  <c r="G49"/>
  <c r="H72" i="79"/>
  <c r="I29" i="53"/>
  <c r="E40" i="85"/>
  <c r="E41"/>
  <c r="E49"/>
  <c r="F72" i="79"/>
  <c r="G29" i="53"/>
  <c r="P122" i="54"/>
  <c r="F142" i="59"/>
  <c r="F146"/>
  <c r="E164"/>
  <c r="L57" i="68"/>
  <c r="H31" i="78"/>
  <c r="I18" i="79"/>
  <c r="L58" i="68"/>
  <c r="D57"/>
  <c r="J45"/>
  <c r="M15" i="38"/>
  <c r="L30" i="78"/>
  <c r="M17" i="79"/>
  <c r="L4" i="78"/>
  <c r="L28"/>
  <c r="M15" i="79"/>
  <c r="C30" i="78"/>
  <c r="D17" i="79"/>
  <c r="J44" i="68"/>
  <c r="G34" i="78"/>
  <c r="H21" i="79"/>
  <c r="F28" i="78"/>
  <c r="G15" i="79"/>
  <c r="D34" i="78"/>
  <c r="E21" i="79"/>
  <c r="D28" i="78"/>
  <c r="E15" i="79"/>
  <c r="K44" i="68"/>
  <c r="G92" i="54"/>
  <c r="S92"/>
  <c r="Q122"/>
  <c r="H34" i="78"/>
  <c r="I21" i="79"/>
  <c r="L45" i="68"/>
  <c r="J28" i="78"/>
  <c r="K15" i="79"/>
  <c r="J30" i="78"/>
  <c r="K17" i="79"/>
  <c r="G137" i="54"/>
  <c r="J33"/>
  <c r="C146" i="59"/>
  <c r="C147"/>
  <c r="C33" i="54"/>
  <c r="G33"/>
  <c r="F37" i="38"/>
  <c r="G39" i="53"/>
  <c r="E151" i="54"/>
  <c r="H40" i="53"/>
  <c r="R151" i="54"/>
  <c r="G38" i="38"/>
  <c r="C52" i="79"/>
  <c r="L43" i="80"/>
  <c r="D40" i="53"/>
  <c r="N151" i="54"/>
  <c r="C38" i="38"/>
  <c r="L37"/>
  <c r="M39" i="53"/>
  <c r="K151" i="54"/>
  <c r="I40" i="53"/>
  <c r="S151" i="54"/>
  <c r="S152"/>
  <c r="H38" i="38"/>
  <c r="M43" i="80"/>
  <c r="D52" i="79"/>
  <c r="F45" i="85"/>
  <c r="F46"/>
  <c r="F50"/>
  <c r="G73" i="79"/>
  <c r="H30" i="53"/>
  <c r="F121" i="54"/>
  <c r="F30" i="85"/>
  <c r="F75" i="79"/>
  <c r="F40" i="85"/>
  <c r="F41"/>
  <c r="F49"/>
  <c r="G72" i="79"/>
  <c r="H29" i="53"/>
  <c r="H30" i="85"/>
  <c r="H75" i="79"/>
  <c r="H40" i="85"/>
  <c r="H41"/>
  <c r="H49"/>
  <c r="I72" i="79"/>
  <c r="J29" i="53"/>
  <c r="H45" i="85"/>
  <c r="H46"/>
  <c r="H50"/>
  <c r="I73" i="79"/>
  <c r="J30" i="53"/>
  <c r="H121" i="54"/>
  <c r="C30" i="85"/>
  <c r="C75" i="79"/>
  <c r="C40" i="85"/>
  <c r="C41"/>
  <c r="C49"/>
  <c r="D72" i="79"/>
  <c r="E29" i="53"/>
  <c r="C45" i="85"/>
  <c r="C46"/>
  <c r="C50"/>
  <c r="D73" i="79"/>
  <c r="E30" i="53"/>
  <c r="C121" i="54"/>
  <c r="C122"/>
  <c r="I38" i="53"/>
  <c r="S136" i="54"/>
  <c r="H36" i="38"/>
  <c r="J30" i="85"/>
  <c r="J75" i="79"/>
  <c r="J45" i="85"/>
  <c r="J46"/>
  <c r="J50"/>
  <c r="K73" i="79"/>
  <c r="L30" i="53"/>
  <c r="J121" i="54"/>
  <c r="J40" i="85"/>
  <c r="J41"/>
  <c r="J49"/>
  <c r="K72" i="79"/>
  <c r="L29" i="53"/>
  <c r="L39"/>
  <c r="J151" i="54"/>
  <c r="K37" i="38"/>
  <c r="G37"/>
  <c r="H39" i="53"/>
  <c r="F151" i="54"/>
  <c r="F152"/>
  <c r="H38" i="53"/>
  <c r="R136" i="54"/>
  <c r="G36" i="38"/>
  <c r="H17" i="54"/>
  <c r="J15" i="53"/>
  <c r="T62" i="54"/>
  <c r="F17"/>
  <c r="H15" i="53"/>
  <c r="R62" i="54"/>
  <c r="E136" i="59"/>
  <c r="E127"/>
  <c r="E147"/>
  <c r="E129"/>
  <c r="J76" i="68"/>
  <c r="J57" i="38"/>
  <c r="B57"/>
  <c r="H109" i="75"/>
  <c r="P120"/>
  <c r="H123"/>
  <c r="H131"/>
  <c r="H119"/>
  <c r="H94"/>
  <c r="H122"/>
  <c r="P127"/>
  <c r="P104"/>
  <c r="H105"/>
  <c r="P106"/>
  <c r="P112"/>
  <c r="P126"/>
  <c r="H110"/>
  <c r="H106"/>
  <c r="H111"/>
  <c r="P122"/>
  <c r="H130"/>
  <c r="P102"/>
  <c r="P98"/>
  <c r="H120"/>
  <c r="P130"/>
  <c r="P119"/>
  <c r="H132"/>
  <c r="P99"/>
  <c r="H113"/>
  <c r="H99"/>
  <c r="P116"/>
  <c r="P107"/>
  <c r="P103"/>
  <c r="H101"/>
  <c r="P113"/>
  <c r="H124"/>
  <c r="P114"/>
  <c r="P124"/>
  <c r="H127"/>
  <c r="P129"/>
  <c r="H102"/>
  <c r="H103"/>
  <c r="P109"/>
  <c r="H97"/>
  <c r="P94"/>
  <c r="H112"/>
  <c r="P131"/>
  <c r="H93"/>
  <c r="P95"/>
  <c r="P111"/>
  <c r="H107"/>
  <c r="H100"/>
  <c r="H95"/>
  <c r="P123"/>
  <c r="P108"/>
  <c r="P110"/>
  <c r="H104"/>
  <c r="H129"/>
  <c r="P115"/>
  <c r="P121"/>
  <c r="P125"/>
  <c r="P96"/>
  <c r="H96"/>
  <c r="P97"/>
  <c r="H128"/>
  <c r="H114"/>
  <c r="P105"/>
  <c r="H98"/>
  <c r="H121"/>
  <c r="H118"/>
  <c r="H125"/>
  <c r="H126"/>
  <c r="P93"/>
  <c r="H116"/>
  <c r="P117"/>
  <c r="P100"/>
  <c r="P128"/>
  <c r="H108"/>
  <c r="P101"/>
  <c r="P118"/>
  <c r="H117"/>
  <c r="P132"/>
  <c r="H115"/>
  <c r="F119"/>
  <c r="N114"/>
  <c r="N104"/>
  <c r="F129"/>
  <c r="F117"/>
  <c r="F109"/>
  <c r="N93"/>
  <c r="F110"/>
  <c r="N113"/>
  <c r="N132"/>
  <c r="F101"/>
  <c r="N112"/>
  <c r="F123"/>
  <c r="N101"/>
  <c r="F127"/>
  <c r="F113"/>
  <c r="F111"/>
  <c r="F112"/>
  <c r="N111"/>
  <c r="N129"/>
  <c r="N124"/>
  <c r="F100"/>
  <c r="F93"/>
  <c r="N106"/>
  <c r="N103"/>
  <c r="N110"/>
  <c r="N121"/>
  <c r="F107"/>
  <c r="F122"/>
  <c r="N102"/>
  <c r="N115"/>
  <c r="N116"/>
  <c r="F102"/>
  <c r="N98"/>
  <c r="N99"/>
  <c r="N117"/>
  <c r="N120"/>
  <c r="N128"/>
  <c r="F125"/>
  <c r="F132"/>
  <c r="N125"/>
  <c r="F124"/>
  <c r="F98"/>
  <c r="N100"/>
  <c r="F106"/>
  <c r="F99"/>
  <c r="F128"/>
  <c r="N109"/>
  <c r="F114"/>
  <c r="N97"/>
  <c r="F121"/>
  <c r="F131"/>
  <c r="N105"/>
  <c r="N108"/>
  <c r="N122"/>
  <c r="F118"/>
  <c r="F108"/>
  <c r="F95"/>
  <c r="N127"/>
  <c r="F104"/>
  <c r="N118"/>
  <c r="F130"/>
  <c r="N119"/>
  <c r="F126"/>
  <c r="F94"/>
  <c r="F120"/>
  <c r="N130"/>
  <c r="N107"/>
  <c r="F105"/>
  <c r="F103"/>
  <c r="N131"/>
  <c r="N95"/>
  <c r="F97"/>
  <c r="N96"/>
  <c r="N94"/>
  <c r="F96"/>
  <c r="N126"/>
  <c r="F116"/>
  <c r="N123"/>
  <c r="F115"/>
  <c r="D104"/>
  <c r="D95"/>
  <c r="L94"/>
  <c r="L114"/>
  <c r="L93"/>
  <c r="D124"/>
  <c r="D115"/>
  <c r="L116"/>
  <c r="D107"/>
  <c r="D97"/>
  <c r="L102"/>
  <c r="L117"/>
  <c r="L108"/>
  <c r="D113"/>
  <c r="L131"/>
  <c r="L112"/>
  <c r="L111"/>
  <c r="L127"/>
  <c r="L106"/>
  <c r="D121"/>
  <c r="D103"/>
  <c r="D119"/>
  <c r="D118"/>
  <c r="D126"/>
  <c r="L95"/>
  <c r="D105"/>
  <c r="L98"/>
  <c r="L107"/>
  <c r="L124"/>
  <c r="L128"/>
  <c r="L113"/>
  <c r="L104"/>
  <c r="L103"/>
  <c r="L120"/>
  <c r="D120"/>
  <c r="L99"/>
  <c r="D101"/>
  <c r="L123"/>
  <c r="D129"/>
  <c r="D117"/>
  <c r="D114"/>
  <c r="D102"/>
  <c r="L115"/>
  <c r="L125"/>
  <c r="D122"/>
  <c r="L105"/>
  <c r="D106"/>
  <c r="L110"/>
  <c r="D130"/>
  <c r="D123"/>
  <c r="D109"/>
  <c r="D111"/>
  <c r="D127"/>
  <c r="D112"/>
  <c r="D132"/>
  <c r="L118"/>
  <c r="L132"/>
  <c r="D93"/>
  <c r="D125"/>
  <c r="L122"/>
  <c r="L130"/>
  <c r="D108"/>
  <c r="D116"/>
  <c r="D96"/>
  <c r="L101"/>
  <c r="L129"/>
  <c r="L126"/>
  <c r="D131"/>
  <c r="D98"/>
  <c r="L100"/>
  <c r="D110"/>
  <c r="D100"/>
  <c r="D94"/>
  <c r="D99"/>
  <c r="L96"/>
  <c r="L109"/>
  <c r="L121"/>
  <c r="L97"/>
  <c r="L119"/>
  <c r="D128"/>
  <c r="J63" i="68"/>
  <c r="J43" i="38"/>
  <c r="J14"/>
  <c r="E11" i="76"/>
  <c r="E11" i="43"/>
  <c r="E52" i="38"/>
  <c r="C11" i="76"/>
  <c r="C11" i="43"/>
  <c r="C52" i="38"/>
  <c r="H11" i="76"/>
  <c r="H11" i="43"/>
  <c r="H52" i="38"/>
  <c r="H13" i="53"/>
  <c r="F47" i="54"/>
  <c r="G28" i="38"/>
  <c r="H63" i="68"/>
  <c r="H43" i="38"/>
  <c r="E63" i="68"/>
  <c r="E43" i="38"/>
  <c r="C63" i="68"/>
  <c r="C43" i="38"/>
  <c r="H14"/>
  <c r="D50" i="79"/>
  <c r="M41" i="80"/>
  <c r="D17" i="54"/>
  <c r="F15" i="53"/>
  <c r="P62" i="54"/>
  <c r="F36" i="38"/>
  <c r="G38" i="53"/>
  <c r="Q136" i="54"/>
  <c r="F22" i="53"/>
  <c r="D91" i="54"/>
  <c r="G82" i="68"/>
  <c r="G63" i="38"/>
  <c r="D82" i="68"/>
  <c r="D63" i="38"/>
  <c r="E18"/>
  <c r="J38" i="53"/>
  <c r="T136" i="54"/>
  <c r="I36" i="38"/>
  <c r="E40" i="53"/>
  <c r="O151" i="54"/>
  <c r="O152"/>
  <c r="D38" i="38"/>
  <c r="M24"/>
  <c r="N36" i="53"/>
  <c r="X121" i="54"/>
  <c r="M40" i="53"/>
  <c r="W151" i="54"/>
  <c r="L38" i="38"/>
  <c r="L40" i="53"/>
  <c r="V151" i="54"/>
  <c r="K38" i="38"/>
  <c r="J40" i="53"/>
  <c r="T151" i="54"/>
  <c r="T152"/>
  <c r="I38" i="38"/>
  <c r="L30" i="85"/>
  <c r="L75" i="79"/>
  <c r="F39" i="53"/>
  <c r="D151" i="54"/>
  <c r="D152"/>
  <c r="E37" i="38"/>
  <c r="K36"/>
  <c r="L38" i="53"/>
  <c r="V136" i="54"/>
  <c r="M13" i="53"/>
  <c r="K47" i="54"/>
  <c r="L28" i="38"/>
  <c r="E22" i="53"/>
  <c r="C91" i="54"/>
  <c r="C92"/>
  <c r="D18" i="38"/>
  <c r="F82" i="68"/>
  <c r="F63" i="38"/>
  <c r="C82" i="68"/>
  <c r="C63" i="38"/>
  <c r="N40" i="53"/>
  <c r="X151" i="54"/>
  <c r="M38" i="38"/>
  <c r="I63" i="68"/>
  <c r="I43" i="38"/>
  <c r="F63" i="68"/>
  <c r="F43" i="38"/>
  <c r="I14"/>
  <c r="K29" i="76"/>
  <c r="K17" i="43"/>
  <c r="I77" i="68"/>
  <c r="I58" i="38"/>
  <c r="D63" i="68"/>
  <c r="D43" i="38"/>
  <c r="B63" i="68"/>
  <c r="G63"/>
  <c r="G43" i="38"/>
  <c r="G14"/>
  <c r="M121" i="75"/>
  <c r="M115"/>
  <c r="M99"/>
  <c r="E117"/>
  <c r="E123"/>
  <c r="M100"/>
  <c r="E121"/>
  <c r="M96"/>
  <c r="M122"/>
  <c r="E129"/>
  <c r="M127"/>
  <c r="E125"/>
  <c r="M118"/>
  <c r="M107"/>
  <c r="E111"/>
  <c r="E104"/>
  <c r="E100"/>
  <c r="M129"/>
  <c r="M130"/>
  <c r="E119"/>
  <c r="E93"/>
  <c r="E107"/>
  <c r="E120"/>
  <c r="E113"/>
  <c r="M128"/>
  <c r="M94"/>
  <c r="E110"/>
  <c r="M97"/>
  <c r="E118"/>
  <c r="E96"/>
  <c r="E94"/>
  <c r="E106"/>
  <c r="M131"/>
  <c r="E95"/>
  <c r="M111"/>
  <c r="M132"/>
  <c r="M119"/>
  <c r="E108"/>
  <c r="E98"/>
  <c r="M109"/>
  <c r="M93"/>
  <c r="M103"/>
  <c r="M95"/>
  <c r="M125"/>
  <c r="M102"/>
  <c r="M106"/>
  <c r="E130"/>
  <c r="M124"/>
  <c r="E99"/>
  <c r="E126"/>
  <c r="E102"/>
  <c r="E114"/>
  <c r="E115"/>
  <c r="E132"/>
  <c r="E109"/>
  <c r="E128"/>
  <c r="M113"/>
  <c r="E112"/>
  <c r="E131"/>
  <c r="M98"/>
  <c r="E122"/>
  <c r="M114"/>
  <c r="M108"/>
  <c r="E105"/>
  <c r="M120"/>
  <c r="E124"/>
  <c r="M101"/>
  <c r="M116"/>
  <c r="E101"/>
  <c r="M110"/>
  <c r="M123"/>
  <c r="M104"/>
  <c r="E103"/>
  <c r="E116"/>
  <c r="E127"/>
  <c r="M126"/>
  <c r="M112"/>
  <c r="M105"/>
  <c r="E97"/>
  <c r="M117"/>
  <c r="G116"/>
  <c r="O107"/>
  <c r="G99"/>
  <c r="G110"/>
  <c r="O101"/>
  <c r="O126"/>
  <c r="G130"/>
  <c r="O124"/>
  <c r="O112"/>
  <c r="O109"/>
  <c r="G126"/>
  <c r="G104"/>
  <c r="O125"/>
  <c r="G98"/>
  <c r="G118"/>
  <c r="G127"/>
  <c r="G125"/>
  <c r="O123"/>
  <c r="O104"/>
  <c r="G102"/>
  <c r="O118"/>
  <c r="G109"/>
  <c r="O93"/>
  <c r="G95"/>
  <c r="O95"/>
  <c r="O96"/>
  <c r="G117"/>
  <c r="G115"/>
  <c r="G101"/>
  <c r="O94"/>
  <c r="O113"/>
  <c r="G112"/>
  <c r="O111"/>
  <c r="O98"/>
  <c r="O97"/>
  <c r="G131"/>
  <c r="G103"/>
  <c r="O105"/>
  <c r="G93"/>
  <c r="O115"/>
  <c r="G132"/>
  <c r="G96"/>
  <c r="O108"/>
  <c r="O100"/>
  <c r="O110"/>
  <c r="G105"/>
  <c r="O122"/>
  <c r="O106"/>
  <c r="G128"/>
  <c r="G123"/>
  <c r="G122"/>
  <c r="O114"/>
  <c r="G113"/>
  <c r="G100"/>
  <c r="O120"/>
  <c r="G121"/>
  <c r="G107"/>
  <c r="O116"/>
  <c r="G111"/>
  <c r="O99"/>
  <c r="G97"/>
  <c r="O130"/>
  <c r="O127"/>
  <c r="O103"/>
  <c r="G124"/>
  <c r="G120"/>
  <c r="O132"/>
  <c r="G108"/>
  <c r="O131"/>
  <c r="O128"/>
  <c r="O102"/>
  <c r="O129"/>
  <c r="O119"/>
  <c r="G106"/>
  <c r="G129"/>
  <c r="O121"/>
  <c r="G119"/>
  <c r="O117"/>
  <c r="G114"/>
  <c r="G94"/>
  <c r="C128"/>
  <c r="K122"/>
  <c r="K119"/>
  <c r="K108"/>
  <c r="C119"/>
  <c r="C113"/>
  <c r="K94"/>
  <c r="C132"/>
  <c r="C121"/>
  <c r="C107"/>
  <c r="K107"/>
  <c r="K132"/>
  <c r="C129"/>
  <c r="C127"/>
  <c r="K98"/>
  <c r="C100"/>
  <c r="K124"/>
  <c r="K129"/>
  <c r="C101"/>
  <c r="C99"/>
  <c r="C122"/>
  <c r="K117"/>
  <c r="K114"/>
  <c r="C106"/>
  <c r="C109"/>
  <c r="K127"/>
  <c r="C104"/>
  <c r="C123"/>
  <c r="K115"/>
  <c r="C125"/>
  <c r="C131"/>
  <c r="K125"/>
  <c r="C93"/>
  <c r="C117"/>
  <c r="C95"/>
  <c r="C97"/>
  <c r="K130"/>
  <c r="C94"/>
  <c r="K100"/>
  <c r="C115"/>
  <c r="C130"/>
  <c r="C114"/>
  <c r="C111"/>
  <c r="K126"/>
  <c r="K113"/>
  <c r="K103"/>
  <c r="K101"/>
  <c r="C108"/>
  <c r="K96"/>
  <c r="K109"/>
  <c r="K128"/>
  <c r="K111"/>
  <c r="C96"/>
  <c r="K104"/>
  <c r="K99"/>
  <c r="C102"/>
  <c r="K118"/>
  <c r="K120"/>
  <c r="C112"/>
  <c r="K97"/>
  <c r="C103"/>
  <c r="K110"/>
  <c r="C105"/>
  <c r="K131"/>
  <c r="C124"/>
  <c r="K112"/>
  <c r="C98"/>
  <c r="C118"/>
  <c r="C126"/>
  <c r="K95"/>
  <c r="K123"/>
  <c r="K105"/>
  <c r="C116"/>
  <c r="K102"/>
  <c r="K93"/>
  <c r="K106"/>
  <c r="C110"/>
  <c r="K116"/>
  <c r="K121"/>
  <c r="C120"/>
  <c r="K62" i="68"/>
  <c r="K42" i="38"/>
  <c r="B42"/>
  <c r="C51" i="79"/>
  <c r="L42" i="80"/>
  <c r="K15" i="53"/>
  <c r="U62" i="54"/>
  <c r="I17"/>
  <c r="G29" i="76"/>
  <c r="G17" i="43"/>
  <c r="E53" i="81"/>
  <c r="E55"/>
  <c r="B55"/>
  <c r="I32" i="84"/>
  <c r="B50" i="38"/>
  <c r="K70" i="68"/>
  <c r="B51" i="38"/>
  <c r="K71" i="68"/>
  <c r="M40" i="80"/>
  <c r="D49" i="79"/>
  <c r="I15" i="53"/>
  <c r="S62" i="54"/>
  <c r="G17"/>
  <c r="L41" i="80"/>
  <c r="C50" i="79"/>
  <c r="D77" i="68"/>
  <c r="D58" i="38"/>
  <c r="G77" i="68"/>
  <c r="G58" i="38"/>
  <c r="E14"/>
  <c r="N15" i="53"/>
  <c r="X62" i="54"/>
  <c r="L17"/>
  <c r="B106" i="68"/>
  <c r="B102"/>
  <c r="D13"/>
  <c r="D3" i="85"/>
  <c r="E71" i="79"/>
  <c r="D1" i="78"/>
  <c r="D25"/>
  <c r="E10" i="79"/>
  <c r="H5" i="48"/>
  <c r="J86" i="68"/>
  <c r="B14" i="76"/>
  <c r="B14" i="43"/>
  <c r="B67" i="38"/>
  <c r="B17" i="43"/>
  <c r="B29" i="76"/>
  <c r="L30" i="38"/>
  <c r="M19" i="53"/>
  <c r="H142" i="59"/>
  <c r="L135"/>
  <c r="L136"/>
  <c r="E77" i="68"/>
  <c r="E58" i="38"/>
  <c r="C14"/>
  <c r="B77" i="68"/>
  <c r="L20" i="53"/>
  <c r="K31" i="38"/>
  <c r="C80" i="68"/>
  <c r="C61" i="38"/>
  <c r="D30"/>
  <c r="F80" i="68"/>
  <c r="F61" i="38"/>
  <c r="E19" i="53"/>
  <c r="H17" i="43"/>
  <c r="H29" i="76"/>
  <c r="L47" i="68"/>
  <c r="L48"/>
  <c r="E29" i="76"/>
  <c r="E17" i="43"/>
  <c r="D20" i="53"/>
  <c r="C31" i="38"/>
  <c r="B81" i="68"/>
  <c r="E81"/>
  <c r="E62" i="38"/>
  <c r="I29" i="84"/>
  <c r="E48" i="81"/>
  <c r="F66" i="68"/>
  <c r="F46" i="38"/>
  <c r="I30"/>
  <c r="J19" i="53"/>
  <c r="I66" i="68"/>
  <c r="I46" i="38"/>
  <c r="I17" i="43"/>
  <c r="I29" i="76"/>
  <c r="I80" i="68"/>
  <c r="I61" i="38"/>
  <c r="G30"/>
  <c r="G66" i="68"/>
  <c r="G46" i="38"/>
  <c r="D66" i="68"/>
  <c r="D46" i="38"/>
  <c r="H19" i="53"/>
  <c r="B66" i="68"/>
  <c r="K30" i="85"/>
  <c r="K75" i="79"/>
  <c r="K45" i="85"/>
  <c r="K46"/>
  <c r="K50"/>
  <c r="L73" i="79"/>
  <c r="M30" i="53"/>
  <c r="K121" i="54"/>
  <c r="K122"/>
  <c r="K40" i="85"/>
  <c r="K41"/>
  <c r="K49"/>
  <c r="L72" i="79"/>
  <c r="M29" i="53"/>
  <c r="G40"/>
  <c r="Q151" i="54"/>
  <c r="F38" i="38"/>
  <c r="F29" i="56"/>
  <c r="G29"/>
  <c r="E87"/>
  <c r="E94"/>
  <c r="L36" i="38"/>
  <c r="M38" i="53"/>
  <c r="W136" i="54"/>
  <c r="D30" i="85"/>
  <c r="D75" i="79"/>
  <c r="I45" i="85"/>
  <c r="I46"/>
  <c r="I50"/>
  <c r="J73" i="79"/>
  <c r="K30" i="53"/>
  <c r="I121" i="54"/>
  <c r="I30" i="85"/>
  <c r="I75" i="79"/>
  <c r="I40" i="85"/>
  <c r="I41"/>
  <c r="I49"/>
  <c r="J72" i="79"/>
  <c r="K29" i="53"/>
  <c r="E38"/>
  <c r="O136" i="54"/>
  <c r="D36" i="38"/>
  <c r="K44" i="81"/>
  <c r="I35" i="84"/>
  <c r="B23" i="81"/>
  <c r="M15" i="53"/>
  <c r="W62" i="54"/>
  <c r="K17"/>
  <c r="K18"/>
  <c r="G80" i="68"/>
  <c r="G61" i="38"/>
  <c r="D80" i="68"/>
  <c r="D61" i="38"/>
  <c r="E30"/>
  <c r="F19" i="53"/>
  <c r="G20"/>
  <c r="H81" i="68"/>
  <c r="H62" i="38"/>
  <c r="F31"/>
  <c r="K68" i="68"/>
  <c r="B48" i="38"/>
  <c r="E17" i="54"/>
  <c r="E18"/>
  <c r="G15" i="53"/>
  <c r="Q62" i="54"/>
  <c r="F77" i="68"/>
  <c r="F58" i="38"/>
  <c r="D14"/>
  <c r="C77" i="68"/>
  <c r="C58" i="38"/>
  <c r="D129" i="59"/>
  <c r="D127"/>
  <c r="D136"/>
  <c r="F28" i="38"/>
  <c r="G13" i="53"/>
  <c r="E47" i="54"/>
  <c r="E48"/>
  <c r="J67" i="68"/>
  <c r="J47" i="38"/>
  <c r="J31"/>
  <c r="K20" i="53"/>
  <c r="L44" i="80"/>
  <c r="C53" i="79"/>
  <c r="K29" i="68"/>
  <c r="L13" i="38"/>
  <c r="L24"/>
  <c r="M36" i="53"/>
  <c r="W121" i="54"/>
  <c r="W122"/>
  <c r="H67" i="68"/>
  <c r="H47" i="38"/>
  <c r="I20" i="53"/>
  <c r="H31" i="38"/>
  <c r="C67" i="68"/>
  <c r="C47" i="38"/>
  <c r="E67" i="68"/>
  <c r="E47" i="38"/>
  <c r="L17" i="78"/>
  <c r="L18"/>
  <c r="L33"/>
  <c r="M20" i="79"/>
  <c r="L19" i="68"/>
  <c r="L29"/>
  <c r="M13" i="38"/>
  <c r="H153" i="59"/>
  <c r="H152"/>
  <c r="B21" i="81"/>
  <c r="M20" i="38"/>
  <c r="N24" i="53"/>
  <c r="X91" i="54"/>
  <c r="X92"/>
  <c r="B53" i="38"/>
  <c r="K73" i="68"/>
  <c r="B11" i="76"/>
  <c r="B11" i="43"/>
  <c r="K72" i="68"/>
  <c r="B52" i="38"/>
  <c r="F17" i="43"/>
  <c r="F29" i="76"/>
  <c r="G67" i="38"/>
  <c r="G14" i="76"/>
  <c r="G14" i="43"/>
  <c r="D67" i="38"/>
  <c r="D14" i="76"/>
  <c r="D14" i="43"/>
  <c r="C29" i="76"/>
  <c r="C17" i="43"/>
  <c r="D167" i="59"/>
  <c r="E160"/>
  <c r="E163"/>
  <c r="E159"/>
  <c r="F10" i="53"/>
  <c r="F17"/>
  <c r="D76" i="54"/>
  <c r="F14" i="53"/>
  <c r="P47" i="54"/>
  <c r="M10" i="53"/>
  <c r="M17"/>
  <c r="K76" i="54"/>
  <c r="M14" i="53"/>
  <c r="W47" i="54"/>
  <c r="L14" i="53"/>
  <c r="V47" i="54"/>
  <c r="L10" i="53"/>
  <c r="L17"/>
  <c r="J76" i="54"/>
  <c r="J77"/>
  <c r="E36" i="80"/>
  <c r="E43"/>
  <c r="E42" i="79"/>
  <c r="G42"/>
  <c r="G36" i="80"/>
  <c r="G43"/>
  <c r="G46"/>
  <c r="D10" i="53"/>
  <c r="D17"/>
  <c r="B76" i="54"/>
  <c r="D14" i="53"/>
  <c r="N47" i="54"/>
  <c r="E10" i="53"/>
  <c r="E17"/>
  <c r="C76" i="54"/>
  <c r="C77"/>
  <c r="E14" i="53"/>
  <c r="O47" i="54"/>
  <c r="O48"/>
  <c r="C36" i="80"/>
  <c r="C43"/>
  <c r="C42" i="79"/>
  <c r="I10" i="53"/>
  <c r="I17"/>
  <c r="G76" i="54"/>
  <c r="I14" i="53"/>
  <c r="S47" i="54"/>
  <c r="I42" i="79"/>
  <c r="I36" i="80"/>
  <c r="I43"/>
  <c r="I46"/>
  <c r="L22" i="85"/>
  <c r="L32"/>
  <c r="L77" i="79"/>
  <c r="I59" i="68"/>
  <c r="D22" i="85"/>
  <c r="D32"/>
  <c r="D77" i="79"/>
  <c r="I58" i="68"/>
  <c r="E33" i="78"/>
  <c r="F20" i="79"/>
  <c r="E137" i="54"/>
  <c r="F46" i="80"/>
  <c r="K137" i="54"/>
  <c r="C46" i="80"/>
  <c r="G45" i="68"/>
  <c r="N14" i="53"/>
  <c r="X47" i="54"/>
  <c r="E82" i="68"/>
  <c r="E63" i="38"/>
  <c r="B82" i="68"/>
  <c r="H45"/>
  <c r="Q92" i="54"/>
  <c r="G45" i="85"/>
  <c r="G46"/>
  <c r="G50"/>
  <c r="H73" i="79"/>
  <c r="I30" i="53"/>
  <c r="G121" i="54"/>
  <c r="G122"/>
  <c r="L137"/>
  <c r="E45" i="85"/>
  <c r="E46"/>
  <c r="E50"/>
  <c r="F73" i="79"/>
  <c r="G30" i="53"/>
  <c r="E121" i="54"/>
  <c r="E46" i="80"/>
  <c r="B22" i="78"/>
  <c r="B23"/>
  <c r="B35"/>
  <c r="C11" i="79"/>
  <c r="D26" i="53"/>
  <c r="B106" i="54"/>
  <c r="D59" i="68"/>
  <c r="B58"/>
  <c r="I57"/>
  <c r="G58"/>
  <c r="F31" i="78"/>
  <c r="G18" i="79"/>
  <c r="G33" i="78"/>
  <c r="H20" i="79"/>
  <c r="J33" i="78"/>
  <c r="K20" i="79"/>
  <c r="H58" i="68"/>
  <c r="C33" i="78"/>
  <c r="D20" i="79"/>
  <c r="U92" i="54"/>
  <c r="H46" i="80"/>
  <c r="F137" i="54"/>
  <c r="D46" i="80"/>
  <c r="L34" i="78"/>
  <c r="M21" i="79"/>
  <c r="C34" i="78"/>
  <c r="D21" i="79"/>
  <c r="C28" i="78"/>
  <c r="D15" i="79"/>
  <c r="F30" i="78"/>
  <c r="G17" i="79"/>
  <c r="F34" i="78"/>
  <c r="G21" i="79"/>
  <c r="L29" i="78"/>
  <c r="M16" i="79"/>
  <c r="B45" i="68"/>
  <c r="S122" i="54"/>
  <c r="H28" i="78"/>
  <c r="I15" i="79"/>
  <c r="H30" i="78"/>
  <c r="I17" i="79"/>
  <c r="E28" i="69"/>
  <c r="F28"/>
  <c r="J92" i="54"/>
  <c r="W92"/>
  <c r="S12" i="48"/>
  <c r="L39" i="68"/>
  <c r="I137" i="54"/>
  <c r="J34" i="78"/>
  <c r="K21" i="79"/>
  <c r="O92" i="54"/>
  <c r="U122"/>
  <c r="D142" i="59"/>
  <c r="D146"/>
  <c r="F33" i="54"/>
  <c r="L45" i="85"/>
  <c r="L46"/>
  <c r="L50"/>
  <c r="M73" i="79"/>
  <c r="G79" i="68"/>
  <c r="G60" i="38"/>
  <c r="S48" i="54"/>
  <c r="W48"/>
  <c r="I122"/>
  <c r="W137"/>
  <c r="O63"/>
  <c r="G77"/>
  <c r="O137"/>
  <c r="G18"/>
  <c r="I18"/>
  <c r="P63"/>
  <c r="C18"/>
  <c r="L77"/>
  <c r="X63"/>
  <c r="X122"/>
  <c r="R63"/>
  <c r="T63"/>
  <c r="S137"/>
  <c r="K152"/>
  <c r="E152"/>
  <c r="V63"/>
  <c r="I49" i="80"/>
  <c r="I46" i="79"/>
  <c r="J28" i="53"/>
  <c r="I48" i="80"/>
  <c r="I45" i="79"/>
  <c r="J27" i="53"/>
  <c r="T106" i="54"/>
  <c r="G48" i="80"/>
  <c r="G45" i="79"/>
  <c r="H27" i="53"/>
  <c r="R106" i="54"/>
  <c r="G49" i="80"/>
  <c r="G46" i="79"/>
  <c r="H28" i="53"/>
  <c r="K48" i="80"/>
  <c r="K45" i="79"/>
  <c r="L27" i="53"/>
  <c r="V106" i="54"/>
  <c r="K49" i="80"/>
  <c r="K46" i="79"/>
  <c r="L28" i="53"/>
  <c r="J48" i="80"/>
  <c r="J45" i="79"/>
  <c r="K27" i="53"/>
  <c r="U106" i="54"/>
  <c r="J49" i="80"/>
  <c r="J46" i="79"/>
  <c r="K28" i="53"/>
  <c r="J83" i="68"/>
  <c r="J64" i="38"/>
  <c r="B64"/>
  <c r="K69" i="68"/>
  <c r="B49" i="38"/>
  <c r="I30" i="84"/>
  <c r="B60" i="81"/>
  <c r="C28" i="76"/>
  <c r="C16" i="43"/>
  <c r="D7" i="76"/>
  <c r="O120" i="54"/>
  <c r="O31"/>
  <c r="O105"/>
  <c r="O46"/>
  <c r="C120"/>
  <c r="O16"/>
  <c r="O90"/>
  <c r="C31"/>
  <c r="C105"/>
  <c r="E42" i="53"/>
  <c r="O75" i="54"/>
  <c r="C16"/>
  <c r="O150"/>
  <c r="C150"/>
  <c r="O135"/>
  <c r="C135"/>
  <c r="C90"/>
  <c r="O61"/>
  <c r="C75"/>
  <c r="C46"/>
  <c r="C61"/>
  <c r="M18" i="38"/>
  <c r="N22" i="53"/>
  <c r="L91" i="54"/>
  <c r="L92"/>
  <c r="I37" i="38"/>
  <c r="J39" i="53"/>
  <c r="H151" i="54"/>
  <c r="I39" i="53"/>
  <c r="G151" i="54"/>
  <c r="G152"/>
  <c r="H37" i="38"/>
  <c r="K38" i="53"/>
  <c r="U136" i="54"/>
  <c r="U137"/>
  <c r="J36" i="38"/>
  <c r="F40" i="53"/>
  <c r="P151" i="54"/>
  <c r="P152"/>
  <c r="E38" i="38"/>
  <c r="J82" i="68"/>
  <c r="J63" i="38"/>
  <c r="B63"/>
  <c r="C48" i="80"/>
  <c r="C45" i="79"/>
  <c r="D27" i="53"/>
  <c r="N106" i="54"/>
  <c r="C49" i="80"/>
  <c r="C46" i="79"/>
  <c r="D28" i="53"/>
  <c r="K39"/>
  <c r="I151" i="54"/>
  <c r="J37" i="38"/>
  <c r="K40" i="53"/>
  <c r="U151" i="54"/>
  <c r="U152"/>
  <c r="J38" i="38"/>
  <c r="K11" i="76"/>
  <c r="K52" i="38"/>
  <c r="F18" i="56"/>
  <c r="G18"/>
  <c r="K53" i="38"/>
  <c r="E15"/>
  <c r="C44" i="68"/>
  <c r="J81"/>
  <c r="J62" i="38"/>
  <c r="B62"/>
  <c r="N19" i="53"/>
  <c r="M30" i="38"/>
  <c r="D15"/>
  <c r="B44" i="68"/>
  <c r="E3" i="85"/>
  <c r="F71" i="79"/>
  <c r="I5" i="48"/>
  <c r="E1" i="78"/>
  <c r="E13" i="68"/>
  <c r="B101"/>
  <c r="B107"/>
  <c r="C3" i="70"/>
  <c r="F20" i="84"/>
  <c r="F15" i="38"/>
  <c r="D44" i="68"/>
  <c r="C171" i="75"/>
  <c r="C52" i="47"/>
  <c r="C163" i="75"/>
  <c r="C43" i="47"/>
  <c r="C174" i="75"/>
  <c r="C56" i="47"/>
  <c r="C137" i="75"/>
  <c r="C12" i="47"/>
  <c r="C152" i="75"/>
  <c r="C30" i="47"/>
  <c r="C140" i="75"/>
  <c r="C15" i="47"/>
  <c r="C162" i="75"/>
  <c r="C42" i="47"/>
  <c r="C146" i="75"/>
  <c r="C22" i="47"/>
  <c r="C155" i="75"/>
  <c r="C33" i="47"/>
  <c r="C141" i="75"/>
  <c r="C16" i="47"/>
  <c r="C169" i="75"/>
  <c r="C50" i="47"/>
  <c r="C149" i="75"/>
  <c r="C26" i="47"/>
  <c r="C158" i="75"/>
  <c r="C37" i="47"/>
  <c r="C170" i="75"/>
  <c r="C51" i="47"/>
  <c r="C150" i="75"/>
  <c r="C27" i="47"/>
  <c r="C173" i="75"/>
  <c r="C55" i="47"/>
  <c r="C160" i="75"/>
  <c r="C39" i="47"/>
  <c r="C138" i="75"/>
  <c r="C13" i="47"/>
  <c r="C153" i="75"/>
  <c r="C31" i="47"/>
  <c r="C172" i="75"/>
  <c r="C54" i="47"/>
  <c r="C167" i="75"/>
  <c r="C47" i="47"/>
  <c r="C147" i="75"/>
  <c r="C23" i="47"/>
  <c r="C142" i="75"/>
  <c r="C18" i="47"/>
  <c r="C168" i="75"/>
  <c r="C49" i="47"/>
  <c r="C148" i="75"/>
  <c r="C25" i="47"/>
  <c r="C139" i="75"/>
  <c r="C14" i="47"/>
  <c r="C156" i="75"/>
  <c r="C34" i="47"/>
  <c r="C161" i="75"/>
  <c r="C40" i="47"/>
  <c r="C151" i="75"/>
  <c r="C28" i="47"/>
  <c r="C136" i="75"/>
  <c r="C11" i="47"/>
  <c r="C165" i="75"/>
  <c r="C45" i="47"/>
  <c r="C143" i="75"/>
  <c r="C19" i="47"/>
  <c r="C159" i="75"/>
  <c r="C38" i="47"/>
  <c r="C166" i="75"/>
  <c r="C46" i="47"/>
  <c r="C144" i="75"/>
  <c r="C20" i="47"/>
  <c r="C164" i="75"/>
  <c r="C44" i="47"/>
  <c r="C154" i="75"/>
  <c r="C32" i="47"/>
  <c r="C157" i="75"/>
  <c r="C35" i="47"/>
  <c r="C145" i="75"/>
  <c r="C21" i="47"/>
  <c r="C135" i="75"/>
  <c r="C10" i="47"/>
  <c r="J10"/>
  <c r="G143" i="75"/>
  <c r="G19" i="47"/>
  <c r="S19"/>
  <c r="G162" i="75"/>
  <c r="G42" i="47"/>
  <c r="G136" i="75"/>
  <c r="G11" i="47"/>
  <c r="G167" i="75"/>
  <c r="G47" i="47"/>
  <c r="G166" i="75"/>
  <c r="G46" i="47"/>
  <c r="G164" i="75"/>
  <c r="G44" i="47"/>
  <c r="G153" i="75"/>
  <c r="G31" i="47"/>
  <c r="G139" i="75"/>
  <c r="G14" i="47"/>
  <c r="G168" i="75"/>
  <c r="G49" i="47"/>
  <c r="G158" i="75"/>
  <c r="G37" i="47"/>
  <c r="S37"/>
  <c r="G157" i="75"/>
  <c r="G35" i="47"/>
  <c r="G149" i="75"/>
  <c r="G26" i="47"/>
  <c r="G146" i="75"/>
  <c r="G22" i="47"/>
  <c r="S22"/>
  <c r="G155" i="75"/>
  <c r="G33" i="47"/>
  <c r="G147" i="75"/>
  <c r="G23" i="47"/>
  <c r="S23"/>
  <c r="G173" i="75"/>
  <c r="G55" i="47"/>
  <c r="S55"/>
  <c r="G142" i="75"/>
  <c r="G18" i="47"/>
  <c r="S18"/>
  <c r="G170" i="75"/>
  <c r="G51" i="47"/>
  <c r="G156" i="75"/>
  <c r="G34" i="47"/>
  <c r="G154" i="75"/>
  <c r="G32" i="47"/>
  <c r="G152" i="75"/>
  <c r="G30" i="47"/>
  <c r="G150" i="75"/>
  <c r="G27" i="47"/>
  <c r="G148" i="75"/>
  <c r="G25" i="47"/>
  <c r="G144" i="75"/>
  <c r="G20" i="47"/>
  <c r="S20"/>
  <c r="G159" i="75"/>
  <c r="G38" i="47"/>
  <c r="S38"/>
  <c r="G140" i="75"/>
  <c r="G15" i="47"/>
  <c r="G151" i="75"/>
  <c r="G28" i="47"/>
  <c r="G138" i="75"/>
  <c r="G13" i="47"/>
  <c r="G169" i="75"/>
  <c r="G50" i="47"/>
  <c r="G163" i="75"/>
  <c r="G43" i="47"/>
  <c r="G141" i="75"/>
  <c r="G16" i="47"/>
  <c r="G174" i="75"/>
  <c r="G56" i="47"/>
  <c r="S56"/>
  <c r="G160" i="75"/>
  <c r="G39" i="47"/>
  <c r="S39"/>
  <c r="G135" i="75"/>
  <c r="G10" i="47"/>
  <c r="R10"/>
  <c r="G145" i="75"/>
  <c r="G21" i="47"/>
  <c r="S21"/>
  <c r="G172" i="75"/>
  <c r="G54" i="47"/>
  <c r="S54"/>
  <c r="G171" i="75"/>
  <c r="G52" i="47"/>
  <c r="G165" i="75"/>
  <c r="G45" i="47"/>
  <c r="G161" i="75"/>
  <c r="G40" i="47"/>
  <c r="S40"/>
  <c r="G137" i="75"/>
  <c r="G12" i="47"/>
  <c r="E146" i="75"/>
  <c r="E22" i="47"/>
  <c r="O22"/>
  <c r="E140" i="75"/>
  <c r="E15" i="47"/>
  <c r="E161" i="75"/>
  <c r="E40" i="47"/>
  <c r="O40"/>
  <c r="E163" i="75"/>
  <c r="E43" i="47"/>
  <c r="E166" i="75"/>
  <c r="E46" i="47"/>
  <c r="E168" i="75"/>
  <c r="E49" i="47"/>
  <c r="E138" i="75"/>
  <c r="E13" i="47"/>
  <c r="E174" i="75"/>
  <c r="E56" i="47"/>
  <c r="O56"/>
  <c r="E142" i="75"/>
  <c r="E18" i="47"/>
  <c r="O18"/>
  <c r="E158" i="75"/>
  <c r="E37" i="47"/>
  <c r="O37"/>
  <c r="E164" i="75"/>
  <c r="E44" i="47"/>
  <c r="E147" i="75"/>
  <c r="E23" i="47"/>
  <c r="O23"/>
  <c r="E143" i="75"/>
  <c r="E19" i="47"/>
  <c r="O19"/>
  <c r="E171" i="75"/>
  <c r="E52" i="47"/>
  <c r="E167" i="75"/>
  <c r="E47" i="47"/>
  <c r="E159" i="75"/>
  <c r="E38" i="47"/>
  <c r="O38"/>
  <c r="E139" i="75"/>
  <c r="E14" i="47"/>
  <c r="E152" i="75"/>
  <c r="E30" i="47"/>
  <c r="E148" i="75"/>
  <c r="E25" i="47"/>
  <c r="E135" i="75"/>
  <c r="E10" i="47"/>
  <c r="N10"/>
  <c r="E149" i="75"/>
  <c r="E26" i="47"/>
  <c r="E141" i="75"/>
  <c r="E16" i="47"/>
  <c r="E136" i="75"/>
  <c r="E11" i="47"/>
  <c r="E151" i="75"/>
  <c r="E28" i="47"/>
  <c r="E162" i="75"/>
  <c r="E42" i="47"/>
  <c r="E157" i="75"/>
  <c r="E35" i="47"/>
  <c r="E169" i="75"/>
  <c r="E50" i="47"/>
  <c r="E165" i="75"/>
  <c r="E45" i="47"/>
  <c r="E137" i="75"/>
  <c r="E12" i="47"/>
  <c r="E173" i="75"/>
  <c r="E55" i="47"/>
  <c r="O55"/>
  <c r="E154" i="75"/>
  <c r="E32" i="47"/>
  <c r="E150" i="75"/>
  <c r="E27" i="47"/>
  <c r="E144" i="75"/>
  <c r="E20" i="47"/>
  <c r="O20"/>
  <c r="E153" i="75"/>
  <c r="E31" i="47"/>
  <c r="E156" i="75"/>
  <c r="E34" i="47"/>
  <c r="E172" i="75"/>
  <c r="E54" i="47"/>
  <c r="O54"/>
  <c r="E155" i="75"/>
  <c r="E33" i="47"/>
  <c r="E145" i="75"/>
  <c r="E21" i="47"/>
  <c r="O21"/>
  <c r="E170" i="75"/>
  <c r="E51" i="47"/>
  <c r="E160" i="75"/>
  <c r="E39" i="47"/>
  <c r="O39"/>
  <c r="J15" i="38"/>
  <c r="H44" i="68"/>
  <c r="F151" i="75"/>
  <c r="F28" i="47"/>
  <c r="F145" i="75"/>
  <c r="F21" i="47"/>
  <c r="Q21"/>
  <c r="F158" i="75"/>
  <c r="F37" i="47"/>
  <c r="Q37"/>
  <c r="F164" i="75"/>
  <c r="F44" i="47"/>
  <c r="F170" i="75"/>
  <c r="F51" i="47"/>
  <c r="F162" i="75"/>
  <c r="F42" i="47"/>
  <c r="F166" i="75"/>
  <c r="F46" i="47"/>
  <c r="F161" i="75"/>
  <c r="F40" i="47"/>
  <c r="Q40"/>
  <c r="F156" i="75"/>
  <c r="F34" i="47"/>
  <c r="F154" i="75"/>
  <c r="F32" i="47"/>
  <c r="F152" i="75"/>
  <c r="F30" i="47"/>
  <c r="F150" i="75"/>
  <c r="F27" i="47"/>
  <c r="F148" i="75"/>
  <c r="F25" i="47"/>
  <c r="F144" i="75"/>
  <c r="F20" i="47"/>
  <c r="Q20"/>
  <c r="F168" i="75"/>
  <c r="F49" i="47"/>
  <c r="F160" i="75"/>
  <c r="F39" i="47"/>
  <c r="Q39"/>
  <c r="F174" i="75"/>
  <c r="F56" i="47"/>
  <c r="Q56"/>
  <c r="F141" i="75"/>
  <c r="F16" i="47"/>
  <c r="F137" i="75"/>
  <c r="F12" i="47"/>
  <c r="F136" i="75"/>
  <c r="F11" i="47"/>
  <c r="F172" i="75"/>
  <c r="F54" i="47"/>
  <c r="Q54"/>
  <c r="F147" i="75"/>
  <c r="F23" i="47"/>
  <c r="Q23"/>
  <c r="F139" i="75"/>
  <c r="F14" i="47"/>
  <c r="F163" i="75"/>
  <c r="F43" i="47"/>
  <c r="F153" i="75"/>
  <c r="F31" i="47"/>
  <c r="F169" i="75"/>
  <c r="F50" i="47"/>
  <c r="F143" i="75"/>
  <c r="F19" i="47"/>
  <c r="Q19"/>
  <c r="F167" i="75"/>
  <c r="F47" i="47"/>
  <c r="F155" i="75"/>
  <c r="F33" i="47"/>
  <c r="F146" i="75"/>
  <c r="F22" i="47"/>
  <c r="Q22"/>
  <c r="F135" i="75"/>
  <c r="F10" i="47"/>
  <c r="P10"/>
  <c r="F157" i="75"/>
  <c r="F35" i="47"/>
  <c r="F140" i="75"/>
  <c r="F15" i="47"/>
  <c r="F165" i="75"/>
  <c r="F45" i="47"/>
  <c r="F171" i="75"/>
  <c r="F52" i="47"/>
  <c r="F159" i="75"/>
  <c r="F38" i="47"/>
  <c r="Q38"/>
  <c r="F173" i="75"/>
  <c r="F55" i="47"/>
  <c r="Q55"/>
  <c r="F149" i="75"/>
  <c r="F26" i="47"/>
  <c r="F138" i="75"/>
  <c r="F13" i="47"/>
  <c r="F142" i="75"/>
  <c r="F18" i="47"/>
  <c r="Q18"/>
  <c r="H155" i="75"/>
  <c r="H33" i="47"/>
  <c r="H151" i="75"/>
  <c r="H28" i="47"/>
  <c r="H147" i="75"/>
  <c r="H23" i="47"/>
  <c r="U23"/>
  <c r="H141" i="75"/>
  <c r="H16" i="47"/>
  <c r="H137" i="75"/>
  <c r="H12" i="47"/>
  <c r="H135" i="75"/>
  <c r="H10" i="47"/>
  <c r="T10"/>
  <c r="H159" i="75"/>
  <c r="H38" i="47"/>
  <c r="U38"/>
  <c r="H167" i="75"/>
  <c r="H47" i="47"/>
  <c r="H145" i="75"/>
  <c r="H21" i="47"/>
  <c r="U21"/>
  <c r="H138" i="75"/>
  <c r="H13" i="47"/>
  <c r="H142" i="75"/>
  <c r="H18" i="47"/>
  <c r="U18"/>
  <c r="H169" i="75"/>
  <c r="H50" i="47"/>
  <c r="H165" i="75"/>
  <c r="H45" i="47"/>
  <c r="H161" i="75"/>
  <c r="H40" i="47"/>
  <c r="U40"/>
  <c r="H157" i="75"/>
  <c r="H35" i="47"/>
  <c r="H153" i="75"/>
  <c r="H31" i="47"/>
  <c r="H149" i="75"/>
  <c r="H26" i="47"/>
  <c r="H140" i="75"/>
  <c r="H15" i="47"/>
  <c r="H156" i="75"/>
  <c r="H34" i="47"/>
  <c r="H148" i="75"/>
  <c r="H25" i="47"/>
  <c r="H154" i="75"/>
  <c r="H32" i="47"/>
  <c r="H144" i="75"/>
  <c r="H20" i="47"/>
  <c r="U20"/>
  <c r="H150" i="75"/>
  <c r="H27" i="47"/>
  <c r="H170" i="75"/>
  <c r="H51" i="47"/>
  <c r="H166" i="75"/>
  <c r="H46" i="47"/>
  <c r="H158" i="75"/>
  <c r="H37" i="47"/>
  <c r="U37"/>
  <c r="H152" i="75"/>
  <c r="H30" i="47"/>
  <c r="H160" i="75"/>
  <c r="H39" i="47"/>
  <c r="U39"/>
  <c r="H136" i="75"/>
  <c r="H11" i="47"/>
  <c r="H171" i="75"/>
  <c r="H52" i="47"/>
  <c r="H163" i="75"/>
  <c r="H43" i="47"/>
  <c r="H162" i="75"/>
  <c r="H42" i="47"/>
  <c r="H143" i="75"/>
  <c r="H19" i="47"/>
  <c r="U19"/>
  <c r="H168" i="75"/>
  <c r="H49" i="47"/>
  <c r="H164" i="75"/>
  <c r="H44" i="47"/>
  <c r="H173" i="75"/>
  <c r="H55" i="47"/>
  <c r="U55"/>
  <c r="H139" i="75"/>
  <c r="H14" i="47"/>
  <c r="H174" i="75"/>
  <c r="H56" i="47"/>
  <c r="U56"/>
  <c r="H172" i="75"/>
  <c r="H54" i="47"/>
  <c r="U54"/>
  <c r="H146" i="75"/>
  <c r="H22" i="47"/>
  <c r="U22"/>
  <c r="M28" i="38"/>
  <c r="N13" i="53"/>
  <c r="L47" i="54"/>
  <c r="L48"/>
  <c r="L16" i="53"/>
  <c r="J62" i="54"/>
  <c r="K27" i="38"/>
  <c r="F38" i="53"/>
  <c r="P136" i="54"/>
  <c r="P137"/>
  <c r="E36" i="38"/>
  <c r="N38" i="53"/>
  <c r="X136" i="54"/>
  <c r="X137"/>
  <c r="M36" i="38"/>
  <c r="L20" i="68"/>
  <c r="S22" i="48"/>
  <c r="L40" i="68"/>
  <c r="B24" i="81"/>
  <c r="E52"/>
  <c r="E60"/>
  <c r="B15"/>
  <c r="B30"/>
  <c r="H23"/>
  <c r="H24"/>
  <c r="G15" i="38"/>
  <c r="E44" i="68"/>
  <c r="H25" i="81"/>
  <c r="B13"/>
  <c r="B47" i="38"/>
  <c r="K67" i="68"/>
  <c r="B61" i="38"/>
  <c r="J80" i="68"/>
  <c r="J61" i="38"/>
  <c r="Q48" i="54"/>
  <c r="T48"/>
  <c r="U48"/>
  <c r="F79" i="68"/>
  <c r="F60" i="38"/>
  <c r="F147" i="59"/>
  <c r="X48" i="54"/>
  <c r="V48"/>
  <c r="K77"/>
  <c r="D77"/>
  <c r="H155" i="59"/>
  <c r="I155"/>
  <c r="H20" i="81"/>
  <c r="L22" i="78"/>
  <c r="L23"/>
  <c r="L35"/>
  <c r="M11" i="79"/>
  <c r="H79" i="68"/>
  <c r="H60" i="38"/>
  <c r="Q63" i="54"/>
  <c r="W63"/>
  <c r="D40" i="85"/>
  <c r="D41"/>
  <c r="D49"/>
  <c r="E72" i="79"/>
  <c r="F29" i="53"/>
  <c r="L18" i="54"/>
  <c r="S63"/>
  <c r="M46" i="80"/>
  <c r="U63" i="54"/>
  <c r="X152"/>
  <c r="L40" i="85"/>
  <c r="L41"/>
  <c r="L49"/>
  <c r="M72" i="79"/>
  <c r="N29" i="53"/>
  <c r="T137" i="54"/>
  <c r="D92"/>
  <c r="D18"/>
  <c r="B65" i="68"/>
  <c r="I79"/>
  <c r="I60" i="38"/>
  <c r="F48" i="54"/>
  <c r="F18"/>
  <c r="H18"/>
  <c r="R137"/>
  <c r="J152"/>
  <c r="J122"/>
  <c r="F122"/>
  <c r="R152"/>
  <c r="E92"/>
  <c r="F30" i="69"/>
  <c r="E77" i="54"/>
  <c r="H77"/>
  <c r="I77"/>
  <c r="L46" i="80"/>
  <c r="J18" i="54"/>
  <c r="C79" i="68"/>
  <c r="C60" i="38"/>
  <c r="D48" i="54"/>
  <c r="D22" i="78"/>
  <c r="D23"/>
  <c r="D35"/>
  <c r="E11" i="79"/>
  <c r="F26" i="53"/>
  <c r="D106" i="54"/>
  <c r="D160" i="59"/>
  <c r="D168"/>
  <c r="D164"/>
  <c r="C167"/>
  <c r="D163"/>
  <c r="D159"/>
  <c r="F29" i="69"/>
  <c r="E5"/>
  <c r="D5"/>
  <c r="E79" i="68"/>
  <c r="E60" i="38"/>
  <c r="C28"/>
  <c r="D13" i="53"/>
  <c r="B47" i="54"/>
  <c r="C48"/>
  <c r="B79" i="68"/>
  <c r="D48" i="80"/>
  <c r="D45" i="79"/>
  <c r="E27" i="53"/>
  <c r="O106" i="54"/>
  <c r="O107"/>
  <c r="D49" i="80"/>
  <c r="D46" i="79"/>
  <c r="E28" i="53"/>
  <c r="H48" i="80"/>
  <c r="H45" i="79"/>
  <c r="I27" i="53"/>
  <c r="S106" i="54"/>
  <c r="S107"/>
  <c r="H49" i="80"/>
  <c r="H46" i="79"/>
  <c r="I28" i="53"/>
  <c r="D39"/>
  <c r="B151" i="54"/>
  <c r="C152"/>
  <c r="C37" i="38"/>
  <c r="E48" i="80"/>
  <c r="E45" i="79"/>
  <c r="F27" i="53"/>
  <c r="P106" i="54"/>
  <c r="P107"/>
  <c r="E49" i="80"/>
  <c r="E46" i="79"/>
  <c r="F28" i="53"/>
  <c r="I28" i="38"/>
  <c r="F65" i="68"/>
  <c r="F45" i="38"/>
  <c r="J13" i="53"/>
  <c r="H47" i="54"/>
  <c r="I65" i="68"/>
  <c r="I45" i="38"/>
  <c r="C65" i="68"/>
  <c r="C45" i="38"/>
  <c r="H65" i="68"/>
  <c r="H45" i="38"/>
  <c r="E65" i="68"/>
  <c r="E45" i="38"/>
  <c r="I13" i="53"/>
  <c r="G47" i="54"/>
  <c r="G48"/>
  <c r="H28" i="38"/>
  <c r="F48" i="80"/>
  <c r="F45" i="79"/>
  <c r="G27" i="53"/>
  <c r="Q106" i="54"/>
  <c r="F49" i="80"/>
  <c r="F46" i="79"/>
  <c r="G28" i="53"/>
  <c r="F12" i="56"/>
  <c r="G12"/>
  <c r="K48" i="38"/>
  <c r="B46"/>
  <c r="K66" i="68"/>
  <c r="N20" i="53"/>
  <c r="M31" i="38"/>
  <c r="J77" i="68"/>
  <c r="J58" i="38"/>
  <c r="B58"/>
  <c r="H146" i="59"/>
  <c r="L142"/>
  <c r="J14" i="76"/>
  <c r="J67" i="38"/>
  <c r="E9"/>
  <c r="F2" i="53"/>
  <c r="F11" i="56"/>
  <c r="G11"/>
  <c r="K51" i="38"/>
  <c r="F14" i="56"/>
  <c r="G14"/>
  <c r="K50" i="38"/>
  <c r="H15"/>
  <c r="F44" i="68"/>
  <c r="B43" i="38"/>
  <c r="K63" i="68"/>
  <c r="F25" i="84"/>
  <c r="N30" i="53"/>
  <c r="L121" i="54"/>
  <c r="L122"/>
  <c r="I15" i="38"/>
  <c r="G44" i="68"/>
  <c r="K15" i="38"/>
  <c r="I44" i="68"/>
  <c r="D139" i="75"/>
  <c r="D14" i="47"/>
  <c r="D172" i="75"/>
  <c r="D54" i="47"/>
  <c r="M54"/>
  <c r="D157" i="75"/>
  <c r="D35" i="47"/>
  <c r="D145" i="75"/>
  <c r="D21" i="47"/>
  <c r="M21"/>
  <c r="D171" i="75"/>
  <c r="D52" i="47"/>
  <c r="D167" i="75"/>
  <c r="D47" i="47"/>
  <c r="D174" i="75"/>
  <c r="D56" i="47"/>
  <c r="M56"/>
  <c r="D149" i="75"/>
  <c r="D26" i="47"/>
  <c r="D147" i="75"/>
  <c r="D23" i="47"/>
  <c r="M23"/>
  <c r="D168" i="75"/>
  <c r="D49" i="47"/>
  <c r="D158" i="75"/>
  <c r="D37" i="47"/>
  <c r="M37"/>
  <c r="D170" i="75"/>
  <c r="D51" i="47"/>
  <c r="D166" i="75"/>
  <c r="D46" i="47"/>
  <c r="D162" i="75"/>
  <c r="D42" i="47"/>
  <c r="D136" i="75"/>
  <c r="D11" i="47"/>
  <c r="D137" i="75"/>
  <c r="D12" i="47"/>
  <c r="D153" i="75"/>
  <c r="D31" i="47"/>
  <c r="D160" i="75"/>
  <c r="D39" i="47"/>
  <c r="M39"/>
  <c r="D143" i="75"/>
  <c r="D19" i="47"/>
  <c r="M19"/>
  <c r="D141" i="75"/>
  <c r="D16" i="47"/>
  <c r="D135" i="75"/>
  <c r="D10" i="47"/>
  <c r="L10"/>
  <c r="D164" i="75"/>
  <c r="D44" i="47"/>
  <c r="D151" i="75"/>
  <c r="D28" i="47"/>
  <c r="D169" i="75"/>
  <c r="D50" i="47"/>
  <c r="D156" i="75"/>
  <c r="D34" i="47"/>
  <c r="D154" i="75"/>
  <c r="D32" i="47"/>
  <c r="D152" i="75"/>
  <c r="D30" i="47"/>
  <c r="D150" i="75"/>
  <c r="D27" i="47"/>
  <c r="D148" i="75"/>
  <c r="D25" i="47"/>
  <c r="D144" i="75"/>
  <c r="D20" i="47"/>
  <c r="M20"/>
  <c r="D165" i="75"/>
  <c r="D45" i="47"/>
  <c r="D159" i="75"/>
  <c r="D38" i="47"/>
  <c r="M38"/>
  <c r="D163" i="75"/>
  <c r="D43" i="47"/>
  <c r="D142" i="75"/>
  <c r="D18" i="47"/>
  <c r="M18"/>
  <c r="D138" i="75"/>
  <c r="D13" i="47"/>
  <c r="D173" i="75"/>
  <c r="D55" i="47"/>
  <c r="M55"/>
  <c r="D155" i="75"/>
  <c r="D33" i="47"/>
  <c r="D140" i="75"/>
  <c r="D15" i="47"/>
  <c r="D161" i="75"/>
  <c r="D40" i="47"/>
  <c r="M40"/>
  <c r="D146" i="75"/>
  <c r="D22" i="47"/>
  <c r="M22"/>
  <c r="C171" i="59"/>
  <c r="C160"/>
  <c r="H14" i="81"/>
  <c r="Q3" i="70"/>
  <c r="C168" i="59"/>
  <c r="C172"/>
  <c r="C159"/>
  <c r="C163"/>
  <c r="C164"/>
  <c r="L27" i="38"/>
  <c r="M16" i="53"/>
  <c r="K62" i="54"/>
  <c r="K63"/>
  <c r="L13" i="53"/>
  <c r="J47" i="54"/>
  <c r="J48"/>
  <c r="K28" i="38"/>
  <c r="N39" i="53"/>
  <c r="L151" i="54"/>
  <c r="L152"/>
  <c r="M37" i="38"/>
  <c r="F160" i="59"/>
  <c r="F159"/>
  <c r="C35" i="78"/>
  <c r="D11" i="79"/>
  <c r="E26" i="53"/>
  <c r="C106" i="54"/>
  <c r="C107"/>
  <c r="P48"/>
  <c r="D147" i="59"/>
  <c r="D45" i="85"/>
  <c r="D46"/>
  <c r="D50"/>
  <c r="E73" i="79"/>
  <c r="F30" i="53"/>
  <c r="D121" i="54"/>
  <c r="D122"/>
  <c r="V137"/>
  <c r="W152"/>
  <c r="D65" i="68"/>
  <c r="D45" i="38"/>
  <c r="G65" i="68"/>
  <c r="G45" i="38"/>
  <c r="H122" i="54"/>
  <c r="D79" i="68"/>
  <c r="D60" i="38"/>
  <c r="J65" i="68"/>
  <c r="J45" i="38"/>
  <c r="V152" i="54"/>
  <c r="Q152"/>
  <c r="Q137"/>
  <c r="H48"/>
  <c r="I152"/>
  <c r="U107"/>
  <c r="Q107"/>
  <c r="M15" i="47"/>
  <c r="L15"/>
  <c r="L27"/>
  <c r="M27"/>
  <c r="L32"/>
  <c r="M32"/>
  <c r="M50"/>
  <c r="L50"/>
  <c r="M44"/>
  <c r="L44"/>
  <c r="L16"/>
  <c r="M16"/>
  <c r="M12"/>
  <c r="L12"/>
  <c r="L42"/>
  <c r="M42"/>
  <c r="M51"/>
  <c r="L51"/>
  <c r="M49"/>
  <c r="L49"/>
  <c r="L26"/>
  <c r="M26"/>
  <c r="M47"/>
  <c r="L47"/>
  <c r="K16" i="53"/>
  <c r="I62" i="54"/>
  <c r="J64" i="68"/>
  <c r="J44" i="38"/>
  <c r="J27"/>
  <c r="C64" i="68"/>
  <c r="C44" i="38"/>
  <c r="E64" i="68"/>
  <c r="E44" i="38"/>
  <c r="H64" i="68"/>
  <c r="H44" i="38"/>
  <c r="H27"/>
  <c r="I16" i="53"/>
  <c r="G62" i="54"/>
  <c r="F20" i="56"/>
  <c r="G20"/>
  <c r="K43" i="38"/>
  <c r="J14" i="43"/>
  <c r="G4" i="70"/>
  <c r="L146" i="59"/>
  <c r="H147"/>
  <c r="F3" i="70"/>
  <c r="C24" i="84"/>
  <c r="J79" i="68"/>
  <c r="J60" i="38"/>
  <c r="B60"/>
  <c r="B45"/>
  <c r="K65" i="68"/>
  <c r="M48" i="80"/>
  <c r="M49"/>
  <c r="K47" i="38"/>
  <c r="C34" i="84"/>
  <c r="H78" i="68"/>
  <c r="H59" i="38"/>
  <c r="G16" i="53"/>
  <c r="E62" i="54"/>
  <c r="F27" i="38"/>
  <c r="T14" i="47"/>
  <c r="U14"/>
  <c r="T44"/>
  <c r="U44"/>
  <c r="T43"/>
  <c r="U43"/>
  <c r="T11"/>
  <c r="U11"/>
  <c r="T30"/>
  <c r="U30"/>
  <c r="U46"/>
  <c r="T46"/>
  <c r="U27"/>
  <c r="T27"/>
  <c r="T32"/>
  <c r="U32"/>
  <c r="U34"/>
  <c r="T34"/>
  <c r="U26"/>
  <c r="T26"/>
  <c r="U35"/>
  <c r="T35"/>
  <c r="U45"/>
  <c r="T45"/>
  <c r="U12"/>
  <c r="T12"/>
  <c r="U33"/>
  <c r="T33"/>
  <c r="Q13"/>
  <c r="P13"/>
  <c r="P52"/>
  <c r="Q52"/>
  <c r="Q15"/>
  <c r="P15"/>
  <c r="Q33"/>
  <c r="P33"/>
  <c r="Q31"/>
  <c r="P31"/>
  <c r="Q14"/>
  <c r="P14"/>
  <c r="P12"/>
  <c r="Q12"/>
  <c r="Q49"/>
  <c r="P49"/>
  <c r="Q25"/>
  <c r="P25"/>
  <c r="P30"/>
  <c r="Q30"/>
  <c r="P34"/>
  <c r="Q34"/>
  <c r="Q46"/>
  <c r="P46"/>
  <c r="P51"/>
  <c r="Q51"/>
  <c r="Q28"/>
  <c r="P28"/>
  <c r="F64" i="68"/>
  <c r="F44" i="38"/>
  <c r="I64" i="68"/>
  <c r="I44" i="38"/>
  <c r="I27"/>
  <c r="J16" i="53"/>
  <c r="H62" i="54"/>
  <c r="N31" i="47"/>
  <c r="O31"/>
  <c r="N27"/>
  <c r="O27"/>
  <c r="N45"/>
  <c r="O45"/>
  <c r="N35"/>
  <c r="O35"/>
  <c r="O28"/>
  <c r="N28"/>
  <c r="O16"/>
  <c r="N16"/>
  <c r="N30"/>
  <c r="O30"/>
  <c r="O52"/>
  <c r="N52"/>
  <c r="O49"/>
  <c r="N49"/>
  <c r="O43"/>
  <c r="N43"/>
  <c r="O15"/>
  <c r="N15"/>
  <c r="R12"/>
  <c r="S12"/>
  <c r="R45"/>
  <c r="S45"/>
  <c r="R43"/>
  <c r="S43"/>
  <c r="R13"/>
  <c r="S13"/>
  <c r="R15"/>
  <c r="S15"/>
  <c r="R27"/>
  <c r="S27"/>
  <c r="R32"/>
  <c r="S32"/>
  <c r="S51"/>
  <c r="R51"/>
  <c r="S33"/>
  <c r="R33"/>
  <c r="R26"/>
  <c r="S26"/>
  <c r="R14"/>
  <c r="S14"/>
  <c r="R44"/>
  <c r="S44"/>
  <c r="R47"/>
  <c r="S47"/>
  <c r="S42"/>
  <c r="R42"/>
  <c r="K35"/>
  <c r="J35"/>
  <c r="J44"/>
  <c r="K44"/>
  <c r="J46"/>
  <c r="K46"/>
  <c r="F17" i="84"/>
  <c r="K19" i="47"/>
  <c r="J19"/>
  <c r="K11"/>
  <c r="J11"/>
  <c r="K40"/>
  <c r="J40"/>
  <c r="F39" i="84"/>
  <c r="J14" i="47"/>
  <c r="K14"/>
  <c r="C17" i="84"/>
  <c r="J49" i="47"/>
  <c r="K49"/>
  <c r="J23"/>
  <c r="K23"/>
  <c r="C37" i="84"/>
  <c r="K54" i="47"/>
  <c r="J54"/>
  <c r="J13"/>
  <c r="K13"/>
  <c r="C38" i="84"/>
  <c r="K55" i="47"/>
  <c r="J55"/>
  <c r="K51"/>
  <c r="J51"/>
  <c r="K26"/>
  <c r="J26"/>
  <c r="J16"/>
  <c r="C19" i="84"/>
  <c r="K16" i="47"/>
  <c r="F21" i="84"/>
  <c r="J22" i="47"/>
  <c r="K22"/>
  <c r="C18" i="84"/>
  <c r="K15" i="47"/>
  <c r="J15"/>
  <c r="C16" i="84"/>
  <c r="K12" i="47"/>
  <c r="J12"/>
  <c r="J43"/>
  <c r="K43"/>
  <c r="E25" i="78"/>
  <c r="F10" i="79"/>
  <c r="E22" i="78"/>
  <c r="E23"/>
  <c r="E35"/>
  <c r="F11" i="79"/>
  <c r="G26" i="53"/>
  <c r="E106" i="54"/>
  <c r="E107"/>
  <c r="E16" i="53"/>
  <c r="C62" i="54"/>
  <c r="C78" i="68"/>
  <c r="C59" i="38"/>
  <c r="F78" i="68"/>
  <c r="F59" i="38"/>
  <c r="D27"/>
  <c r="K11" i="43"/>
  <c r="G2" i="70"/>
  <c r="D16" i="43"/>
  <c r="E7" i="76"/>
  <c r="D28"/>
  <c r="F13" i="56"/>
  <c r="G13"/>
  <c r="K49" i="38"/>
  <c r="E85" i="56"/>
  <c r="B94"/>
  <c r="I48" i="54"/>
  <c r="C30" i="81"/>
  <c r="J63" i="54"/>
  <c r="V107"/>
  <c r="R107"/>
  <c r="M33" i="47"/>
  <c r="L33"/>
  <c r="M13"/>
  <c r="L13"/>
  <c r="M43"/>
  <c r="L43"/>
  <c r="L45"/>
  <c r="M45"/>
  <c r="L25"/>
  <c r="M25"/>
  <c r="M30"/>
  <c r="L30"/>
  <c r="M34"/>
  <c r="L34"/>
  <c r="M28"/>
  <c r="L28"/>
  <c r="L31"/>
  <c r="M31"/>
  <c r="M11"/>
  <c r="L11"/>
  <c r="L46"/>
  <c r="M46"/>
  <c r="M52"/>
  <c r="L52"/>
  <c r="L35"/>
  <c r="M35"/>
  <c r="L14"/>
  <c r="M14"/>
  <c r="G64" i="68"/>
  <c r="G44" i="38"/>
  <c r="H16" i="53"/>
  <c r="F62" i="54"/>
  <c r="D64" i="68"/>
  <c r="D44" i="38"/>
  <c r="I78" i="68"/>
  <c r="I59" i="38"/>
  <c r="B64" i="68"/>
  <c r="G27" i="38"/>
  <c r="P150" i="54"/>
  <c r="P75"/>
  <c r="F42" i="53"/>
  <c r="D75" i="54"/>
  <c r="P135"/>
  <c r="P61"/>
  <c r="D150"/>
  <c r="D61"/>
  <c r="P120"/>
  <c r="D46"/>
  <c r="D135"/>
  <c r="P46"/>
  <c r="D120"/>
  <c r="P31"/>
  <c r="P105"/>
  <c r="D31"/>
  <c r="D105"/>
  <c r="P16"/>
  <c r="P90"/>
  <c r="D16"/>
  <c r="D90"/>
  <c r="K46" i="38"/>
  <c r="C32" i="84"/>
  <c r="L49" i="80"/>
  <c r="L48"/>
  <c r="F5" i="69"/>
  <c r="F31"/>
  <c r="G5"/>
  <c r="N26" i="53"/>
  <c r="L106" i="54"/>
  <c r="F23" i="84"/>
  <c r="B29" i="81"/>
  <c r="C29"/>
  <c r="B31"/>
  <c r="N23" i="53"/>
  <c r="M19" i="38"/>
  <c r="T49" i="47"/>
  <c r="U49"/>
  <c r="T42"/>
  <c r="U42"/>
  <c r="U52"/>
  <c r="T52"/>
  <c r="T51"/>
  <c r="U51"/>
  <c r="T25"/>
  <c r="U25"/>
  <c r="T15"/>
  <c r="U15"/>
  <c r="T31"/>
  <c r="U31"/>
  <c r="T50"/>
  <c r="U50"/>
  <c r="T13"/>
  <c r="U13"/>
  <c r="T47"/>
  <c r="U47"/>
  <c r="U16"/>
  <c r="T16"/>
  <c r="T28"/>
  <c r="U28"/>
  <c r="Q26"/>
  <c r="P26"/>
  <c r="P45"/>
  <c r="Q45"/>
  <c r="Q35"/>
  <c r="P35"/>
  <c r="P47"/>
  <c r="Q47"/>
  <c r="P50"/>
  <c r="Q50"/>
  <c r="Q43"/>
  <c r="P43"/>
  <c r="P11"/>
  <c r="Q11"/>
  <c r="P16"/>
  <c r="Q16"/>
  <c r="P27"/>
  <c r="Q27"/>
  <c r="P32"/>
  <c r="Q32"/>
  <c r="P42"/>
  <c r="Q42"/>
  <c r="Q44"/>
  <c r="P44"/>
  <c r="N51"/>
  <c r="O51"/>
  <c r="N33"/>
  <c r="O33"/>
  <c r="O34"/>
  <c r="N34"/>
  <c r="N32"/>
  <c r="O32"/>
  <c r="O12"/>
  <c r="N12"/>
  <c r="N50"/>
  <c r="O50"/>
  <c r="N42"/>
  <c r="O42"/>
  <c r="O11"/>
  <c r="N11"/>
  <c r="N26"/>
  <c r="O26"/>
  <c r="O25"/>
  <c r="N25"/>
  <c r="O14"/>
  <c r="N14"/>
  <c r="O47"/>
  <c r="N47"/>
  <c r="O44"/>
  <c r="N44"/>
  <c r="O13"/>
  <c r="N13"/>
  <c r="O46"/>
  <c r="N46"/>
  <c r="R52"/>
  <c r="S52"/>
  <c r="R16"/>
  <c r="S16"/>
  <c r="R50"/>
  <c r="S50"/>
  <c r="S28"/>
  <c r="R28"/>
  <c r="S25"/>
  <c r="R25"/>
  <c r="R30"/>
  <c r="S30"/>
  <c r="R34"/>
  <c r="S34"/>
  <c r="R35"/>
  <c r="S35"/>
  <c r="S49"/>
  <c r="R49"/>
  <c r="R31"/>
  <c r="S31"/>
  <c r="R46"/>
  <c r="S46"/>
  <c r="S11"/>
  <c r="R11"/>
  <c r="J21"/>
  <c r="K21"/>
  <c r="J32"/>
  <c r="K32"/>
  <c r="F19" i="84"/>
  <c r="K20" i="47"/>
  <c r="J20"/>
  <c r="F18" i="84"/>
  <c r="F37"/>
  <c r="J38" i="47"/>
  <c r="K38"/>
  <c r="J45"/>
  <c r="K45"/>
  <c r="K28"/>
  <c r="J28"/>
  <c r="K34"/>
  <c r="J34"/>
  <c r="J25"/>
  <c r="K25"/>
  <c r="K18"/>
  <c r="F16" i="84"/>
  <c r="J18" i="47"/>
  <c r="J47"/>
  <c r="K47"/>
  <c r="K31"/>
  <c r="J31"/>
  <c r="F38" i="84"/>
  <c r="K39" i="47"/>
  <c r="J39"/>
  <c r="K27"/>
  <c r="J27"/>
  <c r="K37"/>
  <c r="F36" i="84"/>
  <c r="J37" i="47"/>
  <c r="K50"/>
  <c r="J50"/>
  <c r="K33"/>
  <c r="J33"/>
  <c r="J42"/>
  <c r="K42"/>
  <c r="K30"/>
  <c r="J30"/>
  <c r="C39" i="84"/>
  <c r="K56" i="47"/>
  <c r="J56"/>
  <c r="J52"/>
  <c r="K52"/>
  <c r="D78" i="68"/>
  <c r="D59" i="38"/>
  <c r="G78" i="68"/>
  <c r="G59" i="38"/>
  <c r="E27"/>
  <c r="F16" i="53"/>
  <c r="D62" i="54"/>
  <c r="D63"/>
  <c r="F9" i="38"/>
  <c r="G2" i="53"/>
  <c r="F1" i="78"/>
  <c r="J5" i="48"/>
  <c r="F3" i="85"/>
  <c r="G71" i="79"/>
  <c r="F13" i="68"/>
  <c r="E78"/>
  <c r="E59" i="38"/>
  <c r="C27"/>
  <c r="D16" i="53"/>
  <c r="B62" i="54"/>
  <c r="B78" i="68"/>
  <c r="I33" i="84"/>
  <c r="K54" i="81"/>
  <c r="B17"/>
  <c r="B14"/>
  <c r="B28"/>
  <c r="C28"/>
  <c r="D107" i="54"/>
  <c r="L63"/>
  <c r="K48"/>
  <c r="E122"/>
  <c r="H152"/>
  <c r="T107"/>
  <c r="F63"/>
  <c r="H63"/>
  <c r="J78" i="68"/>
  <c r="J59" i="38"/>
  <c r="B59"/>
  <c r="H2" i="53"/>
  <c r="G9" i="38"/>
  <c r="G3" i="85"/>
  <c r="H71" i="79"/>
  <c r="G13" i="68"/>
  <c r="G1" i="78"/>
  <c r="K5" i="48"/>
  <c r="F25" i="78"/>
  <c r="G10" i="79"/>
  <c r="F22" i="78"/>
  <c r="F23"/>
  <c r="F35"/>
  <c r="G11" i="79"/>
  <c r="H26" i="53"/>
  <c r="F106" i="54"/>
  <c r="F107"/>
  <c r="E105"/>
  <c r="E75"/>
  <c r="E61"/>
  <c r="Q120"/>
  <c r="E90"/>
  <c r="Q150"/>
  <c r="Q61"/>
  <c r="E120"/>
  <c r="Q16"/>
  <c r="Q135"/>
  <c r="E46"/>
  <c r="E135"/>
  <c r="G42" i="53"/>
  <c r="Q75" i="54"/>
  <c r="Q31"/>
  <c r="Q105"/>
  <c r="Q46"/>
  <c r="Q90"/>
  <c r="E150"/>
  <c r="E16"/>
  <c r="E31"/>
  <c r="L46" i="79"/>
  <c r="M28" i="53"/>
  <c r="K50" i="79"/>
  <c r="C9" i="84"/>
  <c r="B11" i="66"/>
  <c r="C11"/>
  <c r="D11"/>
  <c r="E11"/>
  <c r="I7" i="81"/>
  <c r="E28" i="76"/>
  <c r="F7"/>
  <c r="E16" i="43"/>
  <c r="M46" i="79"/>
  <c r="N28" i="53"/>
  <c r="M50" i="79"/>
  <c r="C30" i="84"/>
  <c r="F21" i="56"/>
  <c r="G21"/>
  <c r="K45" i="38"/>
  <c r="F2" i="70"/>
  <c r="F4"/>
  <c r="F3" i="38"/>
  <c r="A72"/>
  <c r="C23" i="84"/>
  <c r="E63" i="54"/>
  <c r="G63"/>
  <c r="B33" i="81"/>
  <c r="C33"/>
  <c r="B32"/>
  <c r="C32"/>
  <c r="C31"/>
  <c r="F50" i="79"/>
  <c r="L45"/>
  <c r="M27" i="53"/>
  <c r="W106" i="54"/>
  <c r="W107"/>
  <c r="K64" i="68"/>
  <c r="B44" i="38"/>
  <c r="H50" i="79"/>
  <c r="F24" i="84"/>
  <c r="M45" i="79"/>
  <c r="N27" i="53"/>
  <c r="X106" i="54"/>
  <c r="L147" i="59"/>
  <c r="H15" i="81"/>
  <c r="Q4" i="70"/>
  <c r="G160" i="59"/>
  <c r="E168"/>
  <c r="G159"/>
  <c r="D172"/>
  <c r="E167"/>
  <c r="F164"/>
  <c r="D171"/>
  <c r="F163"/>
  <c r="C63" i="54"/>
  <c r="I63"/>
  <c r="H13" i="81"/>
  <c r="Q2" i="70"/>
  <c r="X107" i="54"/>
  <c r="G3" i="81"/>
  <c r="H19"/>
  <c r="K44" i="38"/>
  <c r="F19" i="56"/>
  <c r="G19"/>
  <c r="E86"/>
  <c r="C28" i="84"/>
  <c r="G7" i="76"/>
  <c r="F28"/>
  <c r="F16" i="43"/>
  <c r="G25" i="78"/>
  <c r="H10" i="79"/>
  <c r="G22" i="78"/>
  <c r="G23"/>
  <c r="G35"/>
  <c r="H11" i="79"/>
  <c r="I26" i="53"/>
  <c r="G106" i="54"/>
  <c r="G107"/>
  <c r="F135"/>
  <c r="R46"/>
  <c r="F120"/>
  <c r="R31"/>
  <c r="R105"/>
  <c r="F31"/>
  <c r="F105"/>
  <c r="R16"/>
  <c r="R90"/>
  <c r="F16"/>
  <c r="F90"/>
  <c r="R150"/>
  <c r="R75"/>
  <c r="H42" i="53"/>
  <c r="F75" i="54"/>
  <c r="R135"/>
  <c r="R61"/>
  <c r="F150"/>
  <c r="F61"/>
  <c r="R120"/>
  <c r="F46"/>
  <c r="G7" i="81"/>
  <c r="C10" i="84"/>
  <c r="B12" i="66"/>
  <c r="C12"/>
  <c r="D12"/>
  <c r="E12"/>
  <c r="L5" i="48"/>
  <c r="H1" i="78"/>
  <c r="H3" i="85"/>
  <c r="I71" i="79"/>
  <c r="H13" i="68"/>
  <c r="I2" i="53"/>
  <c r="H9" i="38"/>
  <c r="E75" i="68"/>
  <c r="H159" i="59"/>
  <c r="E13" i="76"/>
  <c r="E13" i="43"/>
  <c r="E56" i="38"/>
  <c r="J2" i="53"/>
  <c r="I9" i="38"/>
  <c r="F75" i="68"/>
  <c r="G61"/>
  <c r="H25" i="78"/>
  <c r="I10" i="79"/>
  <c r="H22" i="78"/>
  <c r="H23"/>
  <c r="H35"/>
  <c r="I11" i="79"/>
  <c r="J26" i="53"/>
  <c r="H106" i="54"/>
  <c r="H107"/>
  <c r="H33" i="81"/>
  <c r="H30"/>
  <c r="H32"/>
  <c r="H29"/>
  <c r="H31"/>
  <c r="S150" i="54"/>
  <c r="S61"/>
  <c r="G150"/>
  <c r="G75"/>
  <c r="S135"/>
  <c r="G46"/>
  <c r="G135"/>
  <c r="G61"/>
  <c r="S120"/>
  <c r="S31"/>
  <c r="S105"/>
  <c r="S46"/>
  <c r="G120"/>
  <c r="S16"/>
  <c r="S90"/>
  <c r="G31"/>
  <c r="G105"/>
  <c r="I42" i="53"/>
  <c r="S75" i="54"/>
  <c r="G16"/>
  <c r="G90"/>
  <c r="I1" i="78"/>
  <c r="I3" i="85"/>
  <c r="J71" i="79"/>
  <c r="M5" i="48"/>
  <c r="I13" i="68"/>
  <c r="G16" i="43"/>
  <c r="H7" i="76"/>
  <c r="G28"/>
  <c r="I25" i="78"/>
  <c r="J10" i="79"/>
  <c r="I22" i="78"/>
  <c r="I23"/>
  <c r="I35"/>
  <c r="J11" i="79"/>
  <c r="K26" i="53"/>
  <c r="I106" i="54"/>
  <c r="I107"/>
  <c r="J33" i="81"/>
  <c r="K33"/>
  <c r="I33"/>
  <c r="F13" i="76"/>
  <c r="F13" i="43"/>
  <c r="F56" i="38"/>
  <c r="H120" i="54"/>
  <c r="T31"/>
  <c r="T105"/>
  <c r="H31"/>
  <c r="H105"/>
  <c r="T16"/>
  <c r="T90"/>
  <c r="H16"/>
  <c r="H90"/>
  <c r="T150"/>
  <c r="T75"/>
  <c r="J42" i="53"/>
  <c r="H75" i="54"/>
  <c r="T135"/>
  <c r="T61"/>
  <c r="H150"/>
  <c r="H61"/>
  <c r="T120"/>
  <c r="H46"/>
  <c r="H135"/>
  <c r="T46"/>
  <c r="J3" i="85"/>
  <c r="K71" i="79"/>
  <c r="N5" i="48"/>
  <c r="J1" i="78"/>
  <c r="J13" i="68"/>
  <c r="J31" i="81"/>
  <c r="K31"/>
  <c r="F7"/>
  <c r="I31"/>
  <c r="J32"/>
  <c r="K32"/>
  <c r="I32"/>
  <c r="H16" i="43"/>
  <c r="H28" i="76"/>
  <c r="I7"/>
  <c r="J9" i="38"/>
  <c r="K2" i="53"/>
  <c r="B75" i="68"/>
  <c r="G75"/>
  <c r="D61"/>
  <c r="H61"/>
  <c r="J29" i="81"/>
  <c r="K29"/>
  <c r="I29"/>
  <c r="J30"/>
  <c r="K30"/>
  <c r="I30"/>
  <c r="G10" i="76"/>
  <c r="G10" i="43"/>
  <c r="G41" i="38"/>
  <c r="D10" i="76"/>
  <c r="D10" i="43"/>
  <c r="D41" i="38"/>
  <c r="B13" i="76"/>
  <c r="B13" i="43"/>
  <c r="B56" i="38"/>
  <c r="I31" i="54"/>
  <c r="I105"/>
  <c r="K42" i="53"/>
  <c r="U75" i="54"/>
  <c r="I16"/>
  <c r="I90"/>
  <c r="U150"/>
  <c r="U61"/>
  <c r="I150"/>
  <c r="I75"/>
  <c r="U135"/>
  <c r="I46"/>
  <c r="I135"/>
  <c r="I61"/>
  <c r="U120"/>
  <c r="U31"/>
  <c r="U105"/>
  <c r="U46"/>
  <c r="I120"/>
  <c r="U16"/>
  <c r="U90"/>
  <c r="I28" i="76"/>
  <c r="I16" i="43"/>
  <c r="J7" i="76"/>
  <c r="H7" i="81"/>
  <c r="C11" i="84"/>
  <c r="B13" i="66"/>
  <c r="C13"/>
  <c r="D13"/>
  <c r="E13"/>
  <c r="J25" i="78"/>
  <c r="K10" i="79"/>
  <c r="J22" i="78"/>
  <c r="J23"/>
  <c r="J35"/>
  <c r="K11" i="79"/>
  <c r="L26" i="53"/>
  <c r="J106" i="54"/>
  <c r="J107"/>
  <c r="H10" i="76"/>
  <c r="H10" i="43"/>
  <c r="H41" i="38"/>
  <c r="G13" i="76"/>
  <c r="G13" i="43"/>
  <c r="G56" i="38"/>
  <c r="L2" i="53"/>
  <c r="K9" i="38"/>
  <c r="C75" i="68"/>
  <c r="H75"/>
  <c r="B61"/>
  <c r="E61"/>
  <c r="I61"/>
  <c r="K3" i="85"/>
  <c r="L71" i="79"/>
  <c r="K1" i="78"/>
  <c r="K13" i="68"/>
  <c r="I56" i="59"/>
  <c r="H13" i="76"/>
  <c r="H13" i="43"/>
  <c r="H56" i="38"/>
  <c r="L9"/>
  <c r="M2" i="53"/>
  <c r="D75" i="68"/>
  <c r="I75"/>
  <c r="C61"/>
  <c r="F61"/>
  <c r="J61"/>
  <c r="E10" i="76"/>
  <c r="E10" i="43"/>
  <c r="E41" i="38"/>
  <c r="G123" i="59"/>
  <c r="H56"/>
  <c r="K25" i="78"/>
  <c r="L10" i="79"/>
  <c r="K22" i="78"/>
  <c r="K23"/>
  <c r="K35"/>
  <c r="L11" i="79"/>
  <c r="M26" i="53"/>
  <c r="K106" i="54"/>
  <c r="I10" i="76"/>
  <c r="I10" i="43"/>
  <c r="I41" i="38"/>
  <c r="B10" i="76"/>
  <c r="B10" i="43"/>
  <c r="B41" i="38"/>
  <c r="C13" i="76"/>
  <c r="C13" i="43"/>
  <c r="C56" i="38"/>
  <c r="V150" i="54"/>
  <c r="V75"/>
  <c r="L42" i="53"/>
  <c r="J75" i="54"/>
  <c r="V135"/>
  <c r="V61"/>
  <c r="J150"/>
  <c r="J61"/>
  <c r="V120"/>
  <c r="J46"/>
  <c r="J135"/>
  <c r="V46"/>
  <c r="J120"/>
  <c r="V31"/>
  <c r="V105"/>
  <c r="J31"/>
  <c r="J105"/>
  <c r="V16"/>
  <c r="V90"/>
  <c r="J16"/>
  <c r="J90"/>
  <c r="J28" i="76"/>
  <c r="K7"/>
  <c r="J16" i="43"/>
  <c r="B20" i="76"/>
  <c r="B20" i="43"/>
  <c r="H3" i="70"/>
  <c r="B18" i="76"/>
  <c r="C18"/>
  <c r="C20" i="43"/>
  <c r="K28" i="76"/>
  <c r="B17"/>
  <c r="C16"/>
  <c r="M28"/>
  <c r="B16"/>
  <c r="L28"/>
  <c r="K16" i="43"/>
  <c r="B22" i="76"/>
  <c r="B21"/>
  <c r="G158" i="59"/>
  <c r="G151"/>
  <c r="F10" i="76"/>
  <c r="F10" i="43"/>
  <c r="F41" i="38"/>
  <c r="I13" i="76"/>
  <c r="I13" i="43"/>
  <c r="I56" i="38"/>
  <c r="K150" i="54"/>
  <c r="K75"/>
  <c r="W135"/>
  <c r="K46"/>
  <c r="K135"/>
  <c r="K61"/>
  <c r="W120"/>
  <c r="W31"/>
  <c r="W105"/>
  <c r="W46"/>
  <c r="K120"/>
  <c r="W16"/>
  <c r="W90"/>
  <c r="K31"/>
  <c r="K105"/>
  <c r="M42" i="53"/>
  <c r="W75" i="54"/>
  <c r="K16"/>
  <c r="K90"/>
  <c r="W150"/>
  <c r="W61"/>
  <c r="K107"/>
  <c r="L107"/>
  <c r="G56" i="59"/>
  <c r="F123"/>
  <c r="J10" i="76"/>
  <c r="J10" i="43"/>
  <c r="J41" i="38"/>
  <c r="C10" i="76"/>
  <c r="C10" i="43"/>
  <c r="C41" i="38"/>
  <c r="D13" i="76"/>
  <c r="D13" i="43"/>
  <c r="D56" i="38"/>
  <c r="J2"/>
  <c r="B71"/>
  <c r="F151" i="59"/>
  <c r="F158"/>
  <c r="F162"/>
  <c r="E123"/>
  <c r="F56"/>
  <c r="B18" i="43"/>
  <c r="C18"/>
  <c r="C71" i="38"/>
  <c r="B72"/>
  <c r="C17" i="76"/>
  <c r="C19" i="43"/>
  <c r="B19"/>
  <c r="H3"/>
  <c r="B23"/>
  <c r="H2" i="70"/>
  <c r="D123" i="59"/>
  <c r="E56"/>
  <c r="D71" i="38"/>
  <c r="C72"/>
  <c r="E166" i="59"/>
  <c r="E158"/>
  <c r="E151"/>
  <c r="E162"/>
  <c r="E71" i="38"/>
  <c r="D72"/>
  <c r="D166" i="59"/>
  <c r="D162"/>
  <c r="D170"/>
  <c r="D151"/>
  <c r="D158"/>
  <c r="B26" i="43"/>
  <c r="B25" i="76"/>
  <c r="D56" i="59"/>
  <c r="C56"/>
  <c r="C123"/>
  <c r="C158"/>
  <c r="C162"/>
  <c r="C170"/>
  <c r="C151"/>
  <c r="C166"/>
  <c r="B28" i="43"/>
  <c r="F7"/>
  <c r="B30"/>
  <c r="G7"/>
  <c r="E7"/>
  <c r="C13" i="84"/>
  <c r="B15" i="66"/>
  <c r="C15"/>
  <c r="D15"/>
  <c r="E15"/>
  <c r="C25" i="76"/>
  <c r="M29"/>
  <c r="L29"/>
  <c r="F71" i="38"/>
  <c r="E72"/>
  <c r="G71"/>
  <c r="F72"/>
  <c r="H71"/>
  <c r="G72"/>
  <c r="I71"/>
  <c r="H72"/>
  <c r="J71"/>
  <c r="I72"/>
  <c r="K71"/>
  <c r="J72"/>
  <c r="B73"/>
  <c r="C73"/>
  <c r="D73"/>
  <c r="E73"/>
  <c r="F73"/>
  <c r="G73"/>
  <c r="H73"/>
  <c r="I73"/>
  <c r="J73"/>
  <c r="K73"/>
  <c r="K72"/>
  <c r="B74"/>
  <c r="C74"/>
  <c r="D74"/>
  <c r="E74"/>
  <c r="F74"/>
  <c r="G74"/>
  <c r="H74"/>
  <c r="I74"/>
  <c r="J74"/>
  <c r="K74"/>
  <c r="B6" i="50"/>
  <c r="C6"/>
  <c r="B7"/>
  <c r="C7"/>
  <c r="B15"/>
  <c r="C15"/>
  <c r="B14"/>
  <c r="C14"/>
  <c r="B12"/>
  <c r="C12"/>
  <c r="H275"/>
  <c r="B8"/>
  <c r="C8"/>
  <c r="B16"/>
  <c r="C16"/>
  <c r="H91"/>
  <c r="B13"/>
  <c r="C13"/>
  <c r="B10"/>
  <c r="C10"/>
  <c r="H394"/>
  <c r="B9"/>
  <c r="C9"/>
  <c r="B11"/>
  <c r="C11"/>
  <c r="H351"/>
  <c r="B77" i="38"/>
  <c r="B79"/>
  <c r="H239" i="50"/>
  <c r="H232"/>
  <c r="H215"/>
  <c r="H226"/>
  <c r="H229"/>
  <c r="H245"/>
  <c r="H231"/>
  <c r="H207"/>
  <c r="H244"/>
  <c r="H214"/>
  <c r="H237"/>
  <c r="H241"/>
  <c r="H219"/>
  <c r="H238"/>
  <c r="H212"/>
  <c r="H223"/>
  <c r="H210"/>
  <c r="H205"/>
  <c r="H218"/>
  <c r="H248"/>
  <c r="H201"/>
  <c r="H198"/>
  <c r="H209"/>
  <c r="H235"/>
  <c r="H234"/>
  <c r="H222"/>
  <c r="H211"/>
  <c r="H242"/>
  <c r="H217"/>
  <c r="H236"/>
  <c r="H224"/>
  <c r="H225"/>
  <c r="H220"/>
  <c r="H243"/>
  <c r="H247"/>
  <c r="H199"/>
  <c r="H203"/>
  <c r="H246"/>
  <c r="H233"/>
  <c r="H221"/>
  <c r="H240"/>
  <c r="H227"/>
  <c r="H206"/>
  <c r="H249"/>
  <c r="H228"/>
  <c r="H202"/>
  <c r="D13"/>
  <c r="H230"/>
  <c r="H204"/>
  <c r="H208"/>
  <c r="H213"/>
  <c r="H216"/>
  <c r="H200"/>
  <c r="H114"/>
  <c r="H111"/>
  <c r="H108"/>
  <c r="H121"/>
  <c r="H115"/>
  <c r="H135"/>
  <c r="H116"/>
  <c r="H98"/>
  <c r="H133"/>
  <c r="H130"/>
  <c r="H129"/>
  <c r="H120"/>
  <c r="H97"/>
  <c r="H106"/>
  <c r="H122"/>
  <c r="H138"/>
  <c r="H94"/>
  <c r="H102"/>
  <c r="H134"/>
  <c r="H101"/>
  <c r="H144"/>
  <c r="H131"/>
  <c r="H95"/>
  <c r="H132"/>
  <c r="H137"/>
  <c r="H96"/>
  <c r="H128"/>
  <c r="H113"/>
  <c r="H105"/>
  <c r="H126"/>
  <c r="H145"/>
  <c r="D15"/>
  <c r="H123"/>
  <c r="H140"/>
  <c r="H112"/>
  <c r="H99"/>
  <c r="H107"/>
  <c r="H124"/>
  <c r="H136"/>
  <c r="H100"/>
  <c r="H125"/>
  <c r="H118"/>
  <c r="H117"/>
  <c r="H141"/>
  <c r="H103"/>
  <c r="H143"/>
  <c r="H110"/>
  <c r="H109"/>
  <c r="H142"/>
  <c r="H127"/>
  <c r="H139"/>
  <c r="H119"/>
  <c r="H104"/>
  <c r="H191"/>
  <c r="H186"/>
  <c r="H195"/>
  <c r="H194"/>
  <c r="H167"/>
  <c r="H197"/>
  <c r="H183"/>
  <c r="H182"/>
  <c r="H185"/>
  <c r="H192"/>
  <c r="H189"/>
  <c r="H160"/>
  <c r="H163"/>
  <c r="H158"/>
  <c r="H179"/>
  <c r="H147"/>
  <c r="H164"/>
  <c r="H174"/>
  <c r="H153"/>
  <c r="H181"/>
  <c r="H156"/>
  <c r="H155"/>
  <c r="H196"/>
  <c r="H184"/>
  <c r="H152"/>
  <c r="H159"/>
  <c r="D14"/>
  <c r="H190"/>
  <c r="H193"/>
  <c r="H148"/>
  <c r="H170"/>
  <c r="H169"/>
  <c r="H172"/>
  <c r="H176"/>
  <c r="H166"/>
  <c r="H171"/>
  <c r="H187"/>
  <c r="H146"/>
  <c r="H178"/>
  <c r="H173"/>
  <c r="H188"/>
  <c r="H154"/>
  <c r="H162"/>
  <c r="H175"/>
  <c r="H180"/>
  <c r="H177"/>
  <c r="H165"/>
  <c r="H149"/>
  <c r="H157"/>
  <c r="H151"/>
  <c r="H150"/>
  <c r="H168"/>
  <c r="H161"/>
  <c r="H534"/>
  <c r="H544"/>
  <c r="H557"/>
  <c r="H553"/>
  <c r="H542"/>
  <c r="H514"/>
  <c r="H529"/>
  <c r="H516"/>
  <c r="H527"/>
  <c r="H550"/>
  <c r="H519"/>
  <c r="H518"/>
  <c r="H525"/>
  <c r="H549"/>
  <c r="H552"/>
  <c r="H543"/>
  <c r="H533"/>
  <c r="H517"/>
  <c r="H558"/>
  <c r="H548"/>
  <c r="H545"/>
  <c r="H530"/>
  <c r="H510"/>
  <c r="H547"/>
  <c r="H536"/>
  <c r="H511"/>
  <c r="H522"/>
  <c r="H560"/>
  <c r="H551"/>
  <c r="H513"/>
  <c r="H541"/>
  <c r="H555"/>
  <c r="H546"/>
  <c r="H523"/>
  <c r="H532"/>
  <c r="H535"/>
  <c r="H521"/>
  <c r="H531"/>
  <c r="H554"/>
  <c r="H539"/>
  <c r="H537"/>
  <c r="D7"/>
  <c r="H561"/>
  <c r="H520"/>
  <c r="H526"/>
  <c r="H540"/>
  <c r="H528"/>
  <c r="H524"/>
  <c r="H512"/>
  <c r="H556"/>
  <c r="H515"/>
  <c r="H538"/>
  <c r="H559"/>
  <c r="H277"/>
  <c r="H283"/>
  <c r="H269"/>
  <c r="H281"/>
  <c r="H289"/>
  <c r="H296"/>
  <c r="H284"/>
  <c r="D12"/>
  <c r="H297"/>
  <c r="H264"/>
  <c r="H280"/>
  <c r="H294"/>
  <c r="H274"/>
  <c r="H253"/>
  <c r="H276"/>
  <c r="H288"/>
  <c r="H254"/>
  <c r="H301"/>
  <c r="H278"/>
  <c r="H250"/>
  <c r="H260"/>
  <c r="H273"/>
  <c r="H270"/>
  <c r="H266"/>
  <c r="H287"/>
  <c r="H286"/>
  <c r="H267"/>
  <c r="H566"/>
  <c r="H596"/>
  <c r="H593"/>
  <c r="H587"/>
  <c r="H574"/>
  <c r="H614"/>
  <c r="H612"/>
  <c r="H598"/>
  <c r="H568"/>
  <c r="H579"/>
  <c r="H611"/>
  <c r="H576"/>
  <c r="H584"/>
  <c r="H582"/>
  <c r="H588"/>
  <c r="H567"/>
  <c r="H608"/>
  <c r="H570"/>
  <c r="H583"/>
  <c r="H585"/>
  <c r="H572"/>
  <c r="H575"/>
  <c r="H581"/>
  <c r="H564"/>
  <c r="D6"/>
  <c r="H592"/>
  <c r="H591"/>
  <c r="H595"/>
  <c r="H565"/>
  <c r="H571"/>
  <c r="H602"/>
  <c r="H589"/>
  <c r="H586"/>
  <c r="H600"/>
  <c r="H601"/>
  <c r="H580"/>
  <c r="H605"/>
  <c r="H597"/>
  <c r="H573"/>
  <c r="H603"/>
  <c r="H562"/>
  <c r="H604"/>
  <c r="H613"/>
  <c r="H577"/>
  <c r="H599"/>
  <c r="H607"/>
  <c r="H563"/>
  <c r="H569"/>
  <c r="H606"/>
  <c r="H594"/>
  <c r="H578"/>
  <c r="H590"/>
  <c r="H609"/>
  <c r="H610"/>
  <c r="H509"/>
  <c r="H485"/>
  <c r="H478"/>
  <c r="H499"/>
  <c r="H472"/>
  <c r="H493"/>
  <c r="H462"/>
  <c r="H471"/>
  <c r="H463"/>
  <c r="H498"/>
  <c r="H497"/>
  <c r="H502"/>
  <c r="H496"/>
  <c r="H482"/>
  <c r="H506"/>
  <c r="H492"/>
  <c r="H491"/>
  <c r="H501"/>
  <c r="H460"/>
  <c r="H479"/>
  <c r="H467"/>
  <c r="H461"/>
  <c r="H459"/>
  <c r="H484"/>
  <c r="H470"/>
  <c r="H490"/>
  <c r="H505"/>
  <c r="H503"/>
  <c r="H500"/>
  <c r="H475"/>
  <c r="H481"/>
  <c r="H487"/>
  <c r="H489"/>
  <c r="H495"/>
  <c r="H468"/>
  <c r="H473"/>
  <c r="H494"/>
  <c r="H469"/>
  <c r="H466"/>
  <c r="H476"/>
  <c r="H477"/>
  <c r="H458"/>
  <c r="H474"/>
  <c r="H480"/>
  <c r="H508"/>
  <c r="H504"/>
  <c r="H507"/>
  <c r="D8"/>
  <c r="H483"/>
  <c r="H464"/>
  <c r="H486"/>
  <c r="H488"/>
  <c r="H465"/>
  <c r="H46"/>
  <c r="H56"/>
  <c r="H73"/>
  <c r="H45"/>
  <c r="H86"/>
  <c r="H55"/>
  <c r="H49"/>
  <c r="H41"/>
  <c r="H44"/>
  <c r="H63"/>
  <c r="H57"/>
  <c r="H40"/>
  <c r="H79"/>
  <c r="H65"/>
  <c r="H52"/>
  <c r="H376"/>
  <c r="H364"/>
  <c r="H400"/>
  <c r="H368"/>
  <c r="H369"/>
  <c r="H388"/>
  <c r="H385"/>
  <c r="H390"/>
  <c r="D10"/>
  <c r="H371"/>
  <c r="H402"/>
  <c r="H383"/>
  <c r="H373"/>
  <c r="H421"/>
  <c r="H436"/>
  <c r="H429"/>
  <c r="H444"/>
  <c r="H435"/>
  <c r="H418"/>
  <c r="H453"/>
  <c r="H425"/>
  <c r="H455"/>
  <c r="H419"/>
  <c r="H433"/>
  <c r="H431"/>
  <c r="H442"/>
  <c r="H423"/>
  <c r="H424"/>
  <c r="H448"/>
  <c r="H443"/>
  <c r="H430"/>
  <c r="H441"/>
  <c r="H408"/>
  <c r="H450"/>
  <c r="H422"/>
  <c r="H406"/>
  <c r="H432"/>
  <c r="H426"/>
  <c r="H410"/>
  <c r="D9"/>
  <c r="H445"/>
  <c r="H437"/>
  <c r="H411"/>
  <c r="H416"/>
  <c r="H414"/>
  <c r="H409"/>
  <c r="H457"/>
  <c r="H446"/>
  <c r="H449"/>
  <c r="H428"/>
  <c r="H439"/>
  <c r="H438"/>
  <c r="H413"/>
  <c r="H412"/>
  <c r="H407"/>
  <c r="H417"/>
  <c r="H415"/>
  <c r="H447"/>
  <c r="H420"/>
  <c r="H454"/>
  <c r="H440"/>
  <c r="H456"/>
  <c r="H452"/>
  <c r="H451"/>
  <c r="H427"/>
  <c r="H434"/>
  <c r="H339"/>
  <c r="H331"/>
  <c r="H345"/>
  <c r="D11"/>
  <c r="H323"/>
  <c r="H314"/>
  <c r="H336"/>
  <c r="H324"/>
  <c r="H302"/>
  <c r="H304"/>
  <c r="H309"/>
  <c r="H303"/>
  <c r="H340"/>
  <c r="B81" i="38"/>
  <c r="F7"/>
  <c r="E7"/>
  <c r="C12" i="84"/>
  <c r="B14" i="66"/>
  <c r="C14"/>
  <c r="D14"/>
  <c r="E14"/>
  <c r="B83" i="38"/>
  <c r="G7"/>
  <c r="F7" i="56"/>
  <c r="G7"/>
  <c r="E84"/>
  <c r="H350" i="50"/>
  <c r="H318"/>
  <c r="H332"/>
  <c r="H328"/>
  <c r="H307"/>
  <c r="H333"/>
  <c r="H327"/>
  <c r="H344"/>
  <c r="H330"/>
  <c r="H348"/>
  <c r="H308"/>
  <c r="H310"/>
  <c r="H353"/>
  <c r="H379"/>
  <c r="H360"/>
  <c r="H362"/>
  <c r="H366"/>
  <c r="H367"/>
  <c r="H355"/>
  <c r="H396"/>
  <c r="H380"/>
  <c r="H382"/>
  <c r="H357"/>
  <c r="H365"/>
  <c r="H392"/>
  <c r="H403"/>
  <c r="H85"/>
  <c r="H39"/>
  <c r="H80"/>
  <c r="H87"/>
  <c r="H72"/>
  <c r="H51"/>
  <c r="H66"/>
  <c r="H78"/>
  <c r="H69"/>
  <c r="H84"/>
  <c r="H83"/>
  <c r="H93"/>
  <c r="H53"/>
  <c r="H50"/>
  <c r="H282"/>
  <c r="H271"/>
  <c r="H265"/>
  <c r="H251"/>
  <c r="H300"/>
  <c r="H259"/>
  <c r="H279"/>
  <c r="H295"/>
  <c r="H268"/>
  <c r="H255"/>
  <c r="H291"/>
  <c r="H290"/>
  <c r="H293"/>
  <c r="H263"/>
  <c r="H258"/>
  <c r="H252"/>
  <c r="H256"/>
  <c r="H257"/>
  <c r="H298"/>
  <c r="H262"/>
  <c r="H285"/>
  <c r="H272"/>
  <c r="H261"/>
  <c r="H292"/>
  <c r="H299"/>
  <c r="H342"/>
  <c r="H319"/>
  <c r="H335"/>
  <c r="H305"/>
  <c r="H338"/>
  <c r="H346"/>
  <c r="H312"/>
  <c r="H306"/>
  <c r="H321"/>
  <c r="H322"/>
  <c r="H320"/>
  <c r="H334"/>
  <c r="H316"/>
  <c r="H326"/>
  <c r="H311"/>
  <c r="H337"/>
  <c r="H343"/>
  <c r="H313"/>
  <c r="H317"/>
  <c r="H347"/>
  <c r="H329"/>
  <c r="H352"/>
  <c r="H341"/>
  <c r="H349"/>
  <c r="H325"/>
  <c r="H315"/>
  <c r="H377"/>
  <c r="H361"/>
  <c r="H384"/>
  <c r="H387"/>
  <c r="H381"/>
  <c r="H393"/>
  <c r="H370"/>
  <c r="H395"/>
  <c r="H398"/>
  <c r="H404"/>
  <c r="H405"/>
  <c r="H386"/>
  <c r="H372"/>
  <c r="H374"/>
  <c r="H363"/>
  <c r="H389"/>
  <c r="H358"/>
  <c r="H359"/>
  <c r="H397"/>
  <c r="H354"/>
  <c r="H399"/>
  <c r="H375"/>
  <c r="H378"/>
  <c r="H356"/>
  <c r="H391"/>
  <c r="H401"/>
  <c r="H58"/>
  <c r="H62"/>
  <c r="H38"/>
  <c r="H88"/>
  <c r="H60"/>
  <c r="H68"/>
  <c r="H61"/>
  <c r="H43"/>
  <c r="H81"/>
  <c r="H67"/>
  <c r="H90"/>
  <c r="H64"/>
  <c r="D16"/>
  <c r="I62"/>
  <c r="H70"/>
  <c r="H74"/>
  <c r="H77"/>
  <c r="H71"/>
  <c r="H47"/>
  <c r="H92"/>
  <c r="H59"/>
  <c r="H82"/>
  <c r="H54"/>
  <c r="H89"/>
  <c r="H48"/>
  <c r="H42"/>
  <c r="H75"/>
  <c r="H76"/>
  <c r="A94" i="56"/>
  <c r="C94"/>
  <c r="I322" i="50"/>
  <c r="I332"/>
  <c r="I320"/>
  <c r="I318"/>
  <c r="I329"/>
  <c r="I342"/>
  <c r="I313"/>
  <c r="I338"/>
  <c r="I308"/>
  <c r="I307"/>
  <c r="I353"/>
  <c r="I328"/>
  <c r="I337"/>
  <c r="I351"/>
  <c r="I311"/>
  <c r="I323"/>
  <c r="I350"/>
  <c r="I319"/>
  <c r="I334"/>
  <c r="I312"/>
  <c r="I349"/>
  <c r="I325"/>
  <c r="I339"/>
  <c r="I348"/>
  <c r="I335"/>
  <c r="I344"/>
  <c r="I321"/>
  <c r="I340"/>
  <c r="I345"/>
  <c r="I326"/>
  <c r="I315"/>
  <c r="I317"/>
  <c r="I302"/>
  <c r="I316"/>
  <c r="I346"/>
  <c r="I303"/>
  <c r="I333"/>
  <c r="I336"/>
  <c r="I314"/>
  <c r="I330"/>
  <c r="I331"/>
  <c r="I310"/>
  <c r="I341"/>
  <c r="I347"/>
  <c r="I327"/>
  <c r="I305"/>
  <c r="I306"/>
  <c r="I309"/>
  <c r="I324"/>
  <c r="I352"/>
  <c r="I304"/>
  <c r="I343"/>
  <c r="I415"/>
  <c r="I410"/>
  <c r="I422"/>
  <c r="I432"/>
  <c r="I448"/>
  <c r="I449"/>
  <c r="I428"/>
  <c r="I446"/>
  <c r="I429"/>
  <c r="I452"/>
  <c r="I407"/>
  <c r="I413"/>
  <c r="I426"/>
  <c r="I447"/>
  <c r="I431"/>
  <c r="I455"/>
  <c r="I454"/>
  <c r="I451"/>
  <c r="I420"/>
  <c r="I443"/>
  <c r="I436"/>
  <c r="I453"/>
  <c r="I438"/>
  <c r="I457"/>
  <c r="I423"/>
  <c r="I440"/>
  <c r="I445"/>
  <c r="I414"/>
  <c r="I442"/>
  <c r="I439"/>
  <c r="I411"/>
  <c r="I434"/>
  <c r="I408"/>
  <c r="I417"/>
  <c r="I435"/>
  <c r="I418"/>
  <c r="I416"/>
  <c r="I419"/>
  <c r="I456"/>
  <c r="I441"/>
  <c r="I450"/>
  <c r="I406"/>
  <c r="I430"/>
  <c r="I412"/>
  <c r="I409"/>
  <c r="I444"/>
  <c r="I433"/>
  <c r="I437"/>
  <c r="I424"/>
  <c r="I427"/>
  <c r="I425"/>
  <c r="I421"/>
  <c r="I403"/>
  <c r="I405"/>
  <c r="I400"/>
  <c r="I361"/>
  <c r="I369"/>
  <c r="I398"/>
  <c r="I376"/>
  <c r="I392"/>
  <c r="I382"/>
  <c r="I367"/>
  <c r="I356"/>
  <c r="I365"/>
  <c r="I397"/>
  <c r="I384"/>
  <c r="I380"/>
  <c r="I366"/>
  <c r="I399"/>
  <c r="I371"/>
  <c r="I388"/>
  <c r="I373"/>
  <c r="I383"/>
  <c r="I391"/>
  <c r="I377"/>
  <c r="I401"/>
  <c r="I364"/>
  <c r="I355"/>
  <c r="I402"/>
  <c r="I363"/>
  <c r="I379"/>
  <c r="I404"/>
  <c r="I386"/>
  <c r="I389"/>
  <c r="I395"/>
  <c r="I381"/>
  <c r="I357"/>
  <c r="I360"/>
  <c r="I390"/>
  <c r="I370"/>
  <c r="I375"/>
  <c r="I374"/>
  <c r="I362"/>
  <c r="I368"/>
  <c r="I387"/>
  <c r="I393"/>
  <c r="I372"/>
  <c r="I394"/>
  <c r="I378"/>
  <c r="I354"/>
  <c r="I385"/>
  <c r="I358"/>
  <c r="I359"/>
  <c r="I396"/>
  <c r="I471"/>
  <c r="I480"/>
  <c r="I496"/>
  <c r="I467"/>
  <c r="I482"/>
  <c r="I503"/>
  <c r="I484"/>
  <c r="I508"/>
  <c r="I470"/>
  <c r="I474"/>
  <c r="I492"/>
  <c r="I458"/>
  <c r="I505"/>
  <c r="I494"/>
  <c r="I500"/>
  <c r="I502"/>
  <c r="I483"/>
  <c r="I461"/>
  <c r="I479"/>
  <c r="I459"/>
  <c r="I490"/>
  <c r="I491"/>
  <c r="I506"/>
  <c r="I488"/>
  <c r="I465"/>
  <c r="I501"/>
  <c r="I473"/>
  <c r="I476"/>
  <c r="I493"/>
  <c r="I460"/>
  <c r="I495"/>
  <c r="I497"/>
  <c r="I499"/>
  <c r="I478"/>
  <c r="I507"/>
  <c r="I469"/>
  <c r="I509"/>
  <c r="I475"/>
  <c r="I489"/>
  <c r="I462"/>
  <c r="I468"/>
  <c r="I466"/>
  <c r="I485"/>
  <c r="I477"/>
  <c r="I481"/>
  <c r="I498"/>
  <c r="I463"/>
  <c r="I504"/>
  <c r="I464"/>
  <c r="I486"/>
  <c r="I487"/>
  <c r="I472"/>
  <c r="I274"/>
  <c r="I297"/>
  <c r="I252"/>
  <c r="I298"/>
  <c r="I270"/>
  <c r="I285"/>
  <c r="I262"/>
  <c r="I254"/>
  <c r="I291"/>
  <c r="I273"/>
  <c r="I292"/>
  <c r="I261"/>
  <c r="I294"/>
  <c r="I289"/>
  <c r="I284"/>
  <c r="I257"/>
  <c r="I288"/>
  <c r="I258"/>
  <c r="I299"/>
  <c r="I300"/>
  <c r="I296"/>
  <c r="I295"/>
  <c r="I290"/>
  <c r="I286"/>
  <c r="I276"/>
  <c r="I255"/>
  <c r="I287"/>
  <c r="I275"/>
  <c r="I267"/>
  <c r="I279"/>
  <c r="I265"/>
  <c r="I264"/>
  <c r="I283"/>
  <c r="I263"/>
  <c r="I260"/>
  <c r="I293"/>
  <c r="I277"/>
  <c r="I281"/>
  <c r="I271"/>
  <c r="I278"/>
  <c r="I280"/>
  <c r="I251"/>
  <c r="I282"/>
  <c r="I301"/>
  <c r="I256"/>
  <c r="I266"/>
  <c r="I272"/>
  <c r="I250"/>
  <c r="I253"/>
  <c r="I268"/>
  <c r="I259"/>
  <c r="I269"/>
  <c r="I521"/>
  <c r="I561"/>
  <c r="I517"/>
  <c r="I546"/>
  <c r="I525"/>
  <c r="I516"/>
  <c r="I515"/>
  <c r="I511"/>
  <c r="I523"/>
  <c r="I518"/>
  <c r="I552"/>
  <c r="I514"/>
  <c r="I541"/>
  <c r="I559"/>
  <c r="I512"/>
  <c r="I513"/>
  <c r="I527"/>
  <c r="I553"/>
  <c r="I549"/>
  <c r="I530"/>
  <c r="I528"/>
  <c r="I538"/>
  <c r="I520"/>
  <c r="I554"/>
  <c r="I539"/>
  <c r="I550"/>
  <c r="I524"/>
  <c r="I532"/>
  <c r="I547"/>
  <c r="I548"/>
  <c r="I543"/>
  <c r="I536"/>
  <c r="I522"/>
  <c r="I551"/>
  <c r="I544"/>
  <c r="I529"/>
  <c r="I557"/>
  <c r="I534"/>
  <c r="I558"/>
  <c r="I537"/>
  <c r="I545"/>
  <c r="I560"/>
  <c r="I556"/>
  <c r="I542"/>
  <c r="I535"/>
  <c r="I519"/>
  <c r="I531"/>
  <c r="I555"/>
  <c r="I510"/>
  <c r="I533"/>
  <c r="I526"/>
  <c r="I540"/>
  <c r="I169"/>
  <c r="I161"/>
  <c r="I190"/>
  <c r="I173"/>
  <c r="I152"/>
  <c r="I157"/>
  <c r="I153"/>
  <c r="I196"/>
  <c r="I154"/>
  <c r="I148"/>
  <c r="I164"/>
  <c r="I178"/>
  <c r="I163"/>
  <c r="I188"/>
  <c r="I185"/>
  <c r="I180"/>
  <c r="I191"/>
  <c r="I165"/>
  <c r="I162"/>
  <c r="I172"/>
  <c r="I197"/>
  <c r="I181"/>
  <c r="I160"/>
  <c r="I182"/>
  <c r="I147"/>
  <c r="I146"/>
  <c r="I193"/>
  <c r="I158"/>
  <c r="I195"/>
  <c r="I184"/>
  <c r="I194"/>
  <c r="I179"/>
  <c r="I159"/>
  <c r="I176"/>
  <c r="I171"/>
  <c r="I189"/>
  <c r="I183"/>
  <c r="I151"/>
  <c r="I175"/>
  <c r="I174"/>
  <c r="I186"/>
  <c r="I149"/>
  <c r="I170"/>
  <c r="I177"/>
  <c r="I166"/>
  <c r="I155"/>
  <c r="I167"/>
  <c r="I156"/>
  <c r="I192"/>
  <c r="I168"/>
  <c r="I150"/>
  <c r="I187"/>
  <c r="I97"/>
  <c r="I133"/>
  <c r="I98"/>
  <c r="I100"/>
  <c r="I109"/>
  <c r="I108"/>
  <c r="I120"/>
  <c r="I142"/>
  <c r="I135"/>
  <c r="I104"/>
  <c r="I114"/>
  <c r="I94"/>
  <c r="I129"/>
  <c r="I144"/>
  <c r="I107"/>
  <c r="I128"/>
  <c r="I103"/>
  <c r="I141"/>
  <c r="I102"/>
  <c r="I125"/>
  <c r="I131"/>
  <c r="I139"/>
  <c r="I130"/>
  <c r="I101"/>
  <c r="I110"/>
  <c r="I124"/>
  <c r="I138"/>
  <c r="I143"/>
  <c r="I121"/>
  <c r="I116"/>
  <c r="I132"/>
  <c r="I99"/>
  <c r="I105"/>
  <c r="I145"/>
  <c r="I112"/>
  <c r="I126"/>
  <c r="I95"/>
  <c r="I137"/>
  <c r="I117"/>
  <c r="I111"/>
  <c r="I113"/>
  <c r="I122"/>
  <c r="I140"/>
  <c r="I123"/>
  <c r="I134"/>
  <c r="I118"/>
  <c r="I127"/>
  <c r="I106"/>
  <c r="I115"/>
  <c r="I136"/>
  <c r="I119"/>
  <c r="I96"/>
  <c r="I245"/>
  <c r="I200"/>
  <c r="I210"/>
  <c r="I224"/>
  <c r="I237"/>
  <c r="I246"/>
  <c r="I247"/>
  <c r="I228"/>
  <c r="I207"/>
  <c r="I234"/>
  <c r="I248"/>
  <c r="I238"/>
  <c r="I213"/>
  <c r="I227"/>
  <c r="I223"/>
  <c r="I233"/>
  <c r="I204"/>
  <c r="I230"/>
  <c r="I215"/>
  <c r="I241"/>
  <c r="I206"/>
  <c r="I199"/>
  <c r="I219"/>
  <c r="I218"/>
  <c r="I217"/>
  <c r="I202"/>
  <c r="I201"/>
  <c r="I214"/>
  <c r="I240"/>
  <c r="I236"/>
  <c r="I220"/>
  <c r="I208"/>
  <c r="I198"/>
  <c r="I212"/>
  <c r="I243"/>
  <c r="I231"/>
  <c r="I235"/>
  <c r="I211"/>
  <c r="I249"/>
  <c r="I222"/>
  <c r="I229"/>
  <c r="I239"/>
  <c r="I225"/>
  <c r="I242"/>
  <c r="I205"/>
  <c r="I232"/>
  <c r="I216"/>
  <c r="I221"/>
  <c r="I226"/>
  <c r="I209"/>
  <c r="I244"/>
  <c r="I203"/>
  <c r="I74"/>
  <c r="I53"/>
  <c r="I79"/>
  <c r="I56"/>
  <c r="I73"/>
  <c r="I45"/>
  <c r="I86"/>
  <c r="I82"/>
  <c r="I89"/>
  <c r="I50"/>
  <c r="I83"/>
  <c r="I80"/>
  <c r="I69"/>
  <c r="I64"/>
  <c r="I49"/>
  <c r="I59"/>
  <c r="I41"/>
  <c r="I77"/>
  <c r="I57"/>
  <c r="I63"/>
  <c r="I71"/>
  <c r="I40"/>
  <c r="I92"/>
  <c r="I43"/>
  <c r="I60"/>
  <c r="I76"/>
  <c r="I84"/>
  <c r="I42"/>
  <c r="I576"/>
  <c r="I608"/>
  <c r="I566"/>
  <c r="I577"/>
  <c r="I572"/>
  <c r="I582"/>
  <c r="I592"/>
  <c r="I571"/>
  <c r="I575"/>
  <c r="I606"/>
  <c r="I570"/>
  <c r="I579"/>
  <c r="I610"/>
  <c r="I601"/>
  <c r="I598"/>
  <c r="I590"/>
  <c r="I600"/>
  <c r="I584"/>
  <c r="I611"/>
  <c r="I604"/>
  <c r="I564"/>
  <c r="I591"/>
  <c r="I613"/>
  <c r="I614"/>
  <c r="I580"/>
  <c r="I569"/>
  <c r="I596"/>
  <c r="I567"/>
  <c r="I605"/>
  <c r="I587"/>
  <c r="I573"/>
  <c r="I595"/>
  <c r="I589"/>
  <c r="I603"/>
  <c r="I612"/>
  <c r="I586"/>
  <c r="I578"/>
  <c r="I583"/>
  <c r="I593"/>
  <c r="I565"/>
  <c r="I585"/>
  <c r="I602"/>
  <c r="I599"/>
  <c r="I563"/>
  <c r="I574"/>
  <c r="I609"/>
  <c r="I588"/>
  <c r="I594"/>
  <c r="I607"/>
  <c r="I562"/>
  <c r="I597"/>
  <c r="I568"/>
  <c r="I581"/>
  <c r="I87"/>
  <c r="I70"/>
  <c r="I67"/>
  <c r="I47"/>
  <c r="I38"/>
  <c r="I46"/>
  <c r="I72"/>
  <c r="I78"/>
  <c r="I54"/>
  <c r="I85"/>
  <c r="I58"/>
  <c r="I90"/>
  <c r="I52"/>
  <c r="I61"/>
  <c r="I75"/>
  <c r="I44"/>
  <c r="I88"/>
  <c r="I81"/>
  <c r="I39"/>
  <c r="I65"/>
  <c r="I66"/>
  <c r="I55"/>
  <c r="I68"/>
  <c r="I48"/>
  <c r="I91"/>
  <c r="I51"/>
  <c r="I93"/>
</calcChain>
</file>

<file path=xl/comments1.xml><?xml version="1.0" encoding="utf-8"?>
<comments xmlns="http://schemas.openxmlformats.org/spreadsheetml/2006/main">
  <authors>
    <author>Jae Jun</author>
  </authors>
  <commentList>
    <comment ref="E2" authorId="0">
      <text>
        <r>
          <rPr>
            <sz val="8"/>
            <color indexed="81"/>
            <rFont val="Tahoma"/>
            <family val="2"/>
          </rPr>
          <t xml:space="preserve"> </t>
        </r>
      </text>
    </comment>
    <comment ref="O4" authorId="0">
      <text>
        <r>
          <rPr>
            <b/>
            <sz val="9"/>
            <color indexed="81"/>
            <rFont val="Tahoma"/>
            <family val="2"/>
          </rPr>
          <t>Jae Jun:</t>
        </r>
        <r>
          <rPr>
            <sz val="9"/>
            <color indexed="81"/>
            <rFont val="Tahoma"/>
            <family val="2"/>
          </rPr>
          <t xml:space="preserve">
Risk looks at EVERYTHING. Risk is relative to EVERYTHING. Normalized to 5.</t>
        </r>
      </text>
    </comment>
    <comment ref="R4" authorId="0">
      <text>
        <r>
          <rPr>
            <b/>
            <sz val="9"/>
            <color indexed="81"/>
            <rFont val="Tahoma"/>
            <family val="2"/>
          </rPr>
          <t>Jae Jun:</t>
        </r>
        <r>
          <rPr>
            <sz val="9"/>
            <color indexed="81"/>
            <rFont val="Tahoma"/>
            <family val="2"/>
          </rPr>
          <t xml:space="preserve">
includes Business model and management scored. Normalized to five.</t>
        </r>
      </text>
    </comment>
  </commentList>
</comments>
</file>

<file path=xl/comments2.xml><?xml version="1.0" encoding="utf-8"?>
<comments xmlns="http://schemas.openxmlformats.org/spreadsheetml/2006/main">
  <authors>
    <author>Jae Jun</author>
  </authors>
  <commentList>
    <comment ref="B2" authorId="0">
      <text>
        <r>
          <rPr>
            <b/>
            <sz val="8"/>
            <color indexed="81"/>
            <rFont val="Tahoma"/>
            <family val="2"/>
          </rPr>
          <t>green shades</t>
        </r>
      </text>
    </comment>
    <comment ref="D2" authorId="0">
      <text>
        <r>
          <rPr>
            <b/>
            <sz val="8"/>
            <color indexed="81"/>
            <rFont val="Tahoma"/>
            <family val="2"/>
          </rPr>
          <t>blue line</t>
        </r>
      </text>
    </comment>
    <comment ref="B3" authorId="0">
      <text>
        <r>
          <rPr>
            <b/>
            <sz val="8"/>
            <color indexed="81"/>
            <rFont val="Tahoma"/>
            <family val="2"/>
          </rPr>
          <t>light green</t>
        </r>
      </text>
    </comment>
    <comment ref="B4" authorId="0">
      <text>
        <r>
          <rPr>
            <b/>
            <sz val="8"/>
            <color indexed="81"/>
            <rFont val="Tahoma"/>
            <family val="2"/>
          </rPr>
          <t>med green</t>
        </r>
      </text>
    </comment>
    <comment ref="B5" authorId="0">
      <text>
        <r>
          <rPr>
            <b/>
            <sz val="8"/>
            <color indexed="81"/>
            <rFont val="Tahoma"/>
            <family val="2"/>
          </rPr>
          <t>dark green</t>
        </r>
      </text>
    </comment>
  </commentList>
</comments>
</file>

<file path=xl/comments3.xml><?xml version="1.0" encoding="utf-8"?>
<comments xmlns="http://schemas.openxmlformats.org/spreadsheetml/2006/main">
  <authors>
    <author>Jae Jun</author>
  </authors>
  <commentList>
    <comment ref="B90" authorId="0">
      <text>
        <r>
          <rPr>
            <b/>
            <sz val="8"/>
            <color indexed="81"/>
            <rFont val="Tahoma"/>
            <family val="2"/>
          </rPr>
          <t>Jae Jun:</t>
        </r>
        <r>
          <rPr>
            <sz val="8"/>
            <color indexed="81"/>
            <rFont val="Tahoma"/>
            <family val="2"/>
          </rPr>
          <t xml:space="preserve">
Owner Earnings = net income + D&amp;A - capex
I am excluding the affects of other income. The purpose is to calculate the "true" and pure FCF.</t>
        </r>
      </text>
    </comment>
    <comment ref="E91" authorId="0">
      <text>
        <r>
          <rPr>
            <b/>
            <sz val="8"/>
            <color indexed="81"/>
            <rFont val="Tahoma"/>
            <family val="2"/>
          </rPr>
          <t>Jae Jun:</t>
        </r>
        <r>
          <rPr>
            <sz val="8"/>
            <color indexed="81"/>
            <rFont val="Tahoma"/>
            <family val="2"/>
          </rPr>
          <t xml:space="preserve">
ability to adjust FCF numbers for each year</t>
        </r>
      </text>
    </comment>
  </commentList>
</comments>
</file>

<file path=xl/comments4.xml><?xml version="1.0" encoding="utf-8"?>
<comments xmlns="http://schemas.openxmlformats.org/spreadsheetml/2006/main">
  <authors>
    <author>Jae Jun</author>
    <author>JJun</author>
    <author>J</author>
  </authors>
  <commentList>
    <comment ref="E2" authorId="0">
      <text>
        <r>
          <rPr>
            <sz val="8"/>
            <color indexed="81"/>
            <rFont val="Tahoma"/>
            <family val="2"/>
          </rPr>
          <t>Margin of Safety</t>
        </r>
      </text>
    </comment>
    <comment ref="C3" authorId="0">
      <text>
        <r>
          <rPr>
            <sz val="10"/>
            <color indexed="81"/>
            <rFont val="Tahoma"/>
            <family val="2"/>
          </rPr>
          <t>If the box turns red, the shares outstanding between Yahoo and Reuters is different. Check shares outstanding number.</t>
        </r>
        <r>
          <rPr>
            <sz val="8"/>
            <color indexed="81"/>
            <rFont val="Tahoma"/>
            <family val="2"/>
          </rPr>
          <t xml:space="preserve">
</t>
        </r>
      </text>
    </comment>
    <comment ref="D3" authorId="0">
      <text>
        <r>
          <rPr>
            <sz val="10"/>
            <color indexed="81"/>
            <rFont val="Tahoma"/>
            <family val="2"/>
          </rPr>
          <t>Share data in millions
1st choice: Reuters
2nd choice: Yahoo</t>
        </r>
      </text>
    </comment>
    <comment ref="F3" authorId="0">
      <text>
        <r>
          <rPr>
            <sz val="10"/>
            <color indexed="81"/>
            <rFont val="Tahoma"/>
            <family val="2"/>
          </rPr>
          <t>average of the 5yr and 10yr FCF growth from the multi year performance sections</t>
        </r>
        <r>
          <rPr>
            <sz val="8"/>
            <color indexed="81"/>
            <rFont val="Tahoma"/>
            <family val="2"/>
          </rPr>
          <t xml:space="preserve">
</t>
        </r>
      </text>
    </comment>
    <comment ref="J3" authorId="0">
      <text>
        <r>
          <rPr>
            <sz val="8"/>
            <color indexed="81"/>
            <rFont val="Tahoma"/>
            <family val="2"/>
          </rPr>
          <t>Sometimes the last year FCF will be severly skewed due to short term reasons. If this is the case, determine the average or median value of FCF and enter here.</t>
        </r>
        <r>
          <rPr>
            <b/>
            <sz val="8"/>
            <color indexed="81"/>
            <rFont val="Tahoma"/>
            <family val="2"/>
          </rPr>
          <t xml:space="preserve">
Warning: Do not play with numbers to make it seem like a good investment</t>
        </r>
      </text>
    </comment>
    <comment ref="L14" authorId="0">
      <text>
        <r>
          <rPr>
            <sz val="10"/>
            <color indexed="81"/>
            <rFont val="Tahoma"/>
            <family val="2"/>
          </rPr>
          <t>DCF valuation starts with this value.
Adjustment field will override value in this box.</t>
        </r>
      </text>
    </comment>
    <comment ref="A28" authorId="1">
      <text>
        <r>
          <rPr>
            <b/>
            <sz val="8"/>
            <color indexed="81"/>
            <rFont val="Tahoma"/>
            <family val="2"/>
          </rPr>
          <t>each dollar in revenue converted into excess profits</t>
        </r>
      </text>
    </comment>
    <comment ref="A29" authorId="1">
      <text>
        <r>
          <rPr>
            <b/>
            <sz val="8"/>
            <color indexed="81"/>
            <rFont val="Tahoma"/>
            <family val="2"/>
          </rPr>
          <t>Efficiency of sales. Number of times per year inventory was renewed. Can show whether sales strategy is pulling off</t>
        </r>
      </text>
    </comment>
    <comment ref="A30" authorId="2">
      <text>
        <r>
          <rPr>
            <b/>
            <sz val="9"/>
            <color indexed="81"/>
            <rFont val="Tahoma"/>
            <family val="2"/>
          </rPr>
          <t>Net Profit Margin x asset turnover (average)</t>
        </r>
      </text>
    </comment>
    <comment ref="A35" authorId="0">
      <text>
        <r>
          <rPr>
            <b/>
            <sz val="8"/>
            <color indexed="81"/>
            <rFont val="Tahoma"/>
            <family val="2"/>
          </rPr>
          <t>Jae Jun:</t>
        </r>
        <r>
          <rPr>
            <sz val="8"/>
            <color indexed="81"/>
            <rFont val="Tahoma"/>
            <family val="2"/>
          </rPr>
          <t xml:space="preserve">
How leveraged the company is with debt.
The capitalization ratio measures the debt component of a company's capital structure, or capitalization (i.e., the sum of long-term debt liabilities and shareholders' equity) to support a company's operations and growth. </t>
        </r>
      </text>
    </comment>
    <comment ref="A36" authorId="0">
      <text>
        <r>
          <rPr>
            <b/>
            <sz val="8"/>
            <color indexed="81"/>
            <rFont val="Tahoma"/>
            <family val="2"/>
          </rPr>
          <t>Jae Jun:</t>
        </r>
        <r>
          <rPr>
            <sz val="8"/>
            <color indexed="81"/>
            <rFont val="Tahoma"/>
            <family val="2"/>
          </rPr>
          <t xml:space="preserve">
This ratio provides an indication of a company's ability to cover total debt with its yearly cash flow from operations. The higher the percentage ratio, the better the company's ability to carry its total debt.
If capitalization ratio is low, the FCF to debt should be high.</t>
        </r>
      </text>
    </comment>
    <comment ref="A45" authorId="1">
      <text>
        <r>
          <rPr>
            <b/>
            <sz val="8"/>
            <color indexed="81"/>
            <rFont val="Tahoma"/>
            <family val="2"/>
            <charset val="129"/>
          </rPr>
          <t>each dollar in revenue converted into excess profits</t>
        </r>
        <r>
          <rPr>
            <sz val="8"/>
            <color indexed="81"/>
            <rFont val="Tahoma"/>
            <family val="2"/>
            <charset val="129"/>
          </rPr>
          <t xml:space="preserve">
</t>
        </r>
      </text>
    </comment>
    <comment ref="A60" authorId="1">
      <text>
        <r>
          <rPr>
            <b/>
            <sz val="8"/>
            <color indexed="81"/>
            <rFont val="Tahoma"/>
            <family val="2"/>
            <charset val="129"/>
          </rPr>
          <t>each dollar in revenue converted into excess profits</t>
        </r>
        <r>
          <rPr>
            <sz val="8"/>
            <color indexed="81"/>
            <rFont val="Tahoma"/>
            <family val="2"/>
            <charset val="129"/>
          </rPr>
          <t xml:space="preserve">
</t>
        </r>
      </text>
    </comment>
    <comment ref="A72" authorId="1">
      <text>
        <r>
          <rPr>
            <sz val="8"/>
            <color indexed="81"/>
            <rFont val="Tahoma"/>
            <family val="2"/>
          </rPr>
          <t>Project the future cash by using 75% of historical FCF—slowed 10% in years 4-6 and another 10% in 7-10.
http://www.fwallstreet.com/blog/76.htm</t>
        </r>
      </text>
    </comment>
    <comment ref="A74" authorId="0">
      <text>
        <r>
          <rPr>
            <sz val="9"/>
            <color indexed="81"/>
            <rFont val="Tahoma"/>
            <family val="2"/>
          </rPr>
          <t>Terminal rate. User defined by default value is 3%</t>
        </r>
      </text>
    </comment>
  </commentList>
</comments>
</file>

<file path=xl/comments5.xml><?xml version="1.0" encoding="utf-8"?>
<comments xmlns="http://schemas.openxmlformats.org/spreadsheetml/2006/main">
  <authors>
    <author>DV6000T</author>
    <author>JJun</author>
    <author>J</author>
    <author>Jae Jun</author>
  </authors>
  <commentList>
    <comment ref="A42" authorId="0">
      <text>
        <r>
          <rPr>
            <b/>
            <sz val="9"/>
            <color indexed="81"/>
            <rFont val="Tahoma"/>
            <family val="2"/>
          </rPr>
          <t>current assets &gt; 1.5 x current liabilities</t>
        </r>
      </text>
    </comment>
    <comment ref="A45" authorId="1">
      <text>
        <r>
          <rPr>
            <b/>
            <sz val="8"/>
            <color indexed="81"/>
            <rFont val="Tahoma"/>
            <family val="2"/>
          </rPr>
          <t>each dollar in revenue converted into excess profits</t>
        </r>
      </text>
    </comment>
    <comment ref="A46" authorId="1">
      <text>
        <r>
          <rPr>
            <b/>
            <sz val="8"/>
            <color indexed="81"/>
            <rFont val="Tahoma"/>
            <family val="2"/>
          </rPr>
          <t>Efficiency of sales. Number of times per year inventory was renewed. Can show whether sales strategy is pulling off</t>
        </r>
      </text>
    </comment>
    <comment ref="A47" authorId="2">
      <text>
        <r>
          <rPr>
            <b/>
            <sz val="9"/>
            <color indexed="81"/>
            <rFont val="Tahoma"/>
            <family val="2"/>
          </rPr>
          <t>Net Profit Margin x asset turnover (average)</t>
        </r>
      </text>
    </comment>
    <comment ref="A52" authorId="3">
      <text>
        <r>
          <rPr>
            <b/>
            <sz val="8"/>
            <color indexed="81"/>
            <rFont val="Tahoma"/>
            <family val="2"/>
          </rPr>
          <t>Jae Jun:</t>
        </r>
        <r>
          <rPr>
            <sz val="8"/>
            <color indexed="81"/>
            <rFont val="Tahoma"/>
            <family val="2"/>
          </rPr>
          <t xml:space="preserve">
How leveraged the company is with debt.
The capitalization ratio measures the debt component of a company's capital structure, or capitalization (i.e., the sum of long-term debt liabilities and shareholders' equity) to support a company's operations and growth. </t>
        </r>
      </text>
    </comment>
    <comment ref="A57" authorId="3">
      <text>
        <r>
          <rPr>
            <b/>
            <sz val="8"/>
            <color indexed="81"/>
            <rFont val="Tahoma"/>
            <family val="2"/>
          </rPr>
          <t>Jae Jun:</t>
        </r>
        <r>
          <rPr>
            <sz val="8"/>
            <color indexed="81"/>
            <rFont val="Tahoma"/>
            <family val="2"/>
          </rPr>
          <t xml:space="preserve">
This ratio provides an indication of a company's ability to cover total debt with its yearly cash flow from operations. The higher the percentage ratio, the better the company's ability to carry its total debt.
If capitalization ratio is low, the FCF to debt should be high.</t>
        </r>
      </text>
    </comment>
    <comment ref="A63" authorId="3">
      <text>
        <r>
          <rPr>
            <sz val="8"/>
            <color indexed="81"/>
            <rFont val="Tahoma"/>
            <family val="2"/>
          </rPr>
          <t xml:space="preserve">refers to the DCF valuation tab because it is reliant on the user input of whether to use FCF or owner earnings. Leave this row pointing to DCF valuation.
</t>
        </r>
      </text>
    </comment>
    <comment ref="A65" authorId="1">
      <text>
        <r>
          <rPr>
            <b/>
            <sz val="8"/>
            <color indexed="81"/>
            <rFont val="Tahoma"/>
            <family val="2"/>
            <charset val="129"/>
          </rPr>
          <t>each dollar in revenue converted into excess profits</t>
        </r>
        <r>
          <rPr>
            <sz val="8"/>
            <color indexed="81"/>
            <rFont val="Tahoma"/>
            <family val="2"/>
            <charset val="129"/>
          </rPr>
          <t xml:space="preserve">
</t>
        </r>
      </text>
    </comment>
    <comment ref="A77" authorId="3">
      <text>
        <r>
          <rPr>
            <sz val="8"/>
            <color indexed="81"/>
            <rFont val="Tahoma"/>
            <family val="2"/>
          </rPr>
          <t xml:space="preserve">refers to the DCF valuation tab because it is reliant on the user input of whether to use FCF or owner earnings. Leave this row pointing to DCF valuation.
</t>
        </r>
      </text>
    </comment>
    <comment ref="A91" authorId="3">
      <text>
        <r>
          <rPr>
            <b/>
            <sz val="8"/>
            <color indexed="81"/>
            <rFont val="Tahoma"/>
            <family val="2"/>
          </rPr>
          <t>Jae Jun:</t>
        </r>
        <r>
          <rPr>
            <sz val="8"/>
            <color indexed="81"/>
            <rFont val="Tahoma"/>
            <family val="2"/>
          </rPr>
          <t xml:space="preserve">
WACC is the overall required return on the firm as a whole.
A.K.A discount rate which you don't have to over think. Use something reasonable.
Formula off Wikipedia
http://en.wikipedia.org/wiki/Weighted_average_cost_of_capital</t>
        </r>
      </text>
    </comment>
    <comment ref="B93" authorId="3">
      <text>
        <r>
          <rPr>
            <b/>
            <sz val="8"/>
            <color indexed="81"/>
            <rFont val="Tahoma"/>
            <family val="2"/>
          </rPr>
          <t>Jae Jun:</t>
        </r>
        <r>
          <rPr>
            <sz val="8"/>
            <color indexed="81"/>
            <rFont val="Tahoma"/>
            <family val="2"/>
          </rPr>
          <t xml:space="preserve">
Assuming that equity returns are average 14% and then subtract the risk free rate</t>
        </r>
      </text>
    </comment>
    <comment ref="A96" authorId="3">
      <text>
        <r>
          <rPr>
            <b/>
            <sz val="8"/>
            <color indexed="81"/>
            <rFont val="Tahoma"/>
            <family val="2"/>
          </rPr>
          <t>Jae Jun:</t>
        </r>
        <r>
          <rPr>
            <sz val="8"/>
            <color indexed="81"/>
            <rFont val="Tahoma"/>
            <family val="2"/>
          </rPr>
          <t xml:space="preserve">
10yr Treasury bond rate</t>
        </r>
      </text>
    </comment>
    <comment ref="A99" authorId="3">
      <text>
        <r>
          <rPr>
            <b/>
            <sz val="8"/>
            <color indexed="81"/>
            <rFont val="Tahoma"/>
            <family val="2"/>
          </rPr>
          <t>Jae Jun:</t>
        </r>
        <r>
          <rPr>
            <sz val="8"/>
            <color indexed="81"/>
            <rFont val="Tahoma"/>
            <family val="2"/>
          </rPr>
          <t xml:space="preserve">
After-tax rate = (before-tax rate x (1-marginal tax))
If a company's only debt were a single bond in which it paid 5%, the before-tax cost of debt would simply be 5%. If, however, the company's marginal tax rate were 40%, the company's after-tax cost of debt would be only 3% (5% x (1-40%))</t>
        </r>
      </text>
    </comment>
    <comment ref="A101" authorId="3">
      <text>
        <r>
          <rPr>
            <b/>
            <sz val="8"/>
            <color indexed="81"/>
            <rFont val="Tahoma"/>
            <family val="2"/>
          </rPr>
          <t>Jae Jun:</t>
        </r>
        <r>
          <rPr>
            <sz val="8"/>
            <color indexed="81"/>
            <rFont val="Tahoma"/>
            <family val="2"/>
          </rPr>
          <t xml:space="preserve">
percentage of financing that is equity </t>
        </r>
      </text>
    </comment>
    <comment ref="A102" authorId="3">
      <text>
        <r>
          <rPr>
            <b/>
            <sz val="8"/>
            <color indexed="81"/>
            <rFont val="Tahoma"/>
            <family val="2"/>
          </rPr>
          <t>Jae Jun:</t>
        </r>
        <r>
          <rPr>
            <sz val="8"/>
            <color indexed="81"/>
            <rFont val="Tahoma"/>
            <family val="2"/>
          </rPr>
          <t xml:space="preserve">
percentage of financing that is debt </t>
        </r>
      </text>
    </comment>
  </commentList>
</comments>
</file>

<file path=xl/comments6.xml><?xml version="1.0" encoding="utf-8"?>
<comments xmlns="http://schemas.openxmlformats.org/spreadsheetml/2006/main">
  <authors>
    <author>Jae Jun</author>
  </authors>
  <commentList>
    <comment ref="E2" authorId="0">
      <text>
        <r>
          <rPr>
            <sz val="8"/>
            <color indexed="81"/>
            <rFont val="Tahoma"/>
            <family val="2"/>
          </rPr>
          <t>Margin of Safety</t>
        </r>
      </text>
    </comment>
    <comment ref="C3" authorId="0">
      <text>
        <r>
          <rPr>
            <sz val="10"/>
            <color indexed="81"/>
            <rFont val="Tahoma"/>
            <family val="2"/>
          </rPr>
          <t>If the box turns red, the shares outstanding between Yahoo and Reuters is different. Check shares outstanding number.</t>
        </r>
        <r>
          <rPr>
            <sz val="8"/>
            <color indexed="81"/>
            <rFont val="Tahoma"/>
            <family val="2"/>
          </rPr>
          <t xml:space="preserve">
</t>
        </r>
      </text>
    </comment>
    <comment ref="D3" authorId="0">
      <text>
        <r>
          <rPr>
            <sz val="10"/>
            <color indexed="81"/>
            <rFont val="Tahoma"/>
            <family val="2"/>
          </rPr>
          <t>Share data in millions.
Uses same shares outstanding from DCF valuation tab</t>
        </r>
        <r>
          <rPr>
            <b/>
            <sz val="8"/>
            <color indexed="81"/>
            <rFont val="Tahoma"/>
            <family val="2"/>
          </rPr>
          <t xml:space="preserve">
</t>
        </r>
      </text>
    </comment>
    <comment ref="F3" authorId="0">
      <text>
        <r>
          <rPr>
            <b/>
            <sz val="10"/>
            <color indexed="81"/>
            <rFont val="Arial"/>
            <family val="2"/>
          </rPr>
          <t>Jae Jun:</t>
        </r>
        <r>
          <rPr>
            <sz val="10"/>
            <color indexed="81"/>
            <rFont val="Arial"/>
            <family val="2"/>
          </rPr>
          <t xml:space="preserve">
1. 5yr rolling median EPS growth
2. Reuters 5yr EPS growth
3. 10yr rolling median EPS growth</t>
        </r>
      </text>
    </comment>
    <comment ref="G3" authorId="0">
      <text>
        <r>
          <rPr>
            <sz val="10"/>
            <color indexed="81"/>
            <rFont val="Tahoma"/>
            <family val="2"/>
          </rPr>
          <t>Projection method to use in the future EPS estimate.
1. Forecast is the excel function
2. Linear regression is the straight line method</t>
        </r>
      </text>
    </comment>
    <comment ref="H3" authorId="0">
      <text>
        <r>
          <rPr>
            <sz val="10"/>
            <color indexed="81"/>
            <rFont val="Tahoma"/>
            <family val="2"/>
          </rPr>
          <t>Choose the EPS forecast method</t>
        </r>
        <r>
          <rPr>
            <sz val="8"/>
            <color indexed="81"/>
            <rFont val="Tahoma"/>
            <family val="2"/>
          </rPr>
          <t xml:space="preserve">
</t>
        </r>
      </text>
    </comment>
    <comment ref="I3" authorId="0">
      <text>
        <r>
          <rPr>
            <sz val="10"/>
            <color indexed="81"/>
            <rFont val="Tahoma"/>
            <family val="2"/>
          </rPr>
          <t>Bond rate sources:
1. Bloomberg
2. Yahoo Yield
3: Yahoo Last week
4. Yahoo Last month</t>
        </r>
      </text>
    </comment>
    <comment ref="B26" authorId="0">
      <text>
        <r>
          <rPr>
            <sz val="10"/>
            <color indexed="81"/>
            <rFont val="Tahoma"/>
            <family val="2"/>
          </rPr>
          <t>Ben Graham formula</t>
        </r>
      </text>
    </comment>
  </commentList>
</comments>
</file>

<file path=xl/comments7.xml><?xml version="1.0" encoding="utf-8"?>
<comments xmlns="http://schemas.openxmlformats.org/spreadsheetml/2006/main">
  <authors>
    <author>Jae Jun</author>
  </authors>
  <commentList>
    <comment ref="A22" authorId="0">
      <text>
        <r>
          <rPr>
            <sz val="8"/>
            <color indexed="81"/>
            <rFont val="Tahoma"/>
            <family val="2"/>
          </rPr>
          <t>Closer to 1, the more suited it is to the trend.</t>
        </r>
      </text>
    </comment>
  </commentList>
</comments>
</file>

<file path=xl/comments8.xml><?xml version="1.0" encoding="utf-8"?>
<comments xmlns="http://schemas.openxmlformats.org/spreadsheetml/2006/main">
  <authors>
    <author>Jae Jun</author>
  </authors>
  <commentList>
    <comment ref="D3" authorId="0">
      <text>
        <r>
          <rPr>
            <sz val="10"/>
            <color indexed="81"/>
            <rFont val="Tahoma"/>
            <family val="2"/>
          </rPr>
          <t xml:space="preserve">If the box turns red, the shares outstanding between Yahoo and Reuters is different.
Check shares outstanding number and enter the correct value into the </t>
        </r>
        <r>
          <rPr>
            <b/>
            <sz val="10"/>
            <color indexed="81"/>
            <rFont val="Tahoma"/>
            <family val="2"/>
          </rPr>
          <t>"DCF Valuation"</t>
        </r>
        <r>
          <rPr>
            <sz val="10"/>
            <color indexed="81"/>
            <rFont val="Tahoma"/>
            <family val="2"/>
          </rPr>
          <t xml:space="preserve"> tab. </t>
        </r>
        <r>
          <rPr>
            <sz val="8"/>
            <color indexed="81"/>
            <rFont val="Tahoma"/>
            <family val="2"/>
          </rPr>
          <t xml:space="preserve">
</t>
        </r>
      </text>
    </comment>
    <comment ref="F3" authorId="0">
      <text>
        <r>
          <rPr>
            <b/>
            <sz val="10"/>
            <color indexed="81"/>
            <rFont val="Arial"/>
            <family val="2"/>
          </rPr>
          <t>Select either MSN or ADVFN.</t>
        </r>
        <r>
          <rPr>
            <sz val="10"/>
            <color indexed="81"/>
            <rFont val="Arial"/>
            <family val="2"/>
          </rPr>
          <t xml:space="preserve">
This is a backup switch in case numbers from one source does not work.</t>
        </r>
      </text>
    </comment>
    <comment ref="I3" authorId="0">
      <text>
        <r>
          <rPr>
            <sz val="10"/>
            <color indexed="81"/>
            <rFont val="Arial"/>
            <family val="2"/>
          </rPr>
          <t>Only choose 3 or 4 years because R&amp;D from 5 years back and more may no longer have any effect on current sales. Default value of 3 years.
Pg 118</t>
        </r>
        <r>
          <rPr>
            <sz val="8"/>
            <color indexed="81"/>
            <rFont val="Tahoma"/>
            <family val="2"/>
          </rPr>
          <t xml:space="preserve">
</t>
        </r>
      </text>
    </comment>
    <comment ref="J3" authorId="0">
      <text>
        <r>
          <rPr>
            <sz val="10"/>
            <color indexed="81"/>
            <rFont val="Arial"/>
            <family val="2"/>
          </rPr>
          <t>Adds back the % of marketing to add back to normalized income as a small % of SG&amp;A will add to the reproduction value.</t>
        </r>
      </text>
    </comment>
    <comment ref="G4" authorId="0">
      <text>
        <r>
          <rPr>
            <sz val="10"/>
            <color indexed="81"/>
            <rFont val="Arial"/>
            <family val="2"/>
          </rPr>
          <t xml:space="preserve">Enter normalized income or a value from the 3 below in the </t>
        </r>
        <r>
          <rPr>
            <b/>
            <sz val="10"/>
            <color indexed="81"/>
            <rFont val="Arial"/>
            <family val="2"/>
          </rPr>
          <t>"Value for Normalized Income"</t>
        </r>
      </text>
    </comment>
    <comment ref="G12" authorId="0">
      <text>
        <r>
          <rPr>
            <b/>
            <sz val="8"/>
            <color indexed="81"/>
            <rFont val="Tahoma"/>
            <family val="2"/>
          </rPr>
          <t>Jae Jun:</t>
        </r>
        <r>
          <rPr>
            <sz val="8"/>
            <color indexed="81"/>
            <rFont val="Tahoma"/>
            <family val="2"/>
          </rPr>
          <t xml:space="preserve">
Look at the 3 options below for you to choose if you want to override the adjusted income. Enter the value into the yellow box on the left</t>
        </r>
      </text>
    </comment>
    <comment ref="B19" authorId="0">
      <text>
        <r>
          <rPr>
            <b/>
            <sz val="8"/>
            <color indexed="81"/>
            <rFont val="Tahoma"/>
            <family val="2"/>
          </rPr>
          <t>Jae Jun:</t>
        </r>
        <r>
          <rPr>
            <sz val="8"/>
            <color indexed="81"/>
            <rFont val="Tahoma"/>
            <family val="2"/>
          </rPr>
          <t xml:space="preserve">
Investing in marketing adds to the company value and future sales.
Take the average of marketing, general, administration (MGA) as a % of sales for the most recent 5 years. Apply the % to current sales figure.
Pg 120</t>
        </r>
      </text>
    </comment>
    <comment ref="H22" authorId="0">
      <text>
        <r>
          <rPr>
            <b/>
            <sz val="8"/>
            <color indexed="81"/>
            <rFont val="Tahoma"/>
            <family val="2"/>
          </rPr>
          <t>Jae Jun:</t>
        </r>
        <r>
          <rPr>
            <sz val="8"/>
            <color indexed="81"/>
            <rFont val="Tahoma"/>
            <family val="2"/>
          </rPr>
          <t xml:space="preserve">
general standard for amount needed to operate the company
pg127</t>
        </r>
      </text>
    </comment>
    <comment ref="B24" authorId="0">
      <text>
        <r>
          <rPr>
            <b/>
            <sz val="8"/>
            <color indexed="81"/>
            <rFont val="Tahoma"/>
            <family val="2"/>
          </rPr>
          <t>Jae Jun:</t>
        </r>
        <r>
          <rPr>
            <sz val="8"/>
            <color indexed="81"/>
            <rFont val="Tahoma"/>
            <family val="2"/>
          </rPr>
          <t xml:space="preserve">
Deduct cash in excess of what the company needs to run its operations.
The excess cash in this case is defined as cash and cash equivalents - 2% of sales.
Greenwald mentions that 1% of sales is generally what a company needs to operate the business but I'll put in 2% for good measure.
pg 101</t>
        </r>
      </text>
    </comment>
    <comment ref="H24" authorId="0">
      <text>
        <r>
          <rPr>
            <b/>
            <sz val="8"/>
            <color indexed="81"/>
            <rFont val="Tahoma"/>
            <family val="2"/>
          </rPr>
          <t>Jae Jun:</t>
        </r>
        <r>
          <rPr>
            <sz val="8"/>
            <color indexed="81"/>
            <rFont val="Tahoma"/>
            <family val="2"/>
          </rPr>
          <t xml:space="preserve">
Operating earnings ignore the interest on cash balances. Add the surplus cash to the EPV.
cash-debt adjustment subtracts the book value of interesting bearing debt and adds back cash in excess of 1% of sales
pg127</t>
        </r>
      </text>
    </comment>
    <comment ref="A28" authorId="0">
      <text>
        <r>
          <rPr>
            <b/>
            <sz val="8"/>
            <color indexed="81"/>
            <rFont val="Tahoma"/>
            <family val="2"/>
          </rPr>
          <t>Jae Jun:</t>
        </r>
        <r>
          <rPr>
            <sz val="8"/>
            <color indexed="81"/>
            <rFont val="Tahoma"/>
            <family val="2"/>
          </rPr>
          <t xml:space="preserve">
Stated balance sheet assets - total liabilities</t>
        </r>
      </text>
    </comment>
    <comment ref="G28" authorId="0">
      <text>
        <r>
          <rPr>
            <sz val="8"/>
            <color indexed="81"/>
            <rFont val="Tahoma"/>
            <family val="2"/>
          </rPr>
          <t>Look at the difference in EPV depending on the discount rate</t>
        </r>
      </text>
    </comment>
    <comment ref="A31" authorId="0">
      <text>
        <r>
          <rPr>
            <b/>
            <sz val="8"/>
            <color indexed="81"/>
            <rFont val="Tahoma"/>
            <family val="2"/>
          </rPr>
          <t>Jae Jun:</t>
        </r>
        <r>
          <rPr>
            <sz val="8"/>
            <color indexed="81"/>
            <rFont val="Tahoma"/>
            <family val="2"/>
          </rPr>
          <t xml:space="preserve">
Cost of a competitor to reproduce the assets of the company. Includes marketing/brand value as well as some R&amp;D value.
pg 125</t>
        </r>
      </text>
    </comment>
    <comment ref="A32" authorId="0">
      <text>
        <r>
          <rPr>
            <b/>
            <sz val="8"/>
            <color indexed="81"/>
            <rFont val="Tahoma"/>
            <family val="2"/>
          </rPr>
          <t>Jae Jun:</t>
        </r>
        <r>
          <rPr>
            <sz val="8"/>
            <color indexed="81"/>
            <rFont val="Tahoma"/>
            <family val="2"/>
          </rPr>
          <t xml:space="preserve">
Same as above with total liabilities subtracted</t>
        </r>
      </text>
    </comment>
    <comment ref="E36" authorId="0">
      <text>
        <r>
          <rPr>
            <b/>
            <sz val="8"/>
            <color indexed="81"/>
            <rFont val="Tahoma"/>
            <family val="2"/>
          </rPr>
          <t>Jae Jun:</t>
        </r>
        <r>
          <rPr>
            <sz val="8"/>
            <color indexed="81"/>
            <rFont val="Tahoma"/>
            <family val="2"/>
          </rPr>
          <t xml:space="preserve">
check to make sure it is the latest version otherwise get the numbers manually from the sec website</t>
        </r>
      </text>
    </comment>
    <comment ref="C37" authorId="0">
      <text>
        <r>
          <rPr>
            <b/>
            <sz val="8"/>
            <color indexed="81"/>
            <rFont val="Tahoma"/>
            <family val="2"/>
          </rPr>
          <t>Jae Jun:</t>
        </r>
        <r>
          <rPr>
            <sz val="8"/>
            <color indexed="81"/>
            <rFont val="Tahoma"/>
            <family val="2"/>
          </rPr>
          <t xml:space="preserve">
Enter the amount you want to either add or subtract from the balance sheet number.
Asset reproduction requires you to look at the balance sheet to include the off balance sheet value of the assets that a competitor will need to spend money on in order to reproduce the same assets and enterprise value.</t>
        </r>
      </text>
    </comment>
    <comment ref="D37" authorId="0">
      <text>
        <r>
          <rPr>
            <b/>
            <sz val="8"/>
            <color indexed="81"/>
            <rFont val="Tahoma"/>
            <family val="2"/>
          </rPr>
          <t>Jae Jun:</t>
        </r>
        <r>
          <rPr>
            <sz val="8"/>
            <color indexed="81"/>
            <rFont val="Tahoma"/>
            <family val="2"/>
          </rPr>
          <t xml:space="preserve">
Input isn't required but useful if you want to ignore particular assets. Just do 0 and it will multiply by 0.
Also useful for liquidation style calculations.</t>
        </r>
      </text>
    </comment>
    <comment ref="E37" authorId="0">
      <text>
        <r>
          <rPr>
            <sz val="8"/>
            <color indexed="81"/>
            <rFont val="Tahoma"/>
            <family val="2"/>
          </rPr>
          <t>For EPV, purpose is to arrive at a figure that represents distributable cash flow. NOT liquidation.
Adjust the multiplier if you are trying to perform liquidation valuations.</t>
        </r>
      </text>
    </comment>
    <comment ref="I37" authorId="0">
      <text>
        <r>
          <rPr>
            <sz val="10"/>
            <color indexed="81"/>
            <rFont val="Arial"/>
            <family val="2"/>
          </rPr>
          <t>Enter the full value you want to correct to.
Unlike the asset side, just write down the single complete value.</t>
        </r>
      </text>
    </comment>
    <comment ref="A40" authorId="0">
      <text>
        <r>
          <rPr>
            <b/>
            <sz val="8"/>
            <color indexed="81"/>
            <rFont val="Tahoma"/>
            <family val="2"/>
          </rPr>
          <t>Jae Jun:</t>
        </r>
        <r>
          <rPr>
            <sz val="8"/>
            <color indexed="81"/>
            <rFont val="Tahoma"/>
            <family val="2"/>
          </rPr>
          <t xml:space="preserve">
Accounts receivables minus provision for doubtful accounts.
The realistic amount turning to cash</t>
        </r>
      </text>
    </comment>
    <comment ref="K45" authorId="0">
      <text>
        <r>
          <rPr>
            <sz val="10"/>
            <color indexed="81"/>
            <rFont val="Arial"/>
            <family val="2"/>
          </rPr>
          <t>Use the fair market value of debt</t>
        </r>
      </text>
    </comment>
    <comment ref="K47" authorId="0">
      <text>
        <r>
          <rPr>
            <sz val="10"/>
            <color indexed="81"/>
            <rFont val="Arial"/>
            <family val="2"/>
          </rPr>
          <t>Use net present value of deferred taxes if possible</t>
        </r>
      </text>
    </comment>
    <comment ref="E48" authorId="0">
      <text>
        <r>
          <rPr>
            <b/>
            <sz val="8"/>
            <color indexed="81"/>
            <rFont val="Tahoma"/>
            <family val="2"/>
          </rPr>
          <t>Jae Jun:</t>
        </r>
        <r>
          <rPr>
            <sz val="8"/>
            <color indexed="81"/>
            <rFont val="Tahoma"/>
            <family val="2"/>
          </rPr>
          <t xml:space="preserve">
Add LIFO reserve if any. Adjust for turnover.
P56,57 of book.</t>
        </r>
      </text>
    </comment>
    <comment ref="G53" authorId="0">
      <text>
        <r>
          <rPr>
            <b/>
            <sz val="8"/>
            <color indexed="81"/>
            <rFont val="Tahoma"/>
            <family val="2"/>
          </rPr>
          <t>Jae Jun:</t>
        </r>
        <r>
          <rPr>
            <sz val="8"/>
            <color indexed="81"/>
            <rFont val="Tahoma"/>
            <family val="2"/>
          </rPr>
          <t xml:space="preserve">
The total long-term debt and all types of equity of a company that constitutes its capital structure.</t>
        </r>
      </text>
    </comment>
  </commentList>
</comments>
</file>

<file path=xl/comments9.xml><?xml version="1.0" encoding="utf-8"?>
<comments xmlns="http://schemas.openxmlformats.org/spreadsheetml/2006/main">
  <authors>
    <author>Jae Jun</author>
  </authors>
  <commentList>
    <comment ref="D66" authorId="0">
      <text>
        <r>
          <rPr>
            <b/>
            <sz val="8"/>
            <color indexed="81"/>
            <rFont val="Tahoma"/>
            <family val="2"/>
          </rPr>
          <t>Jae Jun:</t>
        </r>
        <r>
          <rPr>
            <sz val="8"/>
            <color indexed="81"/>
            <rFont val="Tahoma"/>
            <family val="2"/>
          </rPr>
          <t xml:space="preserve">
MSN already includes marketable securities in cash and equiv. So set to 0 and sum everything in the EPV tab.</t>
        </r>
      </text>
    </comment>
    <comment ref="B67" authorId="0">
      <text>
        <r>
          <rPr>
            <b/>
            <sz val="8"/>
            <color indexed="81"/>
            <rFont val="Tahoma"/>
            <family val="2"/>
          </rPr>
          <t>Jae Jun:</t>
        </r>
        <r>
          <rPr>
            <sz val="8"/>
            <color indexed="81"/>
            <rFont val="Tahoma"/>
            <family val="2"/>
          </rPr>
          <t xml:space="preserve">
Accounts receivables minus provision for doubtful accounts.
The realistic amount turning to cash</t>
        </r>
      </text>
    </comment>
    <comment ref="B105" authorId="0">
      <text>
        <r>
          <rPr>
            <b/>
            <sz val="8"/>
            <color indexed="81"/>
            <rFont val="Tahoma"/>
            <family val="2"/>
          </rPr>
          <t>Jae Jun:</t>
        </r>
        <r>
          <rPr>
            <sz val="8"/>
            <color indexed="81"/>
            <rFont val="Tahoma"/>
            <family val="2"/>
          </rPr>
          <t xml:space="preserve">
The total long-term debt and all types of equity of a company that constitutes its capital structure.</t>
        </r>
      </text>
    </comment>
    <comment ref="B128" authorId="0">
      <text>
        <r>
          <rPr>
            <b/>
            <sz val="8"/>
            <color indexed="81"/>
            <rFont val="Tahoma"/>
            <family val="2"/>
          </rPr>
          <t>Jae Jun:</t>
        </r>
        <r>
          <rPr>
            <sz val="8"/>
            <color indexed="81"/>
            <rFont val="Tahoma"/>
            <family val="2"/>
          </rPr>
          <t xml:space="preserve">
Enter a % of sales to use in order to remove the effects of business cycles. There will be up and down years but overall you should enter a % of sales that is sustainable and considered average.
This box will override the stated EBIT margin and use the values to continue with the income adjustment.</t>
        </r>
      </text>
    </comment>
    <comment ref="M128" authorId="0">
      <text>
        <r>
          <rPr>
            <b/>
            <sz val="8"/>
            <color indexed="81"/>
            <rFont val="Tahoma"/>
            <family val="2"/>
          </rPr>
          <t>Jae Jun:</t>
        </r>
        <r>
          <rPr>
            <sz val="8"/>
            <color indexed="81"/>
            <rFont val="Tahoma"/>
            <family val="2"/>
          </rPr>
          <t xml:space="preserve">
Enter a % of sales to use in order to remove the effects of business cycles. There will be up and down years but overall you should enter a % of sales that is sustainable and considered average.
This box will override the stated EBIT margin and use the values to continue with the income adjustment.</t>
        </r>
      </text>
    </comment>
    <comment ref="B132" authorId="0">
      <text>
        <r>
          <rPr>
            <b/>
            <sz val="8"/>
            <color indexed="81"/>
            <rFont val="Tahoma"/>
            <family val="2"/>
          </rPr>
          <t>Jae Jun:</t>
        </r>
        <r>
          <rPr>
            <sz val="8"/>
            <color indexed="81"/>
            <rFont val="Tahoma"/>
            <family val="2"/>
          </rPr>
          <t xml:space="preserve">
Enter a percentage of SG&amp;A to add back.
Money spent on marketing, goods and administration leads to company value. You can't sell anything with marketing.
Default value of 25%.</t>
        </r>
      </text>
    </comment>
    <comment ref="B133" authorId="0">
      <text>
        <r>
          <rPr>
            <b/>
            <sz val="8"/>
            <color indexed="81"/>
            <rFont val="Tahoma"/>
            <family val="2"/>
          </rPr>
          <t>Jae Jun:</t>
        </r>
        <r>
          <rPr>
            <sz val="8"/>
            <color indexed="81"/>
            <rFont val="Tahoma"/>
            <family val="2"/>
          </rPr>
          <t xml:space="preserve">
Add back default value of 25% of R&amp;D as it adds value to the enterprise.</t>
        </r>
      </text>
    </comment>
    <comment ref="M133" authorId="0">
      <text>
        <r>
          <rPr>
            <b/>
            <sz val="8"/>
            <color indexed="81"/>
            <rFont val="Tahoma"/>
            <family val="2"/>
          </rPr>
          <t>Jae Jun:</t>
        </r>
        <r>
          <rPr>
            <sz val="8"/>
            <color indexed="81"/>
            <rFont val="Tahoma"/>
            <family val="2"/>
          </rPr>
          <t xml:space="preserve">
Default value of 25% if empty.
User defined % of R&amp;D to add back.</t>
        </r>
      </text>
    </comment>
    <comment ref="M140" authorId="0">
      <text>
        <r>
          <rPr>
            <b/>
            <sz val="8"/>
            <color indexed="81"/>
            <rFont val="Tahoma"/>
            <family val="2"/>
          </rPr>
          <t>Jae Jun:</t>
        </r>
        <r>
          <rPr>
            <sz val="8"/>
            <color indexed="81"/>
            <rFont val="Tahoma"/>
            <family val="2"/>
          </rPr>
          <t xml:space="preserve">
User override if you want to set the tax rate.
Useful when the current year for the company is terrible.
Normlize things out.</t>
        </r>
      </text>
    </comment>
    <comment ref="B144" authorId="0">
      <text>
        <r>
          <rPr>
            <b/>
            <sz val="8"/>
            <color indexed="81"/>
            <rFont val="Tahoma"/>
            <family val="2"/>
          </rPr>
          <t>Jae Jun:</t>
        </r>
        <r>
          <rPr>
            <sz val="8"/>
            <color indexed="81"/>
            <rFont val="Tahoma"/>
            <family val="2"/>
          </rPr>
          <t xml:space="preserve">
default values adds back 20% of D&amp;A
pg 125</t>
        </r>
      </text>
    </comment>
    <comment ref="M144" authorId="0">
      <text>
        <r>
          <rPr>
            <b/>
            <sz val="8"/>
            <color indexed="81"/>
            <rFont val="Tahoma"/>
            <family val="2"/>
          </rPr>
          <t>Jae Jun:</t>
        </r>
        <r>
          <rPr>
            <sz val="8"/>
            <color indexed="81"/>
            <rFont val="Tahoma"/>
            <family val="2"/>
          </rPr>
          <t xml:space="preserve">
Select the % of D&amp;A you want to add back in.
Default is 20%</t>
        </r>
      </text>
    </comment>
    <comment ref="B146" authorId="0">
      <text>
        <r>
          <rPr>
            <b/>
            <sz val="8"/>
            <color indexed="81"/>
            <rFont val="Tahoma"/>
            <family val="2"/>
          </rPr>
          <t xml:space="preserve">Jae Jun:
</t>
        </r>
        <r>
          <rPr>
            <sz val="8"/>
            <color indexed="81"/>
            <rFont val="Tahoma"/>
            <family val="2"/>
          </rPr>
          <t>Start with operating income, or EBIT and work down, calculating the taxes that would be paid on operating income and adjusting for depreciation, amortization and capex
pg 94</t>
        </r>
      </text>
    </comment>
    <comment ref="B155" authorId="0">
      <text>
        <r>
          <rPr>
            <b/>
            <sz val="8"/>
            <color indexed="81"/>
            <rFont val="Tahoma"/>
            <family val="2"/>
          </rPr>
          <t>Jae Jun:</t>
        </r>
        <r>
          <rPr>
            <sz val="8"/>
            <color indexed="81"/>
            <rFont val="Tahoma"/>
            <family val="2"/>
          </rPr>
          <t xml:space="preserve">
Ratio of PPE to sales for each of the five prior years and find the average. Use this to indicate the dollars of PPE it takes to support each dollar of sales.
Multiply this ratio by growth (decrease) in sales dollars the company achieved in the current year.
Result is the growth capex. Subtract from capex to find maintenance capex.
pg96</t>
        </r>
      </text>
    </comment>
    <comment ref="B156" authorId="0">
      <text>
        <r>
          <rPr>
            <b/>
            <sz val="8"/>
            <color indexed="81"/>
            <rFont val="Tahoma"/>
            <family val="2"/>
          </rPr>
          <t>Jae Jun:</t>
        </r>
        <r>
          <rPr>
            <sz val="8"/>
            <color indexed="81"/>
            <rFont val="Tahoma"/>
            <family val="2"/>
          </rPr>
          <t xml:space="preserve">
Compare maintenance capex with D&amp;A
D&amp;A doesn't take into account business cycles.</t>
        </r>
      </text>
    </comment>
    <comment ref="B158" authorId="0">
      <text>
        <r>
          <rPr>
            <b/>
            <sz val="8"/>
            <color indexed="81"/>
            <rFont val="Tahoma"/>
            <family val="2"/>
          </rPr>
          <t>Jae Jun:</t>
        </r>
        <r>
          <rPr>
            <sz val="8"/>
            <color indexed="81"/>
            <rFont val="Tahoma"/>
            <family val="2"/>
          </rPr>
          <t xml:space="preserve">
Looks at the different periods with the adjusted income to smooth it out to determine the single normalize adjusted income used for EPV.
Also looks at the growth (decline) of adjusted income.</t>
        </r>
      </text>
    </comment>
  </commentList>
</comments>
</file>

<file path=xl/comments10.xml><?xml version="1.0" encoding="utf-8"?>
<comments xmlns="http://schemas.openxmlformats.org/spreadsheetml/2006/main">
  <authors>
    <author>Jae Jun</author>
  </authors>
  <commentList>
    <comment ref="C23" authorId="0">
      <text>
        <r>
          <rPr>
            <b/>
            <sz val="8"/>
            <color indexed="81"/>
            <rFont val="Tahoma"/>
            <family val="2"/>
          </rPr>
          <t>Jae Jun:</t>
        </r>
        <r>
          <rPr>
            <sz val="8"/>
            <color indexed="81"/>
            <rFont val="Tahoma"/>
            <family val="2"/>
          </rPr>
          <t xml:space="preserve">
share data in millions</t>
        </r>
      </text>
    </comment>
  </commentList>
</comments>
</file>

<file path=xl/comments11.xml><?xml version="1.0" encoding="utf-8"?>
<comments xmlns="http://schemas.openxmlformats.org/spreadsheetml/2006/main">
  <authors>
    <author>Jae Jun</author>
  </authors>
  <commentList>
    <comment ref="L48" authorId="0">
      <text>
        <r>
          <rPr>
            <sz val="10"/>
            <color indexed="81"/>
            <rFont val="Tahoma"/>
            <family val="2"/>
          </rPr>
          <t>Z= 1.2T1 + 1.4T2 + 3.3T3 + .6T4 + .999T5.</t>
        </r>
        <r>
          <rPr>
            <sz val="8"/>
            <color indexed="81"/>
            <rFont val="Tahoma"/>
            <family val="2"/>
          </rPr>
          <t xml:space="preserve">
</t>
        </r>
      </text>
    </comment>
    <comment ref="M49" authorId="0">
      <text>
        <r>
          <rPr>
            <b/>
            <sz val="10"/>
            <color indexed="81"/>
            <rFont val="Tahoma"/>
            <family val="2"/>
          </rPr>
          <t>Jae Jun:</t>
        </r>
        <r>
          <rPr>
            <sz val="10"/>
            <color indexed="81"/>
            <rFont val="Tahoma"/>
            <family val="2"/>
          </rPr>
          <t xml:space="preserve">
The revised Altman Z score is Z= 6.56T1+3.26T2+6.72T3+1.05T4</t>
        </r>
      </text>
    </comment>
  </commentList>
</comments>
</file>

<file path=xl/comments12.xml><?xml version="1.0" encoding="utf-8"?>
<comments xmlns="http://schemas.openxmlformats.org/spreadsheetml/2006/main">
  <authors>
    <author>Jae Jun</author>
  </authors>
  <commentList>
    <comment ref="B7" authorId="0">
      <text>
        <r>
          <rPr>
            <sz val="11"/>
            <color indexed="81"/>
            <rFont val="Arial"/>
            <family val="2"/>
          </rPr>
          <t>Select to sort</t>
        </r>
        <r>
          <rPr>
            <sz val="8"/>
            <color indexed="81"/>
            <rFont val="Tahoma"/>
            <family val="2"/>
          </rPr>
          <t xml:space="preserve">
</t>
        </r>
      </text>
    </comment>
  </commentList>
</comments>
</file>

<file path=xl/comments13.xml><?xml version="1.0" encoding="utf-8"?>
<comments xmlns="http://schemas.openxmlformats.org/spreadsheetml/2006/main">
  <authors>
    <author>Jae Jun</author>
  </authors>
  <commentList>
    <comment ref="C47" authorId="0">
      <text>
        <r>
          <rPr>
            <b/>
            <sz val="8"/>
            <color indexed="81"/>
            <rFont val="Tahoma"/>
            <family val="2"/>
          </rPr>
          <t>Jae Jun:</t>
        </r>
        <r>
          <rPr>
            <sz val="8"/>
            <color indexed="81"/>
            <rFont val="Tahoma"/>
            <family val="2"/>
          </rPr>
          <t xml:space="preserve">
</t>
        </r>
        <r>
          <rPr>
            <sz val="10"/>
            <color indexed="81"/>
            <rFont val="Tahoma"/>
            <family val="2"/>
          </rPr>
          <t>default ticker doesn't need IF conditions</t>
        </r>
        <r>
          <rPr>
            <sz val="8"/>
            <color indexed="81"/>
            <rFont val="Tahoma"/>
            <family val="2"/>
          </rPr>
          <t xml:space="preserve">
</t>
        </r>
      </text>
    </comment>
    <comment ref="D47" authorId="0">
      <text>
        <r>
          <rPr>
            <b/>
            <sz val="8"/>
            <color indexed="81"/>
            <rFont val="Tahoma"/>
            <family val="2"/>
          </rPr>
          <t>Jae Jun:</t>
        </r>
        <r>
          <rPr>
            <sz val="8"/>
            <color indexed="81"/>
            <rFont val="Tahoma"/>
            <family val="2"/>
          </rPr>
          <t xml:space="preserve">
</t>
        </r>
        <r>
          <rPr>
            <sz val="10"/>
            <color indexed="81"/>
            <rFont val="Tahoma"/>
            <family val="2"/>
          </rPr>
          <t>if a competitor ticker is not entered, the cell value becomes 0. Therefore check whether the referenced ticker = 0</t>
        </r>
      </text>
    </comment>
  </commentList>
</comments>
</file>

<file path=xl/comments14.xml><?xml version="1.0" encoding="utf-8"?>
<comments xmlns="http://schemas.openxmlformats.org/spreadsheetml/2006/main">
  <authors>
    <author>J</author>
  </authors>
  <commentList>
    <comment ref="B6" authorId="0">
      <text>
        <r>
          <rPr>
            <b/>
            <sz val="10"/>
            <color indexed="81"/>
            <rFont val="Arial"/>
            <family val="2"/>
          </rPr>
          <t>Click each graph title for a drop down list of other graphs</t>
        </r>
      </text>
    </comment>
  </commentList>
</comments>
</file>

<file path=xl/comments15.xml><?xml version="1.0" encoding="utf-8"?>
<comments xmlns="http://schemas.openxmlformats.org/spreadsheetml/2006/main">
  <authors>
    <author>Jae Jun</author>
  </authors>
  <commentList>
    <comment ref="B38" authorId="0">
      <text>
        <r>
          <rPr>
            <b/>
            <sz val="8"/>
            <color indexed="81"/>
            <rFont val="Tahoma"/>
            <family val="2"/>
          </rPr>
          <t>Jae Jun:</t>
        </r>
        <r>
          <rPr>
            <sz val="8"/>
            <color indexed="81"/>
            <rFont val="Tahoma"/>
            <family val="2"/>
          </rPr>
          <t xml:space="preserve">
This ratio provides an indication of a company's ability to cover total debt with its yearly cash flow from operations. The higher the percentage ratio, the better the company's ability to carry its total debt.
If capitalization ratio is low, the FCF to debt should be high.</t>
        </r>
      </text>
    </comment>
  </commentList>
</comments>
</file>

<file path=xl/comments16.xml><?xml version="1.0" encoding="utf-8"?>
<comments xmlns="http://schemas.openxmlformats.org/spreadsheetml/2006/main">
  <authors>
    <author>Jae Jun</author>
    <author>DV6000T</author>
    <author>JJun</author>
  </authors>
  <commentList>
    <comment ref="G6" authorId="0">
      <text>
        <r>
          <rPr>
            <b/>
            <sz val="9"/>
            <color indexed="81"/>
            <rFont val="Tahoma"/>
            <family val="2"/>
          </rPr>
          <t>Jae Jun:</t>
        </r>
        <r>
          <rPr>
            <sz val="9"/>
            <color indexed="81"/>
            <rFont val="Tahoma"/>
            <family val="2"/>
          </rPr>
          <t xml:space="preserve">
Total of 5 points</t>
        </r>
      </text>
    </comment>
    <comment ref="G7" authorId="0">
      <text>
        <r>
          <rPr>
            <b/>
            <sz val="8"/>
            <color indexed="81"/>
            <rFont val="Tahoma"/>
            <family val="2"/>
          </rPr>
          <t>Jae Jun:</t>
        </r>
        <r>
          <rPr>
            <sz val="8"/>
            <color indexed="81"/>
            <rFont val="Tahoma"/>
            <family val="2"/>
          </rPr>
          <t xml:space="preserve">
MOS &gt; 70% = 3 points
MOS &gt; 50% = 2 point
MOS &gt; 25% = 1 point
else 0 points</t>
        </r>
      </text>
    </comment>
    <comment ref="H7" authorId="0">
      <text>
        <r>
          <rPr>
            <b/>
            <sz val="9"/>
            <color indexed="81"/>
            <rFont val="Tahoma"/>
            <family val="2"/>
          </rPr>
          <t>Jae Jun:</t>
        </r>
        <r>
          <rPr>
            <sz val="9"/>
            <color indexed="81"/>
            <rFont val="Tahoma"/>
            <family val="2"/>
          </rPr>
          <t xml:space="preserve">
Yellow fields are all user input which overrides the default automatic points</t>
        </r>
      </text>
    </comment>
    <comment ref="G8" authorId="0">
      <text>
        <r>
          <rPr>
            <b/>
            <sz val="8"/>
            <color indexed="81"/>
            <rFont val="Tahoma"/>
            <family val="2"/>
          </rPr>
          <t>Jae Jun:</t>
        </r>
        <r>
          <rPr>
            <sz val="8"/>
            <color indexed="81"/>
            <rFont val="Tahoma"/>
            <family val="2"/>
          </rPr>
          <t xml:space="preserve">
MOS &gt; 75% = 2 points
MOS &gt; 66% = 1 point
else 0 points</t>
        </r>
      </text>
    </comment>
    <comment ref="G10" authorId="0">
      <text>
        <r>
          <rPr>
            <b/>
            <sz val="9"/>
            <color indexed="81"/>
            <rFont val="Tahoma"/>
            <family val="2"/>
          </rPr>
          <t>Jae Jun:</t>
        </r>
        <r>
          <rPr>
            <sz val="9"/>
            <color indexed="81"/>
            <rFont val="Tahoma"/>
            <family val="2"/>
          </rPr>
          <t xml:space="preserve">
Total of 10 points
</t>
        </r>
      </text>
    </comment>
    <comment ref="G11" authorId="0">
      <text>
        <r>
          <rPr>
            <b/>
            <sz val="8"/>
            <color indexed="81"/>
            <rFont val="Tahoma"/>
            <family val="2"/>
          </rPr>
          <t>Jae Jun:</t>
        </r>
        <r>
          <rPr>
            <sz val="8"/>
            <color indexed="81"/>
            <rFont val="Tahoma"/>
            <family val="2"/>
          </rPr>
          <t xml:space="preserve">
&gt; 10% = 1 point
&gt; 20% = 2 points
else 0 points</t>
        </r>
      </text>
    </comment>
    <comment ref="A12" authorId="1">
      <text>
        <r>
          <rPr>
            <sz val="9"/>
            <color indexed="81"/>
            <rFont val="Tahoma"/>
            <family val="2"/>
          </rPr>
          <t>Margins also depend on strategy. High margin gives profit but lower margin can keep customers and lure new customers. E.g. Costco, Walmart has low margins</t>
        </r>
      </text>
    </comment>
    <comment ref="G12" authorId="0">
      <text>
        <r>
          <rPr>
            <b/>
            <sz val="8"/>
            <color indexed="81"/>
            <rFont val="Tahoma"/>
            <family val="2"/>
          </rPr>
          <t>Jae Jun:</t>
        </r>
        <r>
          <rPr>
            <sz val="8"/>
            <color indexed="81"/>
            <rFont val="Tahoma"/>
            <family val="2"/>
          </rPr>
          <t xml:space="preserve">
&gt; 30% = 1 point
&gt; 50% = 2 points
else 0 points</t>
        </r>
      </text>
    </comment>
    <comment ref="G13" authorId="0">
      <text>
        <r>
          <rPr>
            <b/>
            <sz val="8"/>
            <color indexed="81"/>
            <rFont val="Tahoma"/>
            <family val="2"/>
          </rPr>
          <t>Jae Jun:</t>
        </r>
        <r>
          <rPr>
            <sz val="8"/>
            <color indexed="81"/>
            <rFont val="Tahoma"/>
            <family val="2"/>
          </rPr>
          <t xml:space="preserve">
&gt; 15% = 1 point
&gt; 30% = 2 points
else 0 points</t>
        </r>
      </text>
    </comment>
    <comment ref="G14" authorId="0">
      <text>
        <r>
          <rPr>
            <b/>
            <sz val="8"/>
            <color indexed="81"/>
            <rFont val="Tahoma"/>
            <family val="2"/>
          </rPr>
          <t>Jae Jun:</t>
        </r>
        <r>
          <rPr>
            <sz val="8"/>
            <color indexed="81"/>
            <rFont val="Tahoma"/>
            <family val="2"/>
          </rPr>
          <t xml:space="preserve">
&gt; 10% = 1 point
&gt; 15% = 2 points
else 0 points</t>
        </r>
      </text>
    </comment>
    <comment ref="G15" authorId="0">
      <text>
        <r>
          <rPr>
            <b/>
            <sz val="8"/>
            <color indexed="81"/>
            <rFont val="Tahoma"/>
            <family val="2"/>
          </rPr>
          <t>Jae Jun:</t>
        </r>
        <r>
          <rPr>
            <sz val="8"/>
            <color indexed="81"/>
            <rFont val="Tahoma"/>
            <family val="2"/>
          </rPr>
          <t xml:space="preserve">
&gt; 10% = 1 point
&gt; 20% = 2 points
else 0 points</t>
        </r>
      </text>
    </comment>
    <comment ref="G17" authorId="0">
      <text>
        <r>
          <rPr>
            <b/>
            <sz val="9"/>
            <color indexed="81"/>
            <rFont val="Tahoma"/>
            <family val="2"/>
          </rPr>
          <t>Jae Jun:</t>
        </r>
        <r>
          <rPr>
            <sz val="9"/>
            <color indexed="81"/>
            <rFont val="Tahoma"/>
            <family val="2"/>
          </rPr>
          <t xml:space="preserve">
Total of 10 points</t>
        </r>
      </text>
    </comment>
    <comment ref="G18" authorId="0">
      <text>
        <r>
          <rPr>
            <b/>
            <sz val="8"/>
            <color indexed="81"/>
            <rFont val="Tahoma"/>
            <family val="2"/>
          </rPr>
          <t>Jae Jun:</t>
        </r>
        <r>
          <rPr>
            <sz val="8"/>
            <color indexed="81"/>
            <rFont val="Tahoma"/>
            <family val="2"/>
          </rPr>
          <t xml:space="preserve">
&gt; 25% = 2 points
&gt; 15% = 1 point
&lt; 15% = 0 point</t>
        </r>
      </text>
    </comment>
    <comment ref="G19" authorId="0">
      <text>
        <r>
          <rPr>
            <b/>
            <sz val="8"/>
            <color indexed="81"/>
            <rFont val="Tahoma"/>
            <family val="2"/>
          </rPr>
          <t>Jae Jun:</t>
        </r>
        <r>
          <rPr>
            <sz val="8"/>
            <color indexed="81"/>
            <rFont val="Tahoma"/>
            <family val="2"/>
          </rPr>
          <t xml:space="preserve">
&gt; 20% = 2 points
&gt; 13% = 1 point
&lt; 13% = 0 point</t>
        </r>
      </text>
    </comment>
    <comment ref="G20" authorId="0">
      <text>
        <r>
          <rPr>
            <b/>
            <sz val="8"/>
            <color indexed="81"/>
            <rFont val="Tahoma"/>
            <family val="2"/>
          </rPr>
          <t>Jae Jun:</t>
        </r>
        <r>
          <rPr>
            <sz val="8"/>
            <color indexed="81"/>
            <rFont val="Tahoma"/>
            <family val="2"/>
          </rPr>
          <t xml:space="preserve">
&gt; 20% = 2 points
&gt; 10% = 1 point
&lt; 10% = 0 point</t>
        </r>
      </text>
    </comment>
    <comment ref="G21" authorId="0">
      <text>
        <r>
          <rPr>
            <b/>
            <sz val="8"/>
            <color indexed="81"/>
            <rFont val="Tahoma"/>
            <family val="2"/>
          </rPr>
          <t>Jae Jun:</t>
        </r>
        <r>
          <rPr>
            <sz val="8"/>
            <color indexed="81"/>
            <rFont val="Tahoma"/>
            <family val="2"/>
          </rPr>
          <t xml:space="preserve">
&gt; 15% = 2 points
&gt; 7% = 1 point
&lt; 7% = 0 point</t>
        </r>
      </text>
    </comment>
    <comment ref="G22" authorId="0">
      <text>
        <r>
          <rPr>
            <b/>
            <sz val="9"/>
            <color indexed="81"/>
            <rFont val="Tahoma"/>
            <family val="2"/>
          </rPr>
          <t>Jae Jun:</t>
        </r>
        <r>
          <rPr>
            <sz val="9"/>
            <color indexed="81"/>
            <rFont val="Tahoma"/>
            <family val="2"/>
          </rPr>
          <t xml:space="preserve">
1 point max</t>
        </r>
      </text>
    </comment>
    <comment ref="G23" authorId="0">
      <text>
        <r>
          <rPr>
            <b/>
            <sz val="9"/>
            <color indexed="81"/>
            <rFont val="Tahoma"/>
            <family val="2"/>
          </rPr>
          <t>Jae Jun:</t>
        </r>
        <r>
          <rPr>
            <sz val="9"/>
            <color indexed="81"/>
            <rFont val="Tahoma"/>
            <family val="2"/>
          </rPr>
          <t xml:space="preserve">
1 point max</t>
        </r>
      </text>
    </comment>
    <comment ref="G25" authorId="0">
      <text>
        <r>
          <rPr>
            <b/>
            <sz val="9"/>
            <color indexed="81"/>
            <rFont val="Tahoma"/>
            <family val="2"/>
          </rPr>
          <t>Jae Jun:</t>
        </r>
        <r>
          <rPr>
            <sz val="9"/>
            <color indexed="81"/>
            <rFont val="Tahoma"/>
            <family val="2"/>
          </rPr>
          <t xml:space="preserve">
Total 10 points</t>
        </r>
      </text>
    </comment>
    <comment ref="G26" authorId="0">
      <text>
        <r>
          <rPr>
            <b/>
            <sz val="8"/>
            <color indexed="81"/>
            <rFont val="Tahoma"/>
            <family val="2"/>
          </rPr>
          <t>Jae Jun:</t>
        </r>
        <r>
          <rPr>
            <sz val="8"/>
            <color indexed="81"/>
            <rFont val="Tahoma"/>
            <family val="2"/>
          </rPr>
          <t xml:space="preserve">
&gt; 3 = 2 points
&gt; 1.5 = 1 point
else 0 points</t>
        </r>
      </text>
    </comment>
    <comment ref="A27" authorId="2">
      <text>
        <r>
          <rPr>
            <b/>
            <sz val="8"/>
            <color indexed="81"/>
            <rFont val="Tahoma"/>
            <family val="2"/>
          </rPr>
          <t>Not so accurate nowadays.</t>
        </r>
      </text>
    </comment>
    <comment ref="E28" authorId="0">
      <text>
        <r>
          <rPr>
            <b/>
            <sz val="8"/>
            <color indexed="81"/>
            <rFont val="Tahoma"/>
            <family val="2"/>
          </rPr>
          <t>Jae Jun:</t>
        </r>
        <r>
          <rPr>
            <sz val="8"/>
            <color indexed="81"/>
            <rFont val="Tahoma"/>
            <family val="2"/>
          </rPr>
          <t xml:space="preserve">
&lt; 100%. Should be more equity than debt.</t>
        </r>
      </text>
    </comment>
    <comment ref="G28" authorId="0">
      <text>
        <r>
          <rPr>
            <b/>
            <sz val="8"/>
            <color indexed="81"/>
            <rFont val="Tahoma"/>
            <family val="2"/>
          </rPr>
          <t>Jae Jun:</t>
        </r>
        <r>
          <rPr>
            <sz val="8"/>
            <color indexed="81"/>
            <rFont val="Tahoma"/>
            <family val="2"/>
          </rPr>
          <t xml:space="preserve">
&lt; 100% = 1 point
&lt; 15% = 2 points
else 0 points</t>
        </r>
      </text>
    </comment>
    <comment ref="G29" authorId="0">
      <text>
        <r>
          <rPr>
            <b/>
            <sz val="8"/>
            <color indexed="81"/>
            <rFont val="Tahoma"/>
            <family val="2"/>
          </rPr>
          <t>Jae Jun:</t>
        </r>
        <r>
          <rPr>
            <sz val="8"/>
            <color indexed="81"/>
            <rFont val="Tahoma"/>
            <family val="2"/>
          </rPr>
          <t xml:space="preserve">
&gt; 10% = 1 point
&gt; 20% = 2 points
else 0 points</t>
        </r>
      </text>
    </comment>
    <comment ref="G30" authorId="0">
      <text>
        <r>
          <rPr>
            <b/>
            <sz val="8"/>
            <color indexed="81"/>
            <rFont val="Tahoma"/>
            <family val="2"/>
          </rPr>
          <t>Jae Jun:</t>
        </r>
        <r>
          <rPr>
            <sz val="8"/>
            <color indexed="81"/>
            <rFont val="Tahoma"/>
            <family val="2"/>
          </rPr>
          <t xml:space="preserve">
&lt; 15% = 2 points
&lt; 30% = 1 point
else 0 point</t>
        </r>
      </text>
    </comment>
    <comment ref="G31" authorId="0">
      <text>
        <r>
          <rPr>
            <b/>
            <sz val="8"/>
            <color indexed="81"/>
            <rFont val="Tahoma"/>
            <family val="2"/>
          </rPr>
          <t>Jae Jun:</t>
        </r>
        <r>
          <rPr>
            <sz val="8"/>
            <color indexed="81"/>
            <rFont val="Tahoma"/>
            <family val="2"/>
          </rPr>
          <t xml:space="preserve">
&lt; 15% = 1 point
&lt; 10% = 2 points
else 0 points</t>
        </r>
      </text>
    </comment>
    <comment ref="G36" authorId="0">
      <text>
        <r>
          <rPr>
            <b/>
            <sz val="9"/>
            <color indexed="81"/>
            <rFont val="Tahoma"/>
            <family val="2"/>
          </rPr>
          <t>Jae Jun:</t>
        </r>
        <r>
          <rPr>
            <sz val="9"/>
            <color indexed="81"/>
            <rFont val="Tahoma"/>
            <family val="2"/>
          </rPr>
          <t xml:space="preserve">
Total 12 points but normalize to 5</t>
        </r>
      </text>
    </comment>
    <comment ref="G37"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38"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39"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0"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1"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2" authorId="0">
      <text>
        <r>
          <rPr>
            <b/>
            <sz val="9"/>
            <color indexed="81"/>
            <rFont val="Tahoma"/>
            <family val="2"/>
          </rPr>
          <t>Jae Jun:</t>
        </r>
        <r>
          <rPr>
            <sz val="9"/>
            <color indexed="81"/>
            <rFont val="Tahoma"/>
            <family val="2"/>
          </rPr>
          <t xml:space="preserve">
2 points: market leader and very strong.
1 point: dominant but 2nd or 3rd player
0 point: small fish</t>
        </r>
      </text>
    </comment>
    <comment ref="G44" authorId="0">
      <text>
        <r>
          <rPr>
            <b/>
            <sz val="9"/>
            <color indexed="81"/>
            <rFont val="Tahoma"/>
            <family val="2"/>
          </rPr>
          <t>Jae Jun:</t>
        </r>
        <r>
          <rPr>
            <sz val="9"/>
            <color indexed="81"/>
            <rFont val="Tahoma"/>
            <family val="2"/>
          </rPr>
          <t xml:space="preserve">
total 10 points normalized to 5</t>
        </r>
      </text>
    </comment>
    <comment ref="G45" authorId="0">
      <text>
        <r>
          <rPr>
            <b/>
            <sz val="9"/>
            <color indexed="81"/>
            <rFont val="Tahoma"/>
            <family val="2"/>
          </rPr>
          <t>Jae Jun:</t>
        </r>
        <r>
          <rPr>
            <sz val="9"/>
            <color indexed="81"/>
            <rFont val="Tahoma"/>
            <family val="2"/>
          </rPr>
          <t xml:space="preserve">
1/2 point for each and round down.
E.g. 1.5 = 1
</t>
        </r>
      </text>
    </comment>
    <comment ref="G46" authorId="0">
      <text>
        <r>
          <rPr>
            <b/>
            <sz val="9"/>
            <color indexed="81"/>
            <rFont val="Tahoma"/>
            <family val="2"/>
          </rPr>
          <t>Jae Jun:</t>
        </r>
        <r>
          <rPr>
            <sz val="9"/>
            <color indexed="81"/>
            <rFont val="Tahoma"/>
            <family val="2"/>
          </rPr>
          <t xml:space="preserve">
1 point max</t>
        </r>
      </text>
    </comment>
    <comment ref="G47" authorId="0">
      <text>
        <r>
          <rPr>
            <b/>
            <sz val="9"/>
            <color indexed="81"/>
            <rFont val="Tahoma"/>
            <family val="2"/>
          </rPr>
          <t>Jae Jun:</t>
        </r>
        <r>
          <rPr>
            <sz val="9"/>
            <color indexed="81"/>
            <rFont val="Tahoma"/>
            <family val="2"/>
          </rPr>
          <t xml:space="preserve">
1 point max</t>
        </r>
      </text>
    </comment>
    <comment ref="G48" authorId="0">
      <text>
        <r>
          <rPr>
            <b/>
            <sz val="9"/>
            <color indexed="81"/>
            <rFont val="Tahoma"/>
            <family val="2"/>
          </rPr>
          <t>Jae Jun:</t>
        </r>
        <r>
          <rPr>
            <sz val="9"/>
            <color indexed="81"/>
            <rFont val="Tahoma"/>
            <family val="2"/>
          </rPr>
          <t xml:space="preserve">
1 point max</t>
        </r>
      </text>
    </comment>
    <comment ref="G49" authorId="0">
      <text>
        <r>
          <rPr>
            <b/>
            <sz val="9"/>
            <color indexed="81"/>
            <rFont val="Tahoma"/>
            <family val="2"/>
          </rPr>
          <t>Jae Jun:</t>
        </r>
        <r>
          <rPr>
            <sz val="9"/>
            <color indexed="81"/>
            <rFont val="Tahoma"/>
            <family val="2"/>
          </rPr>
          <t xml:space="preserve">
1 point max</t>
        </r>
      </text>
    </comment>
    <comment ref="G50" authorId="0">
      <text>
        <r>
          <rPr>
            <b/>
            <sz val="9"/>
            <color indexed="81"/>
            <rFont val="Tahoma"/>
            <family val="2"/>
          </rPr>
          <t>Jae Jun:</t>
        </r>
        <r>
          <rPr>
            <sz val="9"/>
            <color indexed="81"/>
            <rFont val="Tahoma"/>
            <family val="2"/>
          </rPr>
          <t xml:space="preserve">
2 points: Monopoly
1 point: duopoly or low competition
0 point: fierce competition</t>
        </r>
      </text>
    </comment>
    <comment ref="G51" authorId="0">
      <text>
        <r>
          <rPr>
            <b/>
            <sz val="9"/>
            <color indexed="81"/>
            <rFont val="Tahoma"/>
            <family val="2"/>
          </rPr>
          <t>Jae Jun:</t>
        </r>
        <r>
          <rPr>
            <sz val="9"/>
            <color indexed="81"/>
            <rFont val="Tahoma"/>
            <family val="2"/>
          </rPr>
          <t xml:space="preserve">
1 point max</t>
        </r>
      </text>
    </comment>
    <comment ref="G52" authorId="0">
      <text>
        <r>
          <rPr>
            <b/>
            <sz val="9"/>
            <color indexed="81"/>
            <rFont val="Tahoma"/>
            <family val="2"/>
          </rPr>
          <t>Jae Jun:</t>
        </r>
        <r>
          <rPr>
            <sz val="9"/>
            <color indexed="81"/>
            <rFont val="Tahoma"/>
            <family val="2"/>
          </rPr>
          <t xml:space="preserve">
1 point: Not capital intensive
0 point: low capex</t>
        </r>
      </text>
    </comment>
    <comment ref="G54" authorId="0">
      <text>
        <r>
          <rPr>
            <b/>
            <sz val="9"/>
            <color indexed="81"/>
            <rFont val="Tahoma"/>
            <family val="2"/>
          </rPr>
          <t>Jae Jun:</t>
        </r>
        <r>
          <rPr>
            <sz val="9"/>
            <color indexed="81"/>
            <rFont val="Tahoma"/>
            <family val="2"/>
          </rPr>
          <t xml:space="preserve">
total 4 points normalize to 5</t>
        </r>
      </text>
    </comment>
    <comment ref="G55" authorId="0">
      <text>
        <r>
          <rPr>
            <b/>
            <sz val="9"/>
            <color indexed="81"/>
            <rFont val="Tahoma"/>
            <family val="2"/>
          </rPr>
          <t>Jae Jun:</t>
        </r>
        <r>
          <rPr>
            <sz val="9"/>
            <color indexed="81"/>
            <rFont val="Tahoma"/>
            <family val="2"/>
          </rPr>
          <t xml:space="preserve">
1 point max</t>
        </r>
      </text>
    </comment>
    <comment ref="G56" authorId="0">
      <text>
        <r>
          <rPr>
            <b/>
            <sz val="9"/>
            <color indexed="81"/>
            <rFont val="Tahoma"/>
            <family val="2"/>
          </rPr>
          <t>Jae Jun:</t>
        </r>
        <r>
          <rPr>
            <sz val="9"/>
            <color indexed="81"/>
            <rFont val="Tahoma"/>
            <family val="2"/>
          </rPr>
          <t xml:space="preserve">
1 point max</t>
        </r>
      </text>
    </comment>
    <comment ref="G57" authorId="0">
      <text>
        <r>
          <rPr>
            <b/>
            <sz val="9"/>
            <color indexed="81"/>
            <rFont val="Tahoma"/>
            <family val="2"/>
          </rPr>
          <t>Jae Jun:</t>
        </r>
        <r>
          <rPr>
            <sz val="9"/>
            <color indexed="81"/>
            <rFont val="Tahoma"/>
            <family val="2"/>
          </rPr>
          <t xml:space="preserve">
1 point max</t>
        </r>
      </text>
    </comment>
    <comment ref="G58" authorId="0">
      <text>
        <r>
          <rPr>
            <b/>
            <sz val="9"/>
            <color indexed="81"/>
            <rFont val="Tahoma"/>
            <family val="2"/>
          </rPr>
          <t>Jae Jun:</t>
        </r>
        <r>
          <rPr>
            <sz val="9"/>
            <color indexed="81"/>
            <rFont val="Tahoma"/>
            <family val="2"/>
          </rPr>
          <t xml:space="preserve">
1 point max</t>
        </r>
      </text>
    </comment>
    <comment ref="G61" authorId="0">
      <text>
        <r>
          <rPr>
            <b/>
            <sz val="9"/>
            <color indexed="81"/>
            <rFont val="Tahoma"/>
            <family val="2"/>
          </rPr>
          <t>Jae Jun:</t>
        </r>
        <r>
          <rPr>
            <sz val="9"/>
            <color indexed="81"/>
            <rFont val="Tahoma"/>
            <family val="2"/>
          </rPr>
          <t xml:space="preserve">
1 point max</t>
        </r>
      </text>
    </comment>
    <comment ref="G62" authorId="0">
      <text>
        <r>
          <rPr>
            <b/>
            <sz val="9"/>
            <color indexed="81"/>
            <rFont val="Tahoma"/>
            <family val="2"/>
          </rPr>
          <t>Jae Jun:</t>
        </r>
        <r>
          <rPr>
            <sz val="9"/>
            <color indexed="81"/>
            <rFont val="Tahoma"/>
            <family val="2"/>
          </rPr>
          <t xml:space="preserve">
1 point max</t>
        </r>
      </text>
    </comment>
    <comment ref="G63" authorId="0">
      <text>
        <r>
          <rPr>
            <b/>
            <sz val="9"/>
            <color indexed="81"/>
            <rFont val="Tahoma"/>
            <family val="2"/>
          </rPr>
          <t>Jae Jun:</t>
        </r>
        <r>
          <rPr>
            <sz val="9"/>
            <color indexed="81"/>
            <rFont val="Tahoma"/>
            <family val="2"/>
          </rPr>
          <t xml:space="preserve">
1 point max</t>
        </r>
      </text>
    </comment>
    <comment ref="A66" authorId="0">
      <text>
        <r>
          <rPr>
            <b/>
            <sz val="9"/>
            <color indexed="81"/>
            <rFont val="Tahoma"/>
            <family val="2"/>
          </rPr>
          <t>Jae Jun:</t>
        </r>
        <r>
          <rPr>
            <sz val="9"/>
            <color indexed="81"/>
            <rFont val="Tahoma"/>
            <family val="2"/>
          </rPr>
          <t xml:space="preserve">
 giving more wieght to recent data (check if the projections based on recent data or averages)</t>
        </r>
      </text>
    </comment>
    <comment ref="A67" authorId="0">
      <text>
        <r>
          <rPr>
            <b/>
            <sz val="9"/>
            <color indexed="81"/>
            <rFont val="Tahoma"/>
            <family val="2"/>
          </rPr>
          <t>Jae Jun:</t>
        </r>
        <r>
          <rPr>
            <sz val="9"/>
            <color indexed="81"/>
            <rFont val="Tahoma"/>
            <family val="2"/>
          </rPr>
          <t xml:space="preserve">
thinking that fact was obvious beforehand (check if the -ve factor was noted before hand)</t>
        </r>
      </text>
    </comment>
    <comment ref="A68" authorId="0">
      <text>
        <r>
          <rPr>
            <b/>
            <sz val="9"/>
            <color indexed="81"/>
            <rFont val="Tahoma"/>
            <family val="2"/>
          </rPr>
          <t>Jae Jun:</t>
        </r>
        <r>
          <rPr>
            <sz val="9"/>
            <color indexed="81"/>
            <rFont val="Tahoma"/>
            <family val="2"/>
          </rPr>
          <t xml:space="preserve">
trying to look at situation using varying models</t>
        </r>
      </text>
    </comment>
    <comment ref="A69" authorId="0">
      <text>
        <r>
          <rPr>
            <b/>
            <sz val="9"/>
            <color indexed="81"/>
            <rFont val="Tahoma"/>
            <family val="2"/>
          </rPr>
          <t>Jae Jun:</t>
        </r>
        <r>
          <rPr>
            <sz val="9"/>
            <color indexed="81"/>
            <rFont val="Tahoma"/>
            <family val="2"/>
          </rPr>
          <t xml:space="preserve">
influenced by the way data has been presented.</t>
        </r>
      </text>
    </comment>
    <comment ref="A70" authorId="0">
      <text>
        <r>
          <rPr>
            <b/>
            <sz val="9"/>
            <color indexed="81"/>
            <rFont val="Tahoma"/>
            <family val="2"/>
          </rPr>
          <t>Jae Jun:</t>
        </r>
        <r>
          <rPr>
            <sz val="9"/>
            <color indexed="81"/>
            <rFont val="Tahoma"/>
            <family val="2"/>
          </rPr>
          <t xml:space="preserve">
assuming over familiarity, associating positive unrelated feeling, too high wieght to optimistic scenario (familiarity due to work/association with the industry)</t>
        </r>
      </text>
    </comment>
    <comment ref="A72" authorId="0">
      <text>
        <r>
          <rPr>
            <b/>
            <sz val="9"/>
            <color indexed="81"/>
            <rFont val="Tahoma"/>
            <family val="2"/>
          </rPr>
          <t xml:space="preserve">Jae Jun:
</t>
        </r>
        <r>
          <rPr>
            <sz val="9"/>
            <color indexed="81"/>
            <rFont val="Tahoma"/>
            <family val="2"/>
          </rPr>
          <t>overwieghing negative factor</t>
        </r>
      </text>
    </comment>
    <comment ref="A73" authorId="0">
      <text>
        <r>
          <rPr>
            <b/>
            <sz val="9"/>
            <color indexed="81"/>
            <rFont val="Tahoma"/>
            <family val="2"/>
          </rPr>
          <t xml:space="preserve">Jae Jun:
</t>
        </r>
        <r>
          <rPr>
            <sz val="9"/>
            <color indexed="81"/>
            <rFont val="Tahoma"/>
            <family val="2"/>
          </rPr>
          <t>trying to average down the cost</t>
        </r>
      </text>
    </comment>
    <comment ref="A74" authorId="0">
      <text>
        <r>
          <rPr>
            <b/>
            <sz val="9"/>
            <color indexed="81"/>
            <rFont val="Tahoma"/>
            <family val="2"/>
          </rPr>
          <t>Jae Jun:</t>
        </r>
        <r>
          <rPr>
            <sz val="9"/>
            <color indexed="81"/>
            <rFont val="Tahoma"/>
            <family val="2"/>
          </rPr>
          <t xml:space="preserve">
not responding to negative news</t>
        </r>
      </text>
    </comment>
    <comment ref="A76" authorId="0">
      <text>
        <r>
          <rPr>
            <b/>
            <sz val="9"/>
            <color indexed="81"/>
            <rFont val="Tahoma"/>
            <family val="2"/>
          </rPr>
          <t>Jae Jun:</t>
        </r>
        <r>
          <rPr>
            <sz val="9"/>
            <color indexed="81"/>
            <rFont val="Tahoma"/>
            <family val="2"/>
          </rPr>
          <t xml:space="preserve">
Make this spreadsheet hence committed to buy ?</t>
        </r>
      </text>
    </comment>
    <comment ref="A77" authorId="0">
      <text>
        <r>
          <rPr>
            <b/>
            <sz val="9"/>
            <color indexed="81"/>
            <rFont val="Tahoma"/>
            <family val="2"/>
          </rPr>
          <t>Jae Jun:</t>
        </r>
        <r>
          <rPr>
            <sz val="9"/>
            <color indexed="81"/>
            <rFont val="Tahoma"/>
            <family val="2"/>
          </rPr>
          <t xml:space="preserve">
correlation being considered as cause effect relationship</t>
        </r>
      </text>
    </comment>
    <comment ref="A78" authorId="0">
      <text>
        <r>
          <rPr>
            <b/>
            <sz val="9"/>
            <color indexed="81"/>
            <rFont val="Tahoma"/>
            <family val="2"/>
          </rPr>
          <t>Jae Jun:</t>
        </r>
        <r>
          <rPr>
            <sz val="9"/>
            <color indexed="81"/>
            <rFont val="Tahoma"/>
            <family val="2"/>
          </rPr>
          <t xml:space="preserve">
stock being recommended by various analyst</t>
        </r>
      </text>
    </comment>
    <comment ref="A79" authorId="0">
      <text>
        <r>
          <rPr>
            <b/>
            <sz val="9"/>
            <color indexed="81"/>
            <rFont val="Tahoma"/>
            <family val="2"/>
          </rPr>
          <t>Jae Jun:</t>
        </r>
        <r>
          <rPr>
            <sz val="9"/>
            <color indexed="81"/>
            <rFont val="Tahoma"/>
            <family val="2"/>
          </rPr>
          <t xml:space="preserve">
unwilling to sell existing holding (review discount to intrinsic value and sell based on that)</t>
        </r>
      </text>
    </comment>
    <comment ref="A80" authorId="0">
      <text>
        <r>
          <rPr>
            <b/>
            <sz val="9"/>
            <color indexed="81"/>
            <rFont val="Tahoma"/>
            <family val="2"/>
          </rPr>
          <t>Jae Jun:</t>
        </r>
        <r>
          <rPr>
            <sz val="9"/>
            <color indexed="81"/>
            <rFont val="Tahoma"/>
            <family val="2"/>
          </rPr>
          <t xml:space="preserve">
check all information against your investment thesis and evalute objectively</t>
        </r>
      </text>
    </comment>
    <comment ref="A93" authorId="0">
      <text>
        <r>
          <rPr>
            <b/>
            <sz val="9"/>
            <color indexed="81"/>
            <rFont val="Tahoma"/>
            <family val="2"/>
          </rPr>
          <t>Jae Jun:</t>
        </r>
        <r>
          <rPr>
            <sz val="9"/>
            <color indexed="81"/>
            <rFont val="Tahoma"/>
            <family val="2"/>
          </rPr>
          <t xml:space="preserve">
Risk looks at EVERYTHING. Risk is relative to EVERYTHING. Normalized to 5.</t>
        </r>
      </text>
    </comment>
    <comment ref="D93" authorId="0">
      <text>
        <r>
          <rPr>
            <b/>
            <sz val="9"/>
            <color indexed="81"/>
            <rFont val="Tahoma"/>
            <family val="2"/>
          </rPr>
          <t>Jae Jun:</t>
        </r>
        <r>
          <rPr>
            <sz val="9"/>
            <color indexed="81"/>
            <rFont val="Tahoma"/>
            <family val="2"/>
          </rPr>
          <t xml:space="preserve">
includes Business model and management scored. Normalized to five.</t>
        </r>
      </text>
    </comment>
  </commentList>
</comments>
</file>

<file path=xl/comments17.xml><?xml version="1.0" encoding="utf-8"?>
<comments xmlns="http://schemas.openxmlformats.org/spreadsheetml/2006/main">
  <authors>
    <author>JJun</author>
  </authors>
  <commentList>
    <comment ref="A5" authorId="0">
      <text>
        <r>
          <rPr>
            <sz val="8"/>
            <color indexed="81"/>
            <rFont val="Tahoma"/>
            <family val="2"/>
          </rPr>
          <t>Fiscal year. Not actual time period.</t>
        </r>
      </text>
    </comment>
    <comment ref="D5" authorId="0">
      <text>
        <r>
          <rPr>
            <sz val="8"/>
            <color indexed="81"/>
            <rFont val="Tahoma"/>
            <family val="2"/>
          </rPr>
          <t>Target Buy Price with MOS factored in</t>
        </r>
      </text>
    </comment>
    <comment ref="E5" authorId="0">
      <text>
        <r>
          <rPr>
            <sz val="10"/>
            <color indexed="81"/>
            <rFont val="Trebuchet MS"/>
            <family val="2"/>
          </rPr>
          <t>Intrinsic value for each year depends on the discount rate and the growth rate used. Use graph to illustrate trend only.</t>
        </r>
      </text>
    </comment>
  </commentList>
</comments>
</file>

<file path=xl/sharedStrings.xml><?xml version="1.0" encoding="utf-8"?>
<sst xmlns="http://schemas.openxmlformats.org/spreadsheetml/2006/main" count="1448" uniqueCount="870">
  <si>
    <t>Free Cash Flow</t>
  </si>
  <si>
    <t>Total Liabilities</t>
  </si>
  <si>
    <t>CROIC</t>
  </si>
  <si>
    <t>Median</t>
  </si>
  <si>
    <t>Current Price</t>
  </si>
  <si>
    <t>Company Name</t>
  </si>
  <si>
    <t>ticker</t>
  </si>
  <si>
    <t>Cash Flow Data</t>
  </si>
  <si>
    <t>Projection of future Free Cash Flow</t>
  </si>
  <si>
    <t>Total Value</t>
  </si>
  <si>
    <t>Per Share Value</t>
  </si>
  <si>
    <t>Purchase Price</t>
  </si>
  <si>
    <t>Actual Discount</t>
  </si>
  <si>
    <t>Dividends</t>
  </si>
  <si>
    <t>Revenue</t>
  </si>
  <si>
    <t>COGS</t>
  </si>
  <si>
    <t>Gross Profit</t>
  </si>
  <si>
    <t>SG&amp;A</t>
  </si>
  <si>
    <t>R&amp;D</t>
  </si>
  <si>
    <t>Other</t>
  </si>
  <si>
    <t>Operating Income</t>
  </si>
  <si>
    <t>Income Taxes</t>
  </si>
  <si>
    <t>Net Income</t>
  </si>
  <si>
    <t>Shares</t>
  </si>
  <si>
    <t>Cash and Equiv</t>
  </si>
  <si>
    <t>Short-Term Investments</t>
  </si>
  <si>
    <t>Accts Rec</t>
  </si>
  <si>
    <t>Inventory</t>
  </si>
  <si>
    <t>Other Current Assets</t>
  </si>
  <si>
    <t>Total Current Assets</t>
  </si>
  <si>
    <t>Net PP&amp;E</t>
  </si>
  <si>
    <t>Intangibles</t>
  </si>
  <si>
    <t>Other Long-Term Assets</t>
  </si>
  <si>
    <t>Total Assets</t>
  </si>
  <si>
    <t>Accts Payable</t>
  </si>
  <si>
    <t>Short-Term Debt</t>
  </si>
  <si>
    <t>Taxes Payable</t>
  </si>
  <si>
    <t>Accrued Liabilities</t>
  </si>
  <si>
    <t>Other Short-Term Liabilities</t>
  </si>
  <si>
    <t>Total Current Liabilities</t>
  </si>
  <si>
    <t>Long-Term Debt</t>
  </si>
  <si>
    <t>Other Long-Term Liabilities</t>
  </si>
  <si>
    <t>Total Equity</t>
  </si>
  <si>
    <t>Total Liabilities &amp; Equity</t>
  </si>
  <si>
    <t>Depr &amp; Amort</t>
  </si>
  <si>
    <t>Deferred Taxes</t>
  </si>
  <si>
    <t>Cash from Operations</t>
  </si>
  <si>
    <t>Cap Ex</t>
  </si>
  <si>
    <t>Purchase of Business</t>
  </si>
  <si>
    <t>Cash from Investing</t>
  </si>
  <si>
    <t>Net Issuance of Stock</t>
  </si>
  <si>
    <t>Net Issuance of Debt</t>
  </si>
  <si>
    <t>Cash from Financing</t>
  </si>
  <si>
    <t>Currency Adj</t>
  </si>
  <si>
    <t>Change in Cash</t>
  </si>
  <si>
    <t>Price</t>
  </si>
  <si>
    <t>Intrinsic Value</t>
  </si>
  <si>
    <t>Year</t>
  </si>
  <si>
    <t>Date</t>
  </si>
  <si>
    <t>Historical Stock Price Vs Intrinsic Value Per Share</t>
  </si>
  <si>
    <t>Buy Price</t>
  </si>
  <si>
    <t>MOS</t>
  </si>
  <si>
    <t>Discount</t>
  </si>
  <si>
    <t>FCF/Sales</t>
  </si>
  <si>
    <t>Inventory Turnover</t>
  </si>
  <si>
    <t>COGS (%)</t>
  </si>
  <si>
    <t>Gross Profit (%)</t>
  </si>
  <si>
    <t>SG&amp;A (%)</t>
  </si>
  <si>
    <t>R&amp;D (%)</t>
  </si>
  <si>
    <t>Operating Income (%)</t>
  </si>
  <si>
    <t>Net Income (%)</t>
  </si>
  <si>
    <t>Historical Price</t>
  </si>
  <si>
    <t>Income Statement</t>
  </si>
  <si>
    <t>Operating Expenses</t>
  </si>
  <si>
    <t>Other Income and Expense</t>
  </si>
  <si>
    <t>Balance Sheet</t>
  </si>
  <si>
    <t>Assets</t>
  </si>
  <si>
    <t>Liabilities &amp; Stockholders' Equity</t>
  </si>
  <si>
    <t>Cash Flows From Operating Activities</t>
  </si>
  <si>
    <t>Cash Flows Statement</t>
  </si>
  <si>
    <t>Cash Flows From Investing Activities</t>
  </si>
  <si>
    <t>Cash Flows From Financing Activities</t>
  </si>
  <si>
    <t>Margins</t>
  </si>
  <si>
    <t>Efficiency &amp; Profitability</t>
  </si>
  <si>
    <t>Return On Assets (ROA)</t>
  </si>
  <si>
    <t>Retun On Equity (ROE)</t>
  </si>
  <si>
    <t>Growth</t>
  </si>
  <si>
    <t>Discount %</t>
  </si>
  <si>
    <t>Shares Outstanding</t>
  </si>
  <si>
    <t>Normal Earnings</t>
  </si>
  <si>
    <t>Industry</t>
  </si>
  <si>
    <t>Efficiency</t>
  </si>
  <si>
    <t>Growth Rates</t>
  </si>
  <si>
    <t>Valuation Ratios</t>
  </si>
  <si>
    <t>--</t>
  </si>
  <si>
    <t>MRQ</t>
  </si>
  <si>
    <t>Total Inventories</t>
  </si>
  <si>
    <t>Net Fixed Assets</t>
  </si>
  <si>
    <t>TTM</t>
  </si>
  <si>
    <t>Gross Operating Profit</t>
  </si>
  <si>
    <t>Current Liabilities</t>
  </si>
  <si>
    <t>Current Assets</t>
  </si>
  <si>
    <t>Common Shares</t>
  </si>
  <si>
    <t>Assets -- Marketable Securities</t>
  </si>
  <si>
    <t>Assets -- Cash &amp; Equivalents</t>
  </si>
  <si>
    <t>Closing Price on date data was loaded</t>
  </si>
  <si>
    <t>Data Loaded</t>
  </si>
  <si>
    <t>Type</t>
  </si>
  <si>
    <t>Raw Data Items</t>
  </si>
  <si>
    <t>Quick Ratio</t>
  </si>
  <si>
    <t>Current Ratio</t>
  </si>
  <si>
    <t>Now</t>
  </si>
  <si>
    <t>Stock Price</t>
  </si>
  <si>
    <t>Return on Equity (ROE)</t>
  </si>
  <si>
    <t>Return on Assets (ROA)</t>
  </si>
  <si>
    <t>Operating Revenue</t>
  </si>
  <si>
    <t>Net Profit Margin</t>
  </si>
  <si>
    <t>Net Profit</t>
  </si>
  <si>
    <t>Magic Formula Investing --  Return on Capital</t>
  </si>
  <si>
    <t>Magic Formula Investing --  Earnings Yield</t>
  </si>
  <si>
    <t>Market Capitalization</t>
  </si>
  <si>
    <t>Enterprise Value</t>
  </si>
  <si>
    <t>EBITDA</t>
  </si>
  <si>
    <t>None</t>
  </si>
  <si>
    <t>Chart Data Items</t>
  </si>
  <si>
    <t>Offset</t>
  </si>
  <si>
    <t>% Change</t>
  </si>
  <si>
    <t>Margin of Safety</t>
  </si>
  <si>
    <t>Net Net Working Capital</t>
  </si>
  <si>
    <t>Tangible Shareholder Equity</t>
  </si>
  <si>
    <t>Debt Related</t>
  </si>
  <si>
    <t>Debt to Equity</t>
  </si>
  <si>
    <t>Capitalization Ratio</t>
  </si>
  <si>
    <t>Company Assessment: Quantitative</t>
  </si>
  <si>
    <t>Valuation</t>
  </si>
  <si>
    <t>Value</t>
  </si>
  <si>
    <t>Points</t>
  </si>
  <si>
    <t>User Points</t>
  </si>
  <si>
    <t>DCF Valuation Discount</t>
  </si>
  <si>
    <t>&gt; 25% or 50% depending on moat</t>
  </si>
  <si>
    <t>Graham Intrinsic Value Discount</t>
  </si>
  <si>
    <t>&gt; 66%</t>
  </si>
  <si>
    <t>Margins, Profit and Growth</t>
  </si>
  <si>
    <t xml:space="preserve">  Median Revenue growth</t>
  </si>
  <si>
    <t xml:space="preserve">  Median Gross Margin</t>
  </si>
  <si>
    <t xml:space="preserve">  Median Operating Margin </t>
  </si>
  <si>
    <t xml:space="preserve">  Median Net Margin</t>
  </si>
  <si>
    <t xml:space="preserve">  Median EPS growth</t>
  </si>
  <si>
    <t>Business and Management Performance</t>
  </si>
  <si>
    <t xml:space="preserve">  Cash growth from Operations</t>
  </si>
  <si>
    <t xml:space="preserve">  CROIC is postive and capable of paying off financing</t>
    <phoneticPr fontId="8" type="noConversion"/>
  </si>
  <si>
    <t xml:space="preserve">  Median FCF growth positive and consistent</t>
  </si>
  <si>
    <t xml:space="preserve">  Median FCF/Sales</t>
  </si>
  <si>
    <t xml:space="preserve">  Consistent ROE (manually check)</t>
  </si>
  <si>
    <t>Consistent over 10yrs</t>
  </si>
  <si>
    <t>N/A</t>
  </si>
  <si>
    <t xml:space="preserve">  Consistent ROA (manually check)</t>
  </si>
  <si>
    <t>Criteria for TTM</t>
  </si>
  <si>
    <t xml:space="preserve">  Current assets &gt; 1.5 x current liabilities</t>
    <phoneticPr fontId="8" type="noConversion"/>
  </si>
  <si>
    <t>&gt; 1.5 x current liabilities</t>
  </si>
  <si>
    <t xml:space="preserve">  Price to Book ratio &lt; 2</t>
    <phoneticPr fontId="8" type="noConversion"/>
  </si>
  <si>
    <t xml:space="preserve">  Debt to Equity</t>
  </si>
  <si>
    <t>&lt; 100%</t>
  </si>
  <si>
    <t xml:space="preserve">  FCF to Debt</t>
  </si>
  <si>
    <t>&gt; 10%</t>
  </si>
  <si>
    <t xml:space="preserve">  Capitalization Ratio</t>
  </si>
  <si>
    <t>&lt; 30%</t>
  </si>
  <si>
    <t xml:space="preserve">  Intangibles % of assets</t>
  </si>
  <si>
    <t>&lt; 15% of assets</t>
  </si>
  <si>
    <t>Company Assessment: Qualitative</t>
  </si>
  <si>
    <t>Competitive Advantage</t>
  </si>
  <si>
    <t>Comment</t>
  </si>
  <si>
    <t>Max Points</t>
  </si>
  <si>
    <t xml:space="preserve">  Stable market share?</t>
  </si>
  <si>
    <t>max 2</t>
  </si>
  <si>
    <t xml:space="preserve">  Dominant company in industry, segment?</t>
  </si>
  <si>
    <t xml:space="preserve">  Low barriers to entry and exit?</t>
  </si>
  <si>
    <t xml:space="preserve">  Experience goods (brand effect, trademarks)</t>
  </si>
  <si>
    <t xml:space="preserve">  High switching costs?</t>
  </si>
  <si>
    <t xml:space="preserve">  Network effect? E.g. eBay</t>
  </si>
  <si>
    <t>Business Model</t>
  </si>
  <si>
    <t xml:space="preserve">  Growth due to:
  a) existing product / existing market (yes/no)
  b) existing product / new market       (yes/no)
  c) new product / existing market       (yes/no)
  d) new product / new market             (yes/no)</t>
  </si>
  <si>
    <t xml:space="preserve">  Able to increase prices and retain customers?</t>
  </si>
  <si>
    <t>max 1</t>
  </si>
  <si>
    <t xml:space="preserve">  Compete on price? (1 for no, 0 for yes)</t>
  </si>
  <si>
    <t xml:space="preserve">  Barriers of entry to the business?</t>
  </si>
  <si>
    <t xml:space="preserve">  Diverse customers? (1 for diverse, 0 for concentrated)</t>
  </si>
  <si>
    <t xml:space="preserve">  Involved in competition? Monopoly, duopoly, crowded</t>
  </si>
  <si>
    <t xml:space="preserve">  Company has a recurring revenue stream?</t>
  </si>
  <si>
    <t xml:space="preserve">  Capital intensive company? (1 for no, 0 for yes)</t>
  </si>
  <si>
    <t>Management</t>
  </si>
  <si>
    <t xml:space="preserve">  High insider ownership?</t>
  </si>
  <si>
    <t xml:space="preserve">  Candid management on positives and negatives?</t>
  </si>
  <si>
    <t xml:space="preserve">  Management performance at previous jobs?</t>
  </si>
  <si>
    <t xml:space="preserve">  Compensation levels compared to sales?</t>
  </si>
  <si>
    <t xml:space="preserve">  Boring industry? (1 for slow, 0 for fast industry)</t>
  </si>
  <si>
    <t xml:space="preserve">  Can company adapt to changing industry environment?</t>
  </si>
  <si>
    <t xml:space="preserve">  Industry leader or lagger? (1 for leader, 0 for lagger)</t>
  </si>
  <si>
    <t>Psychological Factors to Consider. Not Weighted.</t>
  </si>
  <si>
    <t xml:space="preserve">  Recency bias?</t>
  </si>
  <si>
    <t xml:space="preserve">  Hindsight bias?</t>
  </si>
  <si>
    <t xml:space="preserve">  Framing issues correctly and in different manners?</t>
  </si>
  <si>
    <t xml:space="preserve">  Is there a data framing bias?</t>
  </si>
  <si>
    <t xml:space="preserve">  Am I too overconfident on the situation?</t>
  </si>
  <si>
    <t xml:space="preserve">  Performed probability analysis for -ve factors?</t>
  </si>
  <si>
    <t xml:space="preserve">  Too much loss aversion?</t>
  </si>
  <si>
    <t xml:space="preserve">  Sunk cost mentality?</t>
  </si>
  <si>
    <t xml:space="preserve">  Slow in changing opinion?</t>
  </si>
  <si>
    <t xml:space="preserve">  Psychological denial ?</t>
  </si>
  <si>
    <t xml:space="preserve">  Bias from commitment and consistency tendency?</t>
  </si>
  <si>
    <t xml:space="preserve">  Pavlovian association?</t>
  </si>
  <si>
    <t xml:space="preserve">  Social proof bias?</t>
  </si>
  <si>
    <t xml:space="preserve">  Status quo bias?</t>
  </si>
  <si>
    <t>Category</t>
  </si>
  <si>
    <t>Total Points out of 5</t>
  </si>
  <si>
    <t>Low Risk</t>
  </si>
  <si>
    <t>High Growth</t>
  </si>
  <si>
    <t>Under Valued</t>
  </si>
  <si>
    <t>Well Managed</t>
  </si>
  <si>
    <t>Good Financial Health</t>
  </si>
  <si>
    <t>Strong Moat</t>
  </si>
  <si>
    <t>Criteria over 5yrs</t>
  </si>
  <si>
    <t>No</t>
  </si>
  <si>
    <t>Yes</t>
  </si>
  <si>
    <t xml:space="preserve">  False consensus bias?</t>
  </si>
  <si>
    <t>st</t>
  </si>
  <si>
    <t>www.oldschoolvalue.com</t>
  </si>
  <si>
    <t>52-Week High</t>
  </si>
  <si>
    <t>52-Week Low</t>
  </si>
  <si>
    <t>% off 52-Week Low</t>
  </si>
  <si>
    <t>Growing at</t>
  </si>
  <si>
    <t>a) Yes
b) No
c) No
d) NO</t>
  </si>
  <si>
    <t>Tax Rate %</t>
  </si>
  <si>
    <t>Figures in Millions except per share values</t>
  </si>
  <si>
    <t xml:space="preserve"> Cash &amp; Equivalents</t>
  </si>
  <si>
    <t xml:space="preserve"> Marketable Securities</t>
  </si>
  <si>
    <t xml:space="preserve"> Other Receivable</t>
  </si>
  <si>
    <t xml:space="preserve"> Receivables</t>
  </si>
  <si>
    <t xml:space="preserve">     Inventories: Raw Materials</t>
  </si>
  <si>
    <t xml:space="preserve">     Inventories: Work in Progress</t>
  </si>
  <si>
    <t xml:space="preserve">     Inventories: Purchased Components</t>
  </si>
  <si>
    <t xml:space="preserve">     Inventories: Finished Goods</t>
  </si>
  <si>
    <t xml:space="preserve">     Inventories: Other</t>
  </si>
  <si>
    <t xml:space="preserve"> Inventories -- Total</t>
  </si>
  <si>
    <t xml:space="preserve"> Total Liabilities</t>
  </si>
  <si>
    <t xml:space="preserve"> Prepaid Expenses</t>
  </si>
  <si>
    <t xml:space="preserve"> Current Defered Income Taxes</t>
  </si>
  <si>
    <t xml:space="preserve"> Other Current Assets</t>
  </si>
  <si>
    <t xml:space="preserve"> Total Current Assets</t>
  </si>
  <si>
    <t xml:space="preserve"> Intangibles</t>
  </si>
  <si>
    <t xml:space="preserve"> Total Assets </t>
  </si>
  <si>
    <t>Liabilities &amp; Equity</t>
  </si>
  <si>
    <t xml:space="preserve"> Accounts Payable</t>
  </si>
  <si>
    <t xml:space="preserve"> Accrued Expenses</t>
  </si>
  <si>
    <t xml:space="preserve"> Accrued Liabilities</t>
  </si>
  <si>
    <t xml:space="preserve"> Other Current Liabilities</t>
  </si>
  <si>
    <t xml:space="preserve"> Total Current Liabilities</t>
  </si>
  <si>
    <t xml:space="preserve"> Long-Term Debt</t>
  </si>
  <si>
    <t xml:space="preserve"> Capital Lease Obligations</t>
  </si>
  <si>
    <t xml:space="preserve"> Deferred Income Taxes</t>
  </si>
  <si>
    <t xml:space="preserve"> Common Stock Equity</t>
  </si>
  <si>
    <t xml:space="preserve"> Retained Earnings</t>
  </si>
  <si>
    <t xml:space="preserve"> Total Equity</t>
  </si>
  <si>
    <t xml:space="preserve"> Total Liabilities &amp; Stock Equity</t>
  </si>
  <si>
    <t>Book Value</t>
  </si>
  <si>
    <t>Reproduction Asset Value</t>
  </si>
  <si>
    <t>Quarterly numbers based on:</t>
  </si>
  <si>
    <t>Equity Risk Prem</t>
  </si>
  <si>
    <t>Stock Risk Prem</t>
  </si>
  <si>
    <t>Risk Free Rate</t>
  </si>
  <si>
    <t>Credit Spread</t>
  </si>
  <si>
    <t>WACC</t>
  </si>
  <si>
    <t>Beta</t>
  </si>
  <si>
    <t>Weighted Average Cost of Capital (WACC) Calculation</t>
  </si>
  <si>
    <t>E/V</t>
  </si>
  <si>
    <t>D/V</t>
  </si>
  <si>
    <t>Corporate Tax Rate</t>
  </si>
  <si>
    <t>Cost of Equity (Re)</t>
  </si>
  <si>
    <t>Cost of Debt (Rd)</t>
  </si>
  <si>
    <t>Equity Mkt Value (E)</t>
  </si>
  <si>
    <t>Debt Market Value (D)</t>
  </si>
  <si>
    <t>Firm Value (V)</t>
  </si>
  <si>
    <t>Statement Source Date:</t>
  </si>
  <si>
    <t xml:space="preserve"> Accounts Receivable - Gross</t>
  </si>
  <si>
    <t xml:space="preserve"> Property/Plant/Equipment - Net</t>
  </si>
  <si>
    <t xml:space="preserve"> Goodwill, Net</t>
  </si>
  <si>
    <t xml:space="preserve"> Intangibles, Net</t>
  </si>
  <si>
    <t xml:space="preserve"> Long Term Investments</t>
  </si>
  <si>
    <t xml:space="preserve"> Note Receivable - Long Term</t>
  </si>
  <si>
    <t xml:space="preserve"> Other Long Term Assets, Total</t>
  </si>
  <si>
    <t xml:space="preserve"> Notes Payable/Short Term Debt</t>
  </si>
  <si>
    <t xml:space="preserve"> Current Port. of LT Debt/Capital Leases</t>
  </si>
  <si>
    <t xml:space="preserve"> Minority Interest</t>
  </si>
  <si>
    <t xml:space="preserve"> Total Other Liabilities</t>
  </si>
  <si>
    <t xml:space="preserve"> Total Capitalization</t>
  </si>
  <si>
    <t>Total</t>
  </si>
  <si>
    <t>Per Share</t>
  </si>
  <si>
    <t>PPE</t>
  </si>
  <si>
    <t>Capex</t>
  </si>
  <si>
    <t>Sales</t>
  </si>
  <si>
    <t>Tangible BV</t>
  </si>
  <si>
    <t>Reprod. Cost of Assets</t>
  </si>
  <si>
    <t>Total Net Reprod. Cost</t>
  </si>
  <si>
    <t xml:space="preserve">Balance Sheet Assets  </t>
  </si>
  <si>
    <t xml:space="preserve">Total Liabilities  </t>
  </si>
  <si>
    <t xml:space="preserve">Total Equity  </t>
  </si>
  <si>
    <t xml:space="preserve">Marketing/Brand Value  </t>
  </si>
  <si>
    <t xml:space="preserve">R&amp;D Value  </t>
  </si>
  <si>
    <t xml:space="preserve">Cash Needed for Business  </t>
  </si>
  <si>
    <t xml:space="preserve">Interest Bearing Debt  </t>
  </si>
  <si>
    <t xml:space="preserve">Non Interest Bearing Debt  </t>
  </si>
  <si>
    <t xml:space="preserve">Excess Cash  </t>
  </si>
  <si>
    <t>Adjusted BV</t>
  </si>
  <si>
    <t xml:space="preserve">Adjusted Assets  </t>
  </si>
  <si>
    <t>Growth Rate</t>
  </si>
  <si>
    <t>EPV</t>
  </si>
  <si>
    <t>DCF Valuation</t>
  </si>
  <si>
    <t>Graham Valuation</t>
  </si>
  <si>
    <t>Earnings Power Value (EPV)</t>
  </si>
  <si>
    <t>Normalized EBITDA</t>
  </si>
  <si>
    <t>Normalized EBIT</t>
  </si>
  <si>
    <t>Tax Rate</t>
  </si>
  <si>
    <t>Income Before Tax</t>
  </si>
  <si>
    <t>Total Revenue</t>
  </si>
  <si>
    <t>Income After Tax</t>
  </si>
  <si>
    <t>Net Income Before Extra. Items</t>
  </si>
  <si>
    <t>Accounting Change</t>
  </si>
  <si>
    <t>Discontinued Operations</t>
  </si>
  <si>
    <t>Diluted EPS Including Extraordinary Items</t>
  </si>
  <si>
    <t>Period End Date</t>
  </si>
  <si>
    <t>Period Length</t>
  </si>
  <si>
    <t>Stmt Source</t>
  </si>
  <si>
    <t>Stmt Source Date</t>
  </si>
  <si>
    <t>Stmt Update Type</t>
  </si>
  <si>
    <t>Selling/General/Administrative Expenses, Total</t>
  </si>
  <si>
    <t>Research &amp; Development</t>
  </si>
  <si>
    <t>Depreciation/Amortization</t>
  </si>
  <si>
    <t>Minority Interest</t>
  </si>
  <si>
    <t>Equity In Affiliates</t>
  </si>
  <si>
    <t>U.S. GAAP Adjustment</t>
  </si>
  <si>
    <t>Total Extraordinary Items</t>
  </si>
  <si>
    <t>Total Adjustments to Net Income</t>
  </si>
  <si>
    <t>Preferred Dividends</t>
  </si>
  <si>
    <t>General Partners' Distributions</t>
  </si>
  <si>
    <t>Basic Weighted Average Shares</t>
  </si>
  <si>
    <t>Basic EPS Excluding Extraordinary Items</t>
  </si>
  <si>
    <t>Basic EPS Including Extraordinary Items</t>
  </si>
  <si>
    <t>Diluted Weighted Average Shares</t>
  </si>
  <si>
    <t>Diluted EPS Excluding Extrordinary Items</t>
  </si>
  <si>
    <t>Dividends per Share - Common Stock Primary Issue</t>
  </si>
  <si>
    <t>Gross Dividends - Common Stock</t>
  </si>
  <si>
    <t>Interest Expense, Supplemental</t>
  </si>
  <si>
    <t>Depreciation, Supplemental</t>
  </si>
  <si>
    <t>Normalized Income Before Tax</t>
  </si>
  <si>
    <t>Normalized Income After Taxes</t>
  </si>
  <si>
    <t>Normalized Income Available to Common</t>
  </si>
  <si>
    <t>Basic Normalized EPS</t>
  </si>
  <si>
    <t>Diluted Normalized EPS</t>
  </si>
  <si>
    <t>Amortization of Intangibles</t>
  </si>
  <si>
    <t>EBIT</t>
  </si>
  <si>
    <t>Depreciation &amp; Amortization</t>
  </si>
  <si>
    <t>EBIT at user defined % of sales</t>
  </si>
  <si>
    <t>Adjusted EBIT</t>
  </si>
  <si>
    <t>Adjusted Earnings After tax</t>
  </si>
  <si>
    <t>Income as Adjusted</t>
  </si>
  <si>
    <t>Operating Income as Reported</t>
  </si>
  <si>
    <t>Statement Source</t>
  </si>
  <si>
    <t>1% of sales</t>
  </si>
  <si>
    <t>Normalized Adjusted Income</t>
  </si>
  <si>
    <t>Multiyear Timeframe Adjusted Income &amp; Growth</t>
  </si>
  <si>
    <t>Normalized Income</t>
  </si>
  <si>
    <t>TTM Adjusted Income</t>
  </si>
  <si>
    <t xml:space="preserve">  Total Revenue</t>
  </si>
  <si>
    <t xml:space="preserve">  Cost of Revenue, Total</t>
  </si>
  <si>
    <t xml:space="preserve">  Gross Profit</t>
  </si>
  <si>
    <t xml:space="preserve">  Other Operating Expenses, Total</t>
  </si>
  <si>
    <t xml:space="preserve">  Unusual Expense (Income)</t>
  </si>
  <si>
    <t xml:space="preserve">  Interest Expense (Income), Net Operating</t>
  </si>
  <si>
    <t xml:space="preserve">  Interest Income (Expense), Net Non-Operating</t>
  </si>
  <si>
    <t xml:space="preserve">  Gain (Loss) on Sale of Assets</t>
  </si>
  <si>
    <t xml:space="preserve">  Other, Net</t>
  </si>
  <si>
    <t xml:space="preserve">  Income Tax - Total</t>
  </si>
  <si>
    <t>PPE as a % of Sales</t>
  </si>
  <si>
    <t>Cash &amp; Equiv</t>
  </si>
  <si>
    <t>Average</t>
  </si>
  <si>
    <t>Average Maintenance Capex</t>
  </si>
  <si>
    <t>Cash - Debt</t>
  </si>
  <si>
    <t>Cost of Capital Rates</t>
  </si>
  <si>
    <t>Cost of Capital</t>
  </si>
  <si>
    <t>Multiplier</t>
  </si>
  <si>
    <t>5 Year Annual Data</t>
  </si>
  <si>
    <t>Past 4 Quarterly Data</t>
  </si>
  <si>
    <t>User Input</t>
  </si>
  <si>
    <t xml:space="preserve">     EBIT Margin</t>
  </si>
  <si>
    <t xml:space="preserve">     Normalized EBITDA</t>
  </si>
  <si>
    <t xml:space="preserve">     Normalized EBIT</t>
  </si>
  <si>
    <t xml:space="preserve">     Adjusted EBIT %</t>
  </si>
  <si>
    <t xml:space="preserve">     Income Tax - Total</t>
  </si>
  <si>
    <t xml:space="preserve">     Add user defined % of D&amp;A</t>
  </si>
  <si>
    <t xml:space="preserve">     Income as Adjusted %</t>
  </si>
  <si>
    <t>Sales Growth (decrease) to Prior Year</t>
  </si>
  <si>
    <t xml:space="preserve">     Maintenance Capex</t>
  </si>
  <si>
    <t>Avg Adj. Income 5 yrs</t>
  </si>
  <si>
    <t>Normal. Adj. Income Growth</t>
  </si>
  <si>
    <t xml:space="preserve">     EBIT User Defined % Margin</t>
  </si>
  <si>
    <t xml:space="preserve"> Accounts Receivable</t>
  </si>
  <si>
    <t xml:space="preserve"> Land And Improvements</t>
  </si>
  <si>
    <t xml:space="preserve"> Building And Improvements</t>
  </si>
  <si>
    <t xml:space="preserve"> Machinery, Furniture &amp; Equipment</t>
  </si>
  <si>
    <t xml:space="preserve"> Construction in Progress</t>
  </si>
  <si>
    <t xml:space="preserve"> Other Fixed Assets</t>
  </si>
  <si>
    <t xml:space="preserve"> Total Fixed Assets</t>
  </si>
  <si>
    <t xml:space="preserve"> Accumulated Depreciation</t>
  </si>
  <si>
    <t xml:space="preserve"> Net Fixed Assets</t>
  </si>
  <si>
    <t xml:space="preserve"> Other Long-Term Assets</t>
  </si>
  <si>
    <t xml:space="preserve"> Notes Payable</t>
  </si>
  <si>
    <t xml:space="preserve"> Short-Term Debt</t>
  </si>
  <si>
    <t xml:space="preserve"> Deferred Revenues</t>
  </si>
  <si>
    <t xml:space="preserve"> Current Deferred Income Taxes</t>
  </si>
  <si>
    <t xml:space="preserve"> Other Non-Current Liabilities</t>
  </si>
  <si>
    <t xml:space="preserve"> Total Non-Current Liabilities</t>
  </si>
  <si>
    <t xml:space="preserve"> Preferred Stock Equity</t>
  </si>
  <si>
    <t xml:space="preserve"> Total Capitalization/Invested Capital</t>
  </si>
  <si>
    <t>Fiscal Ending Date</t>
  </si>
  <si>
    <t>Income Statement Numbers from MSN</t>
  </si>
  <si>
    <t>Reprod. Cost of Assets BV</t>
  </si>
  <si>
    <t>Discount Rate</t>
  </si>
  <si>
    <t>Key Statistics</t>
  </si>
  <si>
    <t>Margins &amp; Profitability</t>
  </si>
  <si>
    <t>MSN</t>
  </si>
  <si>
    <t>ADVFN</t>
  </si>
  <si>
    <t xml:space="preserve"> Total Long-Term Assets</t>
  </si>
  <si>
    <t>Disclaimer</t>
  </si>
  <si>
    <t>Owner Earnings FCF</t>
  </si>
  <si>
    <t>Company Overview</t>
  </si>
  <si>
    <t>Market Cap (millions)</t>
  </si>
  <si>
    <t>Graham Growth</t>
  </si>
  <si>
    <t>Graham EPS</t>
  </si>
  <si>
    <t>DCF Growth</t>
  </si>
  <si>
    <t>Operating Expense</t>
  </si>
  <si>
    <t>Cash Flow</t>
  </si>
  <si>
    <t>NCAV</t>
  </si>
  <si>
    <t>Discounted Cash Flow (DCF)</t>
  </si>
  <si>
    <t>Ben Graham Formula</t>
  </si>
  <si>
    <t>Colors</t>
  </si>
  <si>
    <t>Positive</t>
  </si>
  <si>
    <t>Negative</t>
  </si>
  <si>
    <t>Varianace</t>
  </si>
  <si>
    <t xml:space="preserve">Receivable Turnover (TTM) </t>
  </si>
  <si>
    <t xml:space="preserve">Inventory Turnover (TTM) </t>
  </si>
  <si>
    <t xml:space="preserve">Asset Turnover (TTM) </t>
  </si>
  <si>
    <t xml:space="preserve">P/S (TTM) </t>
  </si>
  <si>
    <t xml:space="preserve">P/E (TTM) </t>
  </si>
  <si>
    <t xml:space="preserve">P/Tang. BV (MRQ) </t>
  </si>
  <si>
    <t>FCF/EV (TTM)</t>
  </si>
  <si>
    <t xml:space="preserve">P/FCF (TTM) </t>
  </si>
  <si>
    <t>Effectiveness</t>
  </si>
  <si>
    <t>Gross</t>
  </si>
  <si>
    <t>ROA</t>
  </si>
  <si>
    <t>ROE</t>
  </si>
  <si>
    <t>Operating</t>
  </si>
  <si>
    <t>Line</t>
  </si>
  <si>
    <t>Cash Flows</t>
  </si>
  <si>
    <t>FCF</t>
  </si>
  <si>
    <t>FCF/S</t>
  </si>
  <si>
    <t>Financial Strength (MRQ)</t>
  </si>
  <si>
    <t>LT Debt to Equity</t>
  </si>
  <si>
    <t>Total Debt to Equity</t>
  </si>
  <si>
    <t>Gross Margin</t>
  </si>
  <si>
    <t>Operating Margin</t>
  </si>
  <si>
    <t>Net Margin</t>
  </si>
  <si>
    <t>WACC Calculation</t>
  </si>
  <si>
    <t>Version</t>
  </si>
  <si>
    <t>Changes</t>
  </si>
  <si>
    <t>Version Update Keys</t>
  </si>
  <si>
    <t xml:space="preserve"> - FWallStreet excel downloaded</t>
  </si>
  <si>
    <t>1.x.x &gt; 2.x.x</t>
  </si>
  <si>
    <t>Big new updates</t>
  </si>
  <si>
    <t xml:space="preserve"> - Graham intrinsic value formula added to new tab
 - Company management questions added</t>
  </si>
  <si>
    <t>x.1.x &gt; x.2.x</t>
  </si>
  <si>
    <t>Many changes</t>
  </si>
  <si>
    <t xml:space="preserve"> - Revenue growth, gross margin, operating margin, net margin, earnings growth, cash from ops, FCF growth multi year performance added.
 - Risk assessment tab added with conditional formatting</t>
  </si>
  <si>
    <t>x.x.1 &gt; x.x.2</t>
  </si>
  <si>
    <t>Minor fixes</t>
  </si>
  <si>
    <t xml:space="preserve"> - Auto morningstar reader implemented
 - Numerical valuation combined
 - Margins graph added to numerical valuation
 - Historical EPS graph added to Graham tab with auto updating 20yr corp rate
 - More details in risk assessment
 - Competitors tab included (manual mode)
 - Company analysis tab upgraded</t>
  </si>
  <si>
    <t xml:space="preserve"> - Redesign of statements tab to match rest of excel theme
 - User input parameters bar included at top of valuation page
 - Automated competitors tab</t>
  </si>
  <si>
    <t xml:space="preserve"> - Created price vs value tab</t>
  </si>
  <si>
    <t xml:space="preserve"> - Reformulation of Graham formula and EPS graph
 - User input parameters tab added to Graham tab also</t>
  </si>
  <si>
    <t xml:space="preserve"> - More conservative FCF growth calculation. Also using CROIC growth rather than FCF growth</t>
  </si>
  <si>
    <t xml:space="preserve"> - Drop down list added to discount rate and MOS.</t>
  </si>
  <si>
    <t xml:space="preserve"> - FCF/Sales figure added to DCF valuation</t>
  </si>
  <si>
    <t xml:space="preserve"> - Inventory turnover included to DCF valuation
 - CROIC vs FCF/sales graph added
 - Sales vs Accts Receivables graph added
 - Release notes added</t>
  </si>
  <si>
    <t xml:space="preserve"> - Revenues and operating expenses shown as % in statement tab</t>
  </si>
  <si>
    <t xml:space="preserve"> - Changed Company and Management tab to Checklist. Updated questions and ordering
 - Net income % added to statements
 - Added Notes sheet</t>
  </si>
  <si>
    <t xml:space="preserve"> - Changed page layout of Price Vs Value. Historical prices are below the graph &amp; not in the print 
   area
 - Added today() function to update date automatically
 - Automated Price Vs Value tab</t>
  </si>
  <si>
    <t xml:space="preserve"> - Blog address added to notes
 - Changed growth rate back to FCF growth rate
 - Added user defined growth rate</t>
  </si>
  <si>
    <t xml:space="preserve"> - Graham intrinsic value formula modified to better incorporate growth rate into EPS projection
 - Graham intrinsic value page layout edited</t>
  </si>
  <si>
    <t xml:space="preserve"> - New cleaner design
 - ROE and ROA added to DCF tab
 - Book value per share error corrected in Graham tab
 - Equity value error corrected in Graham tab
 - Automatically retrieve Company name</t>
  </si>
  <si>
    <t xml:space="preserve"> - Added data label to EPS in Graham Tab
 - Added Data tab for chart generation
 - Data tab is hidden
 - Added Chart tabs from SMF yahoo page template
 - New competitors tab that allows user to directly enter competitors
 - 5 yr intrinsic value calculation combined to allow easier updates</t>
  </si>
  <si>
    <t>5.2.1</t>
  </si>
  <si>
    <t xml:space="preserve"> - fixed multi year for DCF valuation and Graham in 5 yr spreadsheet
 - added extra MOS and discount rate. Discount rate includes 10 year T-bill for risk free rate
 - fixed statements rows so that currency row went to proper place and not in FCF area
 - included addtional notes in FCF and Graham spreadsheet
 - changed tab name to DCF Valuation
 - Locked cells to prevent accidental edit. Password to unprotect sheet is "osv-spreadsheet"
 - Replaced bookvalue in Graham tab with NNWC
 - Changed FCF formula to exclude "other" and deferred taxes
 - changed to tangible shareholder equity
 - re-added Risk Assessment and Checklist sheets and included points and user input
 - terminal rate now read 3% not 5%
 - used isblank() for user input</t>
  </si>
  <si>
    <t>5.2.2</t>
  </si>
  <si>
    <t xml:space="preserve"> - included debt to equity ratio, capitalization ratio, FCF to debt ratio
 - replaced sales to accounts receivables graph with debt ratios</t>
  </si>
  <si>
    <t>5.3.1</t>
  </si>
  <si>
    <t xml:space="preserve"> - included Assessment tab which includes checklist and points rating and spider graph
 - added macro clear all button in Assessment tab
 - added extra graphs in DCF valuation</t>
  </si>
  <si>
    <t>3/8/2009
5/30/2009</t>
  </si>
  <si>
    <t>5.3.2</t>
  </si>
  <si>
    <t xml:space="preserve"> - use enterprise value for calculations
 - change terminal value calculation to user defined
 - fixed "growing at" rate
 - changed growth rate of Ben Graham formula to use median earnings growth with user override
 - add user override cell to FCF for 2008
 - fixed FCF formula</t>
  </si>
  <si>
    <t>5.4.2</t>
  </si>
  <si>
    <t xml:space="preserve"> - added and fixed macros for quick deletion
 - added Enterprise/EBITDA in DCF valuation
 - change to 10yr AA bond rate. Yahoo does not update 20yr rates anymore
 - changed EPS regression in Graham formula to use Median instead of Average
 - included 52 week high and low comparison in Competitors tab
 - fixed Enterprise value per share formula Graham Intrinsic Value tab
 - fixed the latest shares outstanding number for the Price vs Value tab
 - changed to multiple timeframe regression for Graham Intrinsic Value - hid rows
 - changed "Normal Earnings" in Graham tab to take median of more past earnings
 - included tax rate % in statements tab
 - conditional statements to replace Val and Div errors with 0 or null in all tabs 
 - changed references in DCF valuation margins and ratios rather than re-calculate</t>
  </si>
  <si>
    <t>8/31/2009
to
9/30/2009</t>
  </si>
  <si>
    <t>6.0.0</t>
  </si>
  <si>
    <r>
      <t xml:space="preserve"> - </t>
    </r>
    <r>
      <rPr>
        <b/>
        <sz val="10"/>
        <rFont val="Trebuchet MS"/>
        <family val="2"/>
      </rPr>
      <t>new Asset Valuation &amp; EPV valuation sheet
 - new Summary Tab and moved ticker input to Summary</t>
    </r>
    <r>
      <rPr>
        <sz val="10"/>
        <rFont val="Trebuchet MS"/>
        <family val="2"/>
      </rPr>
      <t xml:space="preserve">
 - fixed "figures in millions" text
 - add capex numbers in DCF tab
 - added header
 - put in iserror conditions to remove #VALUE and #NUM errors disrupting calculations
 - changed bond rate for Graham's formula to 20 yr A
 - included % change of from last year for sales, AR and inventory to statements tab
 - new disclaimer and instructions tab
</t>
    </r>
  </si>
  <si>
    <t>6.1.0</t>
  </si>
  <si>
    <t xml:space="preserve"> - included both owner earnings and FCF
 - updated graph in DCF valuation to show owner earnings and FCF
 - corrected Graham formula and adjusted to =7(1.5xG)
 - updated new Reuters URL
 - included override box for Graham EPS</t>
  </si>
  <si>
    <t>6.2.0</t>
  </si>
  <si>
    <t xml:space="preserve"> - changed layout and chart size of summary and DCF tab
 - hid price vs value graph
 - changed trendlines in graphs to use moving average
 - added navigation bar and buttons
 - fixed EPV maintenance capex so that -ve maintenance capex becomes total capex
 - FCF override added to each year
 - FCF yield included in valuation section in summary
 - added Yahoo headlines</t>
  </si>
  <si>
    <t xml:space="preserve">        Avg</t>
  </si>
  <si>
    <t>52 week high</t>
  </si>
  <si>
    <t>52 week low</t>
  </si>
  <si>
    <t>(go to SEC for accurate numbers)</t>
  </si>
  <si>
    <t>BV</t>
  </si>
  <si>
    <t>BV
Multiplier</t>
  </si>
  <si>
    <t>Net Net Value</t>
  </si>
  <si>
    <t xml:space="preserve"> Shares Outstanding</t>
  </si>
  <si>
    <t>Discount to NNWC</t>
  </si>
  <si>
    <t>Net Current Asset Value</t>
  </si>
  <si>
    <t>Discount to NCAV</t>
  </si>
  <si>
    <t>Market Cap and shares outstanding</t>
  </si>
  <si>
    <t>Market Cap</t>
  </si>
  <si>
    <t>Figures in millions except per share data</t>
  </si>
  <si>
    <t>Market Cap &amp; Share Price</t>
  </si>
  <si>
    <t>Numbers as of</t>
  </si>
  <si>
    <t>Total ($m)</t>
  </si>
  <si>
    <t>NNWC</t>
  </si>
  <si>
    <t xml:space="preserve"> Current Assets - Total</t>
  </si>
  <si>
    <t>% change from prev year</t>
  </si>
  <si>
    <t>Shares and EPS</t>
  </si>
  <si>
    <t>User Defined</t>
  </si>
  <si>
    <t>Diluted EPS</t>
  </si>
  <si>
    <t>FCF_select</t>
  </si>
  <si>
    <t>Owner Earnings</t>
  </si>
  <si>
    <t>Current Assets&gt;1.5 times</t>
  </si>
  <si>
    <t>Select FCF</t>
  </si>
  <si>
    <t>Buy Under</t>
  </si>
  <si>
    <t>52 Wk High</t>
  </si>
  <si>
    <t>M.O.S</t>
  </si>
  <si>
    <t>Shares Out.</t>
  </si>
  <si>
    <t>Terminal %</t>
  </si>
  <si>
    <t>52 Wk Low</t>
  </si>
  <si>
    <t>Fiscal Year</t>
  </si>
  <si>
    <t>Shareholder Equity</t>
  </si>
  <si>
    <t>Revenue Growth</t>
  </si>
  <si>
    <t>Earnings Growth</t>
  </si>
  <si>
    <t>Cash from Ops Growth</t>
  </si>
  <si>
    <t>Actual M.O.S</t>
  </si>
  <si>
    <t>5 Year Multi-Year Performance</t>
  </si>
  <si>
    <t>Intrinsic $</t>
  </si>
  <si>
    <t>Sort Order</t>
  </si>
  <si>
    <t>Sort Selection</t>
  </si>
  <si>
    <t>Raw Data</t>
  </si>
  <si>
    <t>5yr Multi Year Performance</t>
  </si>
  <si>
    <t>10 Year Multi-Year Performance</t>
  </si>
  <si>
    <t>10yr Multi Year Performance</t>
  </si>
  <si>
    <t>Select input with each list or enter your own value</t>
  </si>
  <si>
    <t>Selected Data and Formula for Multiyear</t>
  </si>
  <si>
    <t>Terminal Growth</t>
  </si>
  <si>
    <t>Present Value</t>
  </si>
  <si>
    <t>Calculation</t>
  </si>
  <si>
    <t>Tang Shareholder Equity</t>
  </si>
  <si>
    <t>Trend</t>
  </si>
  <si>
    <t>↓","↑</t>
  </si>
  <si>
    <t>Error handling logic</t>
  </si>
  <si>
    <t>Reuters Error</t>
  </si>
  <si>
    <t>Yahoo Error</t>
  </si>
  <si>
    <t>Reu&lt;&gt;Yahoo</t>
  </si>
  <si>
    <t>Shares Out (Retuers) in Mil</t>
  </si>
  <si>
    <t>Shares Out (Yahoo) in Mil</t>
  </si>
  <si>
    <t>Shares Out Error Handling</t>
  </si>
  <si>
    <t>Error exist?</t>
  </si>
  <si>
    <t>Shares Out Notify</t>
  </si>
  <si>
    <t>Shares Outstanding - Reuters &amp; Yahoo</t>
  </si>
  <si>
    <t>10 yr FCF Growth</t>
  </si>
  <si>
    <t>5 yr FCF Growth</t>
  </si>
  <si>
    <t>YOY% Change</t>
  </si>
  <si>
    <t>Diltued EPS</t>
  </si>
  <si>
    <t>10 Yr EPS Growth</t>
  </si>
  <si>
    <t>5 Yr EPS Growth</t>
  </si>
  <si>
    <t>Linest Method</t>
  </si>
  <si>
    <t>Slope</t>
  </si>
  <si>
    <t>R2</t>
  </si>
  <si>
    <t>Forecast Method</t>
  </si>
  <si>
    <t>Linear Regression Method</t>
  </si>
  <si>
    <t>EPS</t>
  </si>
  <si>
    <t>Competitors</t>
  </si>
  <si>
    <t>Corp Bond Rate</t>
  </si>
  <si>
    <t>Bond Rate</t>
  </si>
  <si>
    <t>Corp Bond</t>
  </si>
  <si>
    <t>Linear Progression</t>
  </si>
  <si>
    <t>Forecast method</t>
  </si>
  <si>
    <t>User EPS</t>
  </si>
  <si>
    <t>Forecast Calculation</t>
  </si>
  <si>
    <t>Selecting the Proper EPS for Graph</t>
  </si>
  <si>
    <t>Projection Method</t>
  </si>
  <si>
    <t>Projection</t>
  </si>
  <si>
    <t>Forecast</t>
  </si>
  <si>
    <t>Linear Regression</t>
  </si>
  <si>
    <t>Data for EPS Graph</t>
  </si>
  <si>
    <t>Piotroski F Score</t>
  </si>
  <si>
    <t>Piotroski 9: Asset Turnover</t>
  </si>
  <si>
    <t>Piotroski 8: Gross Margin</t>
  </si>
  <si>
    <t>Piotroski 7: Shares Outstanding</t>
  </si>
  <si>
    <t>Piotroski 6: Current Ratio</t>
  </si>
  <si>
    <t>Piotroski 5: LT Debt vs Assets</t>
  </si>
  <si>
    <t>Piotroski 4: Quality of Earnings</t>
  </si>
  <si>
    <t>Piotroski 3: Return on Assets</t>
  </si>
  <si>
    <t>Piotroski 2: Operating Cash Flow</t>
  </si>
  <si>
    <t>Piotroski 1: Net Income</t>
  </si>
  <si>
    <t>Asset Turnover</t>
  </si>
  <si>
    <t>Gross Income</t>
  </si>
  <si>
    <t>Revenues</t>
  </si>
  <si>
    <t>Shares outstanding</t>
  </si>
  <si>
    <t>LT Debt/Total Assets</t>
  </si>
  <si>
    <t>LT Debt</t>
  </si>
  <si>
    <t>If NA exists</t>
  </si>
  <si>
    <t>Boolean for error detection</t>
  </si>
  <si>
    <t>% off 52Wk Low</t>
  </si>
  <si>
    <t>P/CF</t>
  </si>
  <si>
    <t>EV</t>
  </si>
  <si>
    <t>EV/EBITDA(TTM)</t>
  </si>
  <si>
    <t>Mkt Cap ($M)</t>
  </si>
  <si>
    <t xml:space="preserve">P/E(TTM) </t>
  </si>
  <si>
    <t xml:space="preserve">P/S(TTM) </t>
  </si>
  <si>
    <t xml:space="preserve">P/Tang BV(MRQ) </t>
  </si>
  <si>
    <t xml:space="preserve">P/FCF(TTM) </t>
  </si>
  <si>
    <t>Div Yld</t>
  </si>
  <si>
    <t>Div 5yr Grth</t>
  </si>
  <si>
    <t xml:space="preserve">Payout Ratio(TTM) </t>
  </si>
  <si>
    <t xml:space="preserve">Sales(MRQ) v 1yr ago </t>
  </si>
  <si>
    <t>Sales(TTM) v 1yr ago</t>
  </si>
  <si>
    <t>Sales 5yr Grth</t>
  </si>
  <si>
    <t>EPS(MRQ) v 1yr ago</t>
  </si>
  <si>
    <t xml:space="preserve">EPS(TTM) v 1yr ago </t>
  </si>
  <si>
    <t>Quick Ratio(MRQ)</t>
  </si>
  <si>
    <t>Current Ratio(MRQ)</t>
  </si>
  <si>
    <t xml:space="preserve">LTD/Eq(MRQ) </t>
  </si>
  <si>
    <t xml:space="preserve">Tot D/Eq(MRQ) </t>
  </si>
  <si>
    <t>Gross %(TTM)</t>
  </si>
  <si>
    <t>Gross % 5yr</t>
  </si>
  <si>
    <t xml:space="preserve">Op %(TTM) </t>
  </si>
  <si>
    <t>Op % 5yr avg</t>
  </si>
  <si>
    <t xml:space="preserve">Net %(TTM) </t>
  </si>
  <si>
    <t>Net % 5yr avg</t>
  </si>
  <si>
    <t xml:space="preserve">ROA(TTM) </t>
  </si>
  <si>
    <t>ROA 5yr avg</t>
  </si>
  <si>
    <t xml:space="preserve">ROE(TTM) </t>
  </si>
  <si>
    <t>ROE 5yr avg</t>
  </si>
  <si>
    <t>Rec Turnover(TTM)</t>
  </si>
  <si>
    <t>Inv Turnover(TTM)</t>
  </si>
  <si>
    <t>Asset Turnover(TTM)</t>
  </si>
  <si>
    <t>EPS 5yr Grth</t>
  </si>
  <si>
    <t>Data used when sorting</t>
  </si>
  <si>
    <t>Sorting the row of the selected item from the list</t>
  </si>
  <si>
    <t>Sorted Data</t>
  </si>
  <si>
    <t>Div Yld - 5yr avg</t>
  </si>
  <si>
    <t>Multiples</t>
  </si>
  <si>
    <t>Error checks and Output data</t>
  </si>
  <si>
    <t>Sorted Data and % calculations included</t>
  </si>
  <si>
    <t>Returns</t>
  </si>
  <si>
    <t>Integer values for graphs without %</t>
  </si>
  <si>
    <t>Data to try and eliminate errors when sorting</t>
  </si>
  <si>
    <t>Piotroski F Scores</t>
  </si>
  <si>
    <t>Piotroski Score</t>
  </si>
  <si>
    <t>Enter Competitor Tickers</t>
  </si>
  <si>
    <t>Retained Earnings</t>
  </si>
  <si>
    <t>Total Capitalization</t>
  </si>
  <si>
    <t>Working Capital</t>
  </si>
  <si>
    <t>Market Value of Equity</t>
  </si>
  <si>
    <t>Net Sales</t>
  </si>
  <si>
    <t>x1=</t>
  </si>
  <si>
    <t>x2=</t>
  </si>
  <si>
    <t>x3=</t>
  </si>
  <si>
    <t>x4=</t>
  </si>
  <si>
    <t>x5=</t>
  </si>
  <si>
    <r>
      <t>X1</t>
    </r>
    <r>
      <rPr>
        <sz val="10"/>
        <rFont val="Arial"/>
        <family val="2"/>
      </rPr>
      <t xml:space="preserve"> = Working Capital/Total Assets</t>
    </r>
  </si>
  <si>
    <r>
      <t>X2</t>
    </r>
    <r>
      <rPr>
        <sz val="10"/>
        <rFont val="Arial"/>
        <family val="2"/>
      </rPr>
      <t xml:space="preserve"> = Retained Earnings/Total Assets</t>
    </r>
  </si>
  <si>
    <r>
      <t>X3</t>
    </r>
    <r>
      <rPr>
        <sz val="10"/>
        <rFont val="Arial"/>
        <family val="2"/>
      </rPr>
      <t xml:space="preserve"> = EBITDA/Total Assets</t>
    </r>
  </si>
  <si>
    <r>
      <t>X4</t>
    </r>
    <r>
      <rPr>
        <sz val="10"/>
        <rFont val="Arial"/>
        <family val="2"/>
      </rPr>
      <t xml:space="preserve"> = Market Value of Equity/Total Liabilities</t>
    </r>
  </si>
  <si>
    <r>
      <t>X5</t>
    </r>
    <r>
      <rPr>
        <sz val="10"/>
        <rFont val="Arial"/>
        <family val="2"/>
      </rPr>
      <t xml:space="preserve"> = Net Sales/Total Assets</t>
    </r>
  </si>
  <si>
    <t>Reference no.</t>
  </si>
  <si>
    <t>Altman Z Score</t>
  </si>
  <si>
    <t>The Z-score formula may be used to predict the probability that a firm will go into bankruptcy within two years.
Z-scores are used to predict corporate defaults and an easy-to-calculate control measure for the financial distress status of companies in academic studies. The Z-score uses multiple corporate income and balance sheet values to measure the financial health of a company.
The main problem with the Altman Z formula is that the formula is not suited for many industries. Industries that operate with high leverage, such as radio and utilities will show a higher risk of bankruptcy.
Also, industries with negative working capital, such as many retail and restaurant companies will also exhibit the same high level of bankruptcy.
(Wikipedia http://en.wikipedia.org/wiki/Z-Score_Financial_Analysis_Tool)</t>
  </si>
  <si>
    <t>Z = 1.2*X1 + 1.4*X2 + 3.3*X3 + 0.6*X4 + 1.0*X5</t>
  </si>
  <si>
    <t>Annual</t>
  </si>
  <si>
    <t>MRQ Edit</t>
  </si>
  <si>
    <t>Revised Altman Z</t>
  </si>
  <si>
    <t>X1</t>
  </si>
  <si>
    <t>X2</t>
  </si>
  <si>
    <t>X3</t>
  </si>
  <si>
    <t>X4</t>
  </si>
  <si>
    <t>X5</t>
  </si>
  <si>
    <t>Normal Altman Z</t>
  </si>
  <si>
    <t>Revised Altman Z Score</t>
  </si>
  <si>
    <r>
      <rPr>
        <b/>
        <sz val="10"/>
        <color indexed="23"/>
        <rFont val="Arial"/>
        <family val="2"/>
      </rPr>
      <t>When Z is 2.6 or more</t>
    </r>
    <r>
      <rPr>
        <sz val="10"/>
        <color indexed="23"/>
        <rFont val="Arial"/>
        <family val="2"/>
      </rPr>
      <t>, the firm is most likely safe based on the financial data. However, be careful to double check as fraud, economic downturns and other factors could cause unexpected reversals.</t>
    </r>
  </si>
  <si>
    <r>
      <rPr>
        <b/>
        <sz val="10"/>
        <color indexed="23"/>
        <rFont val="Arial"/>
        <family val="2"/>
      </rPr>
      <t>When Z is 1.1 to 2.6,</t>
    </r>
    <r>
      <rPr>
        <sz val="10"/>
        <color indexed="23"/>
        <rFont val="Arial"/>
        <family val="2"/>
      </rPr>
      <t xml:space="preserve">  the company is probably safe from bankruptcy, but this is in the grey area and caution should be taken.</t>
    </r>
  </si>
  <si>
    <r>
      <rPr>
        <b/>
        <sz val="10"/>
        <color indexed="23"/>
        <rFont val="Arial"/>
        <family val="2"/>
      </rPr>
      <t xml:space="preserve">When Z is below 1.1, </t>
    </r>
    <r>
      <rPr>
        <sz val="10"/>
        <color indexed="23"/>
        <rFont val="Arial"/>
        <family val="2"/>
      </rPr>
      <t>the company is highly likely to be bankrupt. If a company is generating lower than 1.8, serious studies must be performed to ensure the company can survive.</t>
    </r>
  </si>
  <si>
    <t>Original Altman Z Score</t>
  </si>
  <si>
    <t>There is also a revised Altman Z score which is adjusted for non manufacturing corporations. The revised formula is:</t>
  </si>
  <si>
    <r>
      <t xml:space="preserve">A discrete score between 0-9 which reflects nine criteria used to determine the strength of a firm's financial position. The Piotroski score is used to determine the best value stocks, nine being the best. The score was named after Chicago Accounting Professor, Joseph Piotroski who devised the scale according to specific criteria found in the financial statements. For every criteria (below) that is met the company is given one point, if it is not met, then no points are awarded. The points are then added up to determine the best value stocks.
</t>
    </r>
    <r>
      <rPr>
        <b/>
        <sz val="10"/>
        <color indexed="30"/>
        <rFont val="Arial"/>
        <family val="2"/>
      </rPr>
      <t>Profitability</t>
    </r>
    <r>
      <rPr>
        <sz val="10"/>
        <rFont val="Arial"/>
        <family val="2"/>
      </rPr>
      <t xml:space="preserve">
    * Positive return on assets in the current year </t>
    </r>
    <r>
      <rPr>
        <b/>
        <sz val="10"/>
        <rFont val="Arial"/>
        <family val="2"/>
      </rPr>
      <t>(1 point)</t>
    </r>
    <r>
      <rPr>
        <sz val="10"/>
        <rFont val="Arial"/>
        <family val="2"/>
      </rPr>
      <t xml:space="preserve">
    * Positive operating cash flow in the current year </t>
    </r>
    <r>
      <rPr>
        <b/>
        <sz val="10"/>
        <rFont val="Arial"/>
        <family val="2"/>
      </rPr>
      <t>(1 point)</t>
    </r>
    <r>
      <rPr>
        <sz val="10"/>
        <rFont val="Arial"/>
        <family val="2"/>
      </rPr>
      <t xml:space="preserve">
    * Higher return on assets (ROA) in the current period compared to the ROA in the previous year </t>
    </r>
    <r>
      <rPr>
        <b/>
        <sz val="10"/>
        <rFont val="Arial"/>
        <family val="2"/>
      </rPr>
      <t>(1 point)</t>
    </r>
    <r>
      <rPr>
        <sz val="10"/>
        <rFont val="Arial"/>
        <family val="2"/>
      </rPr>
      <t xml:space="preserve">
    * Cash flow from operations are greater than ROA </t>
    </r>
    <r>
      <rPr>
        <b/>
        <sz val="10"/>
        <rFont val="Arial"/>
        <family val="2"/>
      </rPr>
      <t>(1 point)</t>
    </r>
    <r>
      <rPr>
        <sz val="10"/>
        <rFont val="Arial"/>
        <family val="2"/>
      </rPr>
      <t xml:space="preserve">
</t>
    </r>
    <r>
      <rPr>
        <b/>
        <sz val="10"/>
        <rFont val="Arial"/>
        <family val="2"/>
      </rPr>
      <t xml:space="preserve">
</t>
    </r>
    <r>
      <rPr>
        <b/>
        <sz val="10"/>
        <color indexed="30"/>
        <rFont val="Arial"/>
        <family val="2"/>
      </rPr>
      <t>Leverage, Liquidity and Source of Funds</t>
    </r>
    <r>
      <rPr>
        <sz val="10"/>
        <rFont val="Arial"/>
        <family val="2"/>
      </rPr>
      <t xml:space="preserve">
    * Lower ratio of long term debt to in the current period compared value in the previous year </t>
    </r>
    <r>
      <rPr>
        <b/>
        <sz val="10"/>
        <rFont val="Arial"/>
        <family val="2"/>
      </rPr>
      <t>(1 point)</t>
    </r>
    <r>
      <rPr>
        <sz val="10"/>
        <rFont val="Arial"/>
        <family val="2"/>
      </rPr>
      <t xml:space="preserve">
    * Higher current ratio this year compared to the previous year </t>
    </r>
    <r>
      <rPr>
        <b/>
        <sz val="10"/>
        <rFont val="Arial"/>
        <family val="2"/>
      </rPr>
      <t>(1 point)</t>
    </r>
    <r>
      <rPr>
        <sz val="10"/>
        <rFont val="Arial"/>
        <family val="2"/>
      </rPr>
      <t xml:space="preserve">
    * No new shares were issued in the last year </t>
    </r>
    <r>
      <rPr>
        <b/>
        <sz val="10"/>
        <rFont val="Arial"/>
        <family val="2"/>
      </rPr>
      <t>(1 point)</t>
    </r>
    <r>
      <rPr>
        <sz val="10"/>
        <rFont val="Arial"/>
        <family val="2"/>
      </rPr>
      <t xml:space="preserve">
</t>
    </r>
    <r>
      <rPr>
        <b/>
        <sz val="10"/>
        <color indexed="30"/>
        <rFont val="Arial"/>
        <family val="2"/>
      </rPr>
      <t>Operating Efficiency</t>
    </r>
    <r>
      <rPr>
        <sz val="10"/>
        <rFont val="Arial"/>
        <family val="2"/>
      </rPr>
      <t xml:space="preserve">
    * A higher gross margin compared to the previous year </t>
    </r>
    <r>
      <rPr>
        <b/>
        <sz val="10"/>
        <rFont val="Arial"/>
        <family val="2"/>
      </rPr>
      <t>(1 point)</t>
    </r>
    <r>
      <rPr>
        <sz val="10"/>
        <rFont val="Arial"/>
        <family val="2"/>
      </rPr>
      <t xml:space="preserve">
    * A higher asset turnover ratio compared to the previous year </t>
    </r>
    <r>
      <rPr>
        <b/>
        <sz val="10"/>
        <rFont val="Arial"/>
        <family val="2"/>
      </rPr>
      <t>(1 point)</t>
    </r>
  </si>
  <si>
    <r>
      <t xml:space="preserve">Piotroski 1: </t>
    </r>
    <r>
      <rPr>
        <b/>
        <sz val="10"/>
        <color indexed="23"/>
        <rFont val="Arial"/>
        <family val="2"/>
      </rPr>
      <t>Net Income</t>
    </r>
  </si>
  <si>
    <r>
      <t xml:space="preserve">Piotroski 2: </t>
    </r>
    <r>
      <rPr>
        <b/>
        <sz val="11"/>
        <color indexed="23"/>
        <rFont val="Arial"/>
        <family val="2"/>
      </rPr>
      <t>Operating Cash Flow</t>
    </r>
  </si>
  <si>
    <r>
      <t>Piotroski 3:</t>
    </r>
    <r>
      <rPr>
        <b/>
        <sz val="11"/>
        <color indexed="23"/>
        <rFont val="Arial"/>
        <family val="2"/>
      </rPr>
      <t xml:space="preserve"> Return on Assets</t>
    </r>
  </si>
  <si>
    <r>
      <t xml:space="preserve">Piotroski 4: </t>
    </r>
    <r>
      <rPr>
        <b/>
        <sz val="11"/>
        <color indexed="23"/>
        <rFont val="Arial"/>
        <family val="2"/>
      </rPr>
      <t>Quality of Earnings</t>
    </r>
  </si>
  <si>
    <r>
      <t xml:space="preserve">Piotroski 5: </t>
    </r>
    <r>
      <rPr>
        <b/>
        <sz val="11"/>
        <color indexed="23"/>
        <rFont val="Arial"/>
        <family val="2"/>
      </rPr>
      <t>LT Debt vs Assets</t>
    </r>
  </si>
  <si>
    <r>
      <t xml:space="preserve">Piotroski 6: </t>
    </r>
    <r>
      <rPr>
        <b/>
        <sz val="11"/>
        <color indexed="23"/>
        <rFont val="Arial"/>
        <family val="2"/>
      </rPr>
      <t>Current Ratio</t>
    </r>
  </si>
  <si>
    <r>
      <t xml:space="preserve">Piotroski 7: </t>
    </r>
    <r>
      <rPr>
        <b/>
        <sz val="11"/>
        <color indexed="23"/>
        <rFont val="Arial"/>
        <family val="2"/>
      </rPr>
      <t>Shares Outstanding</t>
    </r>
  </si>
  <si>
    <r>
      <t xml:space="preserve">Piotroski 8: </t>
    </r>
    <r>
      <rPr>
        <b/>
        <sz val="11"/>
        <color indexed="23"/>
        <rFont val="Arial"/>
        <family val="2"/>
      </rPr>
      <t>Gross Margin</t>
    </r>
  </si>
  <si>
    <r>
      <t xml:space="preserve">Piotroski 9: </t>
    </r>
    <r>
      <rPr>
        <b/>
        <sz val="11"/>
        <color indexed="23"/>
        <rFont val="Arial"/>
        <family val="2"/>
      </rPr>
      <t>Asset Turnover</t>
    </r>
  </si>
  <si>
    <r>
      <rPr>
        <b/>
        <sz val="11"/>
        <color indexed="23"/>
        <rFont val="Arial"/>
        <family val="2"/>
      </rPr>
      <t>When Z is 3.0 or more</t>
    </r>
    <r>
      <rPr>
        <sz val="11"/>
        <color indexed="23"/>
        <rFont val="Arial"/>
        <family val="2"/>
      </rPr>
      <t>, the firm is most likely safe based on the financial data. However, be careful to double check as fraud, economic downturns and other factors could cause unexpected reversals.</t>
    </r>
  </si>
  <si>
    <r>
      <rPr>
        <b/>
        <sz val="11"/>
        <color indexed="23"/>
        <rFont val="Arial"/>
        <family val="2"/>
      </rPr>
      <t>When Z is 2.7 to 3.0</t>
    </r>
    <r>
      <rPr>
        <sz val="11"/>
        <color indexed="23"/>
        <rFont val="Arial"/>
        <family val="2"/>
      </rPr>
      <t>, the company is probably safe from bankruptcy, but this is in the grey area and caution should be taken.</t>
    </r>
  </si>
  <si>
    <r>
      <rPr>
        <b/>
        <sz val="11"/>
        <color indexed="23"/>
        <rFont val="Arial"/>
        <family val="2"/>
      </rPr>
      <t>When Z is 1.8 to 2.7</t>
    </r>
    <r>
      <rPr>
        <sz val="11"/>
        <color indexed="23"/>
        <rFont val="Arial"/>
        <family val="2"/>
      </rPr>
      <t>, the company is likely to be bankrupt within 2 years. This is the lower portion of the grey area and a dramatic turnaround of the company is needed.</t>
    </r>
  </si>
  <si>
    <r>
      <rPr>
        <b/>
        <sz val="11"/>
        <color indexed="23"/>
        <rFont val="Arial"/>
        <family val="2"/>
      </rPr>
      <t>When Z is below 1.8</t>
    </r>
    <r>
      <rPr>
        <sz val="11"/>
        <color indexed="23"/>
        <rFont val="Arial"/>
        <family val="2"/>
      </rPr>
      <t>, the company is highly likely to be bankrupt. If a company is generating lower than 1.8, serious studies must be performed to ensure the company can survive.</t>
    </r>
  </si>
  <si>
    <t>Z = 6.56*X1 + 3.26*X2 + 6.72*X3 + 1.05*X4</t>
  </si>
  <si>
    <t>Market Value of Equity ($000)</t>
  </si>
  <si>
    <r>
      <rPr>
        <b/>
        <sz val="10"/>
        <color indexed="30"/>
        <rFont val="Arial"/>
        <family val="2"/>
      </rPr>
      <t>X2</t>
    </r>
    <r>
      <rPr>
        <sz val="10"/>
        <rFont val="Arial"/>
        <family val="2"/>
      </rPr>
      <t xml:space="preserve"> = Retained Earnings/Total Assets</t>
    </r>
  </si>
  <si>
    <r>
      <rPr>
        <b/>
        <sz val="10"/>
        <color indexed="30"/>
        <rFont val="Arial"/>
        <family val="2"/>
      </rPr>
      <t>X1</t>
    </r>
    <r>
      <rPr>
        <sz val="10"/>
        <rFont val="Arial"/>
        <family val="2"/>
      </rPr>
      <t xml:space="preserve"> = Working Capital/Total Assets</t>
    </r>
  </si>
  <si>
    <r>
      <rPr>
        <b/>
        <sz val="10"/>
        <color indexed="30"/>
        <rFont val="Arial"/>
        <family val="2"/>
      </rPr>
      <t>X3</t>
    </r>
    <r>
      <rPr>
        <sz val="10"/>
        <rFont val="Arial"/>
        <family val="2"/>
      </rPr>
      <t xml:space="preserve"> = EBITDA/Total Assets</t>
    </r>
  </si>
  <si>
    <r>
      <rPr>
        <b/>
        <sz val="10"/>
        <color indexed="30"/>
        <rFont val="Arial"/>
        <family val="2"/>
      </rPr>
      <t>X4</t>
    </r>
    <r>
      <rPr>
        <sz val="10"/>
        <rFont val="Arial"/>
        <family val="2"/>
      </rPr>
      <t xml:space="preserve"> = Market Value of Equity/Total Liabilities</t>
    </r>
  </si>
  <si>
    <r>
      <rPr>
        <b/>
        <sz val="10"/>
        <color indexed="30"/>
        <rFont val="Arial"/>
        <family val="2"/>
      </rPr>
      <t>X5</t>
    </r>
    <r>
      <rPr>
        <sz val="10"/>
        <rFont val="Arial"/>
        <family val="2"/>
      </rPr>
      <t xml:space="preserve"> = Net Sales/Total Assets</t>
    </r>
  </si>
  <si>
    <t>Normal Altman Z Score</t>
  </si>
  <si>
    <t>Testing to see if value exists</t>
  </si>
  <si>
    <t>Error checking &amp; ouput data</t>
  </si>
  <si>
    <t>EPV Data Source</t>
  </si>
  <si>
    <t>EPV R&amp;D</t>
  </si>
  <si>
    <t>EPV SGA</t>
  </si>
  <si>
    <t>EPV Multiplier</t>
  </si>
  <si>
    <t>Reproduction Liability Value</t>
  </si>
  <si>
    <t>Source</t>
  </si>
  <si>
    <t>Fixed BV</t>
  </si>
  <si>
    <t>+/- BV</t>
  </si>
  <si>
    <t>R&amp;D Years</t>
  </si>
  <si>
    <t xml:space="preserve">Shares Outstanding  </t>
  </si>
  <si>
    <t>MSN Asset Valuation Data Output</t>
  </si>
  <si>
    <t>ADVFN Asset Valuation Data Output</t>
  </si>
  <si>
    <t>Selected Data from Morningstar Data</t>
  </si>
  <si>
    <t>Average SGA %</t>
  </si>
  <si>
    <t xml:space="preserve"> Total Liabilities &amp; Equity</t>
  </si>
  <si>
    <t>Data: Asset Valuation</t>
  </si>
  <si>
    <t>Calculation: Asset Valuation</t>
  </si>
  <si>
    <t>EPV Income</t>
  </si>
  <si>
    <t>Values for Normalized Income</t>
  </si>
  <si>
    <t>Data: EPV</t>
  </si>
  <si>
    <t>+ Cash - Debt</t>
  </si>
  <si>
    <t>Do No Use for Manual Input Anymore</t>
  </si>
  <si>
    <t>Calculation: EPV</t>
  </si>
  <si>
    <t>SG&amp;A %</t>
  </si>
  <si>
    <t>Asset Valuation Section</t>
  </si>
  <si>
    <t>EPV Valuation Section</t>
  </si>
  <si>
    <t>Net Reproduction Value</t>
  </si>
  <si>
    <t>Adjustments:
Assets</t>
  </si>
  <si>
    <t>Adjustments:
Liabilities &amp; Equity</t>
  </si>
  <si>
    <t>Graham Value Calculation</t>
  </si>
  <si>
    <t>Raw Data &amp; Ouput</t>
  </si>
  <si>
    <t xml:space="preserve">     Accounts Receivable</t>
  </si>
  <si>
    <t xml:space="preserve">     Other Receivable</t>
  </si>
  <si>
    <t xml:space="preserve">      Marketable Securities</t>
  </si>
  <si>
    <t>NNWC %</t>
  </si>
  <si>
    <t>NCAV %</t>
  </si>
  <si>
    <t xml:space="preserve">P/Tang.B (MRQ) </t>
  </si>
  <si>
    <t>Thank you for using the Old School Value Stock Valuation Spreadsheets.
Nothing on Old School Value, related pages, emails, or other communications by the author, either written or oral, are intended to be a recommendation to either buy, hold, or sell any specific security or group of securities. Likewise, nothing herein should be construed as an endorsement of any financial adviser, investment manager, commercial information provider, transaction service, or brokerage firm.
The findings from this spreadsheet is merely a start to a means of further research and uncovering a great business and investment. Old School Value holds no responsibility for any investment whatsoever.</t>
  </si>
  <si>
    <t>Financial Statements</t>
  </si>
  <si>
    <t>Dashboard</t>
  </si>
  <si>
    <r>
      <t xml:space="preserve">Dashboard
----------------------------------------------------------------------
</t>
    </r>
    <r>
      <rPr>
        <b/>
        <sz val="10"/>
        <rFont val="Arial"/>
        <family val="2"/>
      </rPr>
      <t>Overview:</t>
    </r>
    <r>
      <rPr>
        <sz val="10"/>
        <rFont val="Arial"/>
        <family val="2"/>
      </rPr>
      <t xml:space="preserve"> The dashboard does not control anything, so unless you want to include/exclude numbers or graphs, do not edit the formulas, layout or formatting of the dashboard.
</t>
    </r>
    <r>
      <rPr>
        <b/>
        <sz val="10"/>
        <rFont val="Arial"/>
        <family val="2"/>
      </rPr>
      <t>Inputs:</t>
    </r>
    <r>
      <rPr>
        <sz val="10"/>
        <rFont val="Arial"/>
        <family val="2"/>
      </rPr>
      <t xml:space="preserve"> The only manual input required is for the spider graph. Enter a number from 0-5 for low risk, high growth, under valued, well managed, Good financial health, strong moat.
You are able to print the dashboard. It has been preset to fit on one page.</t>
    </r>
  </si>
  <si>
    <t>EPV MOS</t>
  </si>
  <si>
    <t>Total liabilities</t>
  </si>
  <si>
    <t>Short term debt</t>
  </si>
  <si>
    <t>Long term debt</t>
  </si>
  <si>
    <t>FCF/Total Debt</t>
  </si>
  <si>
    <t>FCF/STD</t>
  </si>
  <si>
    <t>FCF/LTD</t>
  </si>
  <si>
    <t>FCF to Total Debt</t>
  </si>
  <si>
    <t>FCF to Short Term Debt</t>
  </si>
  <si>
    <t>FCF to Long Term Debt</t>
  </si>
  <si>
    <t>Prices</t>
  </si>
  <si>
    <t>Normalized</t>
  </si>
  <si>
    <t>Output</t>
  </si>
  <si>
    <t>Annual Financial Statements
----------------------------------------------------------------------
Retrieves the annual financial statements from Morningstar.com 
Click on the "Enter Ticker" button and enter a single ticker only. All the values will be retrieved from the website.
If you are getting errors, it may be because
1. the data for that ticker does not exist
2. financial stocks will result in errors
3. you need to have a cookie loaded. Use INTERNET EXPLORER, not other browsers, go to morningstar.com and enter a ticker. This should save a cookie that Excel can work with.
Inputs: If the cash flow numbers are incorrect, you can override the default values with the yellow cells. Do not type in any other cell except the yellow cells.</t>
  </si>
  <si>
    <t xml:space="preserve">Discounted Cash Flow Valuation
----------------------------------------------------------------------
Inputs: All user inputs are at the top of the page. Enter values into the yellow boxes only. Some of the user inputs require you to select an option using the drop down list.
Shares outstanding: The shares outstanding number displayed is from either yahoo or Reuters. If the numbers from Yahoo and Reuters do not match, a red box will appear that shows "Check Shares". If this is the case, then go Google Finance or some other site and check the shares outstanding is correct.
All the other pages will use the shares outstanding from the DCF page. Enter a override on this page only.
=== Inputs ===
MOS: Margin of safety.
Growth: Choose either growth from the 5 year multi year perforamnce figures or the 10 year multi year figures.
Discount %: Choose the discount rate from the drop down list. The first value in the list is the risk free rate and the 2nd is the WACC. The rest are hard coded values.
Terminal %: Set the terminal rate of growt to use in the DCF.
Select FCF: Choose whether you want to use FCF or Owner earnings in the DCF calculation.
Adjust FCF: If you feel the prior year FCF number is too high or low, enter your estimate in the yellow box. </t>
  </si>
  <si>
    <t>Benjamin Graham Valuation
----------------------------------------------------------------------
Calculates the intrinsic value of a stock based on the formula devised by Benjamin Graham in The Intelligent Investor.
The original formula is
P = ProjEPS * (8.5 + (2*G)) * (4.4/AAA yield)
However, the formula has been edited to be conservative as it has been found that the original formula provides valuation figures in the upper range.
The revised formula is
P = ProjEPS * (7 + (1.5*G)) * (4.4/AAA yield)
P = the intrinsic value of the company's stock
ProjEPS = the projected earnings per share
7 = PE of no growth stock
1.5*G = G is the long-term projected growth rate of a company's EPS
4.4 = Graham's benchmark for a required rate of return to invest
AAA yield = AAA corporate bonds
===Inputs===
Shares out: Do not edit this box. The number is retrieved from the DCF valuation tab. Edit the shares outstanding from the DCF valuation tab.
MOS: Select the desired level of Margin of Safety required for the buy price.
Growth: A list with 2 values. The first being the 5 year median EPS growth by using a rolling median calculation. The 2nd is the 10 year rolling median EPS growth rate.
Projection: Select "Forecast" or "Linear regression" to select which EPS number to use in the calculation.
EPS: Changes based on the "Projection" type. Enter a value in the yellow box to override the default calculated EPS.
Corp Bond: AAA corp bond rate from Bloomberg and Yahoo. Select one from the list that does not show an error.</t>
  </si>
  <si>
    <t>Net Net</t>
  </si>
  <si>
    <t>Charts</t>
  </si>
  <si>
    <t>Earnings Power Value
----------------------------------------------------------------------
Probably the most difficult valuation method to grasp at first.
EPV is made of two sections.
1. Asset Reproduction
2. Earnings Power
=== Asset Reproduction ===
Think of asset reproduction as the amount of assets a competitor must own by borrowing, buying or creating to compete against a competitor.
e.g. A new car maker must first obtain assets to design cars, factories for assembly lines, money to pay capex, inventory to make cars etc.
A business cannot be started with 0 assets.
The simple way to calculate the asset reproduction is to use the book value.
In the spreadsheet, adjust the items in the balance sheet to account for whether the value of the asset would be less or m ore.
E.g. A competitor to Microsoft would need to spend a significant amount of money to increase brand awareness. On the balance sheet, this is called intangibles, but for a new competitor, it equates to money.
=== EPV Valation ===
The valuation is performed assuming the company is in a no growth situation. The EPV method only calculates the value for only one specific period of time. i.e. EPV value will change every quarter with every new financial statement that is released.
The income statement is adjusted to remove peaks and troughs in the income. The normalized income is used to calculate the EPV.
EPV = Adjusted income/Cost of Capital
then add cash and subtract debt to get the final EPV value per share.
=== How to Interpret ===
1. EPV &gt; Asset Reproduction
Company likely has a competitive advantage and management is effectively utilizing the value of the assets to generate higher revenues from a lower asset base.
2. EPV &lt; Asset Reproduction
Company has no competitive advantage. Management cannot earn the expected level of earnings from the assets.
3. EPV = Asset Reproduction
Industry has no competitive advantages. Manufacturing companies and retail operations are good examples. The value of the assets returns the same amount of revenue.
=== Inputs ===
Asset Valuation section: Basic figures calculated from the balance sheet used to calculate the reproduction value.
EPV Valuation section: Basic figures calculated from the income statement to calcualte the Earnings Power Value.
Adjustments section: Make adjustments manually to increase or decrease the stated book value.
In the Asset Adjustment section, under the "+/- BV" column, only enter the amount you wish to add or subtract by. DO NOT enter the actual real value you want to use.
In the Liabilities Adjustment section, under the "Fixed BV" column, enter the actual value you wish to override with.
Shares out: Do not change anything on this page. Update the shares oustanding value in the DCF valation page only.
Source: Choose between ADVFN and MSN as the source for the balance sheet data.
Normalized Income: The adjustment income which can be changed.
Discount rate: Also the same as Cost of Capital.
R&amp;D Years: A certain amount of R&amp;D leads to revenues. Choose whether to include 3 years or 4 years worth of R&amp;D.
SG&amp;A %: A certain amount of SG&amp;A also leads to income. Select the amount you wish to use.</t>
  </si>
  <si>
    <t>Net Receivables</t>
  </si>
  <si>
    <t>Current Assets (CA)</t>
  </si>
  <si>
    <t>PPE (Net)</t>
  </si>
  <si>
    <t>Depreciation</t>
  </si>
  <si>
    <t>SGA Expense</t>
  </si>
  <si>
    <t>Net Income (before Xitems)</t>
  </si>
  <si>
    <t>CFO (Cash flow from operations)</t>
  </si>
  <si>
    <t>Long-term Debt</t>
  </si>
  <si>
    <t>DERIVED VARIABLES</t>
  </si>
  <si>
    <t>Other L/T Assets [TA-(CA+PPE)]</t>
  </si>
  <si>
    <t>DSRI</t>
  </si>
  <si>
    <t>GMI</t>
  </si>
  <si>
    <t>AQI</t>
  </si>
  <si>
    <t>SGI</t>
  </si>
  <si>
    <t>DEPI</t>
  </si>
  <si>
    <t>SGAI</t>
  </si>
  <si>
    <t>TATA</t>
  </si>
  <si>
    <t>LVGI</t>
  </si>
  <si>
    <t>M  = -6.065+ .823 DSRI + .906 GMI + .593 AQI + .717 SGI + .107 DEPI</t>
  </si>
  <si>
    <t>M-score (5-variable model)</t>
  </si>
  <si>
    <t>M  = -4.84 + .920 DSRI + .528 GMI + .404 AQI + .892 SGI + .115 DEPI -.172 SGAI  + 4.679 Accrual to TA  - .327 Leverage</t>
  </si>
  <si>
    <t xml:space="preserve">     </t>
  </si>
  <si>
    <t>M-score (8-variable model)</t>
  </si>
  <si>
    <t>Error Checking</t>
  </si>
  <si>
    <t>5 Variable Model Output</t>
  </si>
  <si>
    <t>8 Variable Model Output</t>
  </si>
  <si>
    <t>Output Data</t>
  </si>
  <si>
    <r>
      <rPr>
        <b/>
        <sz val="10"/>
        <color indexed="30"/>
        <rFont val="Arial"/>
        <family val="2"/>
      </rPr>
      <t>DSRI</t>
    </r>
    <r>
      <rPr>
        <sz val="10"/>
        <rFont val="Arial"/>
        <family val="2"/>
      </rPr>
      <t xml:space="preserve"> = Days' Sales in Receivables Index. Measured as the ratio of days' sales in receivables in year t to year t-1. A large increase in DSR could be indicative of revenue inflation.
</t>
    </r>
    <r>
      <rPr>
        <b/>
        <sz val="10"/>
        <color indexed="30"/>
        <rFont val="Arial"/>
        <family val="2"/>
      </rPr>
      <t>GMI</t>
    </r>
    <r>
      <rPr>
        <sz val="10"/>
        <rFont val="Arial"/>
        <family val="2"/>
      </rPr>
      <t xml:space="preserve"> = Gross Margin Index. Measured as the ratio of gross margin in year t-1 to gross margin in year t. Gross margin has deteriorated when this index is above 1. A firm with poorer prospects is more likely to manipulate earnings.
</t>
    </r>
    <r>
      <rPr>
        <b/>
        <sz val="10"/>
        <color indexed="30"/>
        <rFont val="Arial"/>
        <family val="2"/>
      </rPr>
      <t>AQI</t>
    </r>
    <r>
      <rPr>
        <sz val="10"/>
        <rFont val="Arial"/>
        <family val="2"/>
      </rPr>
      <t xml:space="preserve"> = Asset Quality Index. Asset quality is measured as the ratio of non-current assets other than plant, property and equipment to total assets.AQI is the ratio of asset quality in year t to year t-1.
</t>
    </r>
    <r>
      <rPr>
        <b/>
        <sz val="10"/>
        <color indexed="30"/>
        <rFont val="Arial"/>
        <family val="2"/>
      </rPr>
      <t>SGI</t>
    </r>
    <r>
      <rPr>
        <sz val="10"/>
        <rFont val="Arial"/>
        <family val="2"/>
      </rPr>
      <t xml:space="preserve"> = Sales Growth Index. Ratio of sales in year t to sales in year t-1. Sales growth is not itself a measure of manipulation. However, growth companies are likely to find themselves under pressure to manipulate in order to keep up appearances.
</t>
    </r>
    <r>
      <rPr>
        <b/>
        <sz val="10"/>
        <color indexed="30"/>
        <rFont val="Arial"/>
        <family val="2"/>
      </rPr>
      <t>DEPI</t>
    </r>
    <r>
      <rPr>
        <sz val="10"/>
        <rFont val="Arial"/>
        <family val="2"/>
      </rPr>
      <t xml:space="preserve"> = Depreciation Index. Measured as the ratio of the rate of depreciation in year t-1 to the corresponding rate in year t. DEPI greater than 1 indicates that assets are being depreciated at a slower rate. This suggests that the firm might be revising useful asset life assumptions upwards, or adopting a new method that is income friendly.
</t>
    </r>
    <r>
      <rPr>
        <b/>
        <sz val="10"/>
        <color indexed="30"/>
        <rFont val="Arial"/>
        <family val="2"/>
      </rPr>
      <t>SGAI</t>
    </r>
    <r>
      <rPr>
        <sz val="10"/>
        <rFont val="Arial"/>
        <family val="2"/>
      </rPr>
      <t xml:space="preserve"> = Sales, General and Administrative expenses Index. The ratio of SGA expenses in year t relative to year t -1.
</t>
    </r>
    <r>
      <rPr>
        <b/>
        <sz val="10"/>
        <color indexed="30"/>
        <rFont val="Arial"/>
        <family val="2"/>
      </rPr>
      <t>LVGI</t>
    </r>
    <r>
      <rPr>
        <sz val="10"/>
        <rFont val="Arial"/>
        <family val="2"/>
      </rPr>
      <t xml:space="preserve"> = Leverage Index. The ratio of total debt to total assets in year t relative to yeat t-1. An LVGI &gt;1 indicates an increase in leverage
</t>
    </r>
    <r>
      <rPr>
        <b/>
        <sz val="10"/>
        <color indexed="30"/>
        <rFont val="Arial"/>
        <family val="2"/>
      </rPr>
      <t>TATA</t>
    </r>
    <r>
      <rPr>
        <sz val="10"/>
        <rFont val="Arial"/>
        <family val="2"/>
      </rPr>
      <t xml:space="preserve"> - Total Accruals to Total Assets. Total accruals calculated as the change in working capital accounts other than cash less depreciation.</t>
    </r>
  </si>
  <si>
    <r>
      <rPr>
        <b/>
        <sz val="12"/>
        <color indexed="53"/>
        <rFont val="Arial"/>
        <family val="2"/>
      </rPr>
      <t>The Beneish M Score Formula</t>
    </r>
    <r>
      <rPr>
        <sz val="10"/>
        <rFont val="Arial"/>
        <family val="2"/>
      </rPr>
      <t xml:space="preserve">
The eight variables are then weighted together according to the following:
</t>
    </r>
    <r>
      <rPr>
        <b/>
        <i/>
        <sz val="10"/>
        <rFont val="Arial"/>
        <family val="2"/>
      </rPr>
      <t>M = -4.84 + 0.92*DSRI + 0.528*GMI + 0.404*AQI + 0.892*SGI + 0.115*DEPI - 0.172*SGAI + 4.679*TATA - 0.327*LVGI</t>
    </r>
    <r>
      <rPr>
        <sz val="10"/>
        <rFont val="Arial"/>
        <family val="2"/>
      </rPr>
      <t xml:space="preserve">
A score greater than -2.22 indicates a strong likelihood of a firm being a manipulator. In his out of sample tests, Beneish found that he could correctly identify 76% of manipulators, whilst only incorrectly identifying 17.5% of non-manipulators.</t>
    </r>
  </si>
  <si>
    <r>
      <rPr>
        <b/>
        <sz val="12"/>
        <color indexed="53"/>
        <rFont val="Arial"/>
        <family val="2"/>
      </rPr>
      <t>The 5 Variable Version of the Beneish Model</t>
    </r>
    <r>
      <rPr>
        <sz val="10"/>
        <rFont val="Arial"/>
        <family val="2"/>
      </rPr>
      <t xml:space="preserve">
The five variable version excludes SGAI, DEPI and LEVI which were not significant in the original Beneish model.
</t>
    </r>
    <r>
      <rPr>
        <b/>
        <i/>
        <sz val="10"/>
        <rFont val="Arial"/>
        <family val="2"/>
      </rPr>
      <t xml:space="preserve">
M  = -6.065 + 0.823*DSRI + 0.906*GMI + 0.593*AQI + 0.717*SGI + 0.107*DEPI
</t>
    </r>
    <r>
      <rPr>
        <sz val="10"/>
        <rFont val="Arial"/>
        <family val="2"/>
      </rPr>
      <t>A score greater than -2.22 indicates a strong likelihood of a firm being a manipulator.</t>
    </r>
  </si>
  <si>
    <t>The Beneish Model - M Score Variables</t>
  </si>
  <si>
    <t>Output Variables</t>
  </si>
  <si>
    <t>NA</t>
  </si>
  <si>
    <t>M Score - 5 Variable</t>
  </si>
  <si>
    <t>M Score - 8 Variable</t>
  </si>
  <si>
    <t>Interest Income</t>
  </si>
  <si>
    <t>Other Income (expense)</t>
  </si>
  <si>
    <t>Interest expense</t>
  </si>
  <si>
    <t>Income Before Taxes</t>
  </si>
  <si>
    <t>Net Income: Cont. Operations</t>
  </si>
  <si>
    <t>EPS: Basic</t>
  </si>
  <si>
    <t>EPS: Diluted</t>
  </si>
  <si>
    <t>Shares: Basic</t>
  </si>
  <si>
    <t>Shares: Diluted</t>
  </si>
  <si>
    <t>Restructuring &amp; M&amp;A</t>
  </si>
  <si>
    <t>Other Operating Expense</t>
  </si>
  <si>
    <t>Shareholds Equity</t>
  </si>
  <si>
    <t>QTR</t>
  </si>
  <si>
    <t>Other Special Charges</t>
  </si>
  <si>
    <t>Capital Expenditure</t>
  </si>
  <si>
    <t>FCF / Sales</t>
  </si>
  <si>
    <t>Price / FCF</t>
  </si>
  <si>
    <t>FCF Yield</t>
  </si>
  <si>
    <t>Piotroski F score</t>
  </si>
  <si>
    <t>Beneish M Score - 5 Variable Version</t>
  </si>
  <si>
    <t>Beneish M Score - 8 Variable Version</t>
  </si>
  <si>
    <t>Cash Return on Invested Capital (CROIC)</t>
  </si>
  <si>
    <t xml:space="preserve"> ===== Basic Stats =====</t>
  </si>
  <si>
    <t xml:space="preserve"> ===== Performance Metrics =====</t>
  </si>
  <si>
    <t xml:space="preserve"> ===== Margins =====</t>
  </si>
  <si>
    <t xml:space="preserve"> ===== Health Scores =====</t>
  </si>
  <si>
    <t xml:space="preserve"> ===== Balance Sheet Health =====</t>
  </si>
  <si>
    <t xml:space="preserve"> ===== Tax &amp; Debt Ratio =====</t>
  </si>
  <si>
    <t>Earnings Yld (TTM)</t>
  </si>
  <si>
    <t>Piotroski (TTM)</t>
  </si>
  <si>
    <t>Beneish (TTM)</t>
  </si>
  <si>
    <t>Altman (MRQ)</t>
  </si>
  <si>
    <t>Net Net Working Capital
----------------------------------------------------------------------
Ben Graham's definition of net net, commonly known as NCAV (Net Current Asset Value) and NNWC (Net Net Working Capital).
Net Net Working Capital = Cash and short-term investments + (0.75 * accounts receivable) + (0.5 * inventory) – total liabilities</t>
  </si>
  <si>
    <t>Piotroski F Score
----------------------------------------------------------------------
A discrete score between 0-9 which reflects nine criteria used to determine the strength of a firm's financial position. The Piotroski score is used to determine the best value stocks, nine being the best. The score was named after Chicago Accounting Professor, Joseph Piotroski who devised the scale according to specific criteria found in the financial statements. For every criteria (below) that is met the company is given one point, if it is not met, then no points are awarded. The points are then added up to determine the best value stocks.
Profitability
    * Positive return on assets in the current year (1 point)
    * Positive operating cash flow in the current year (1 point)
    * Higher return on assets (ROA) in the current period compared to the ROA in the previous year (1 point)
    * Cash flow from operations are greater than ROA (1 point)
Leverage, Liquidity and Source of Funds
    * Lower ratio of long term debt to in the current period compared value in the previous year (1 point)
    * Higher current ratio this year compared to the previous year (1 point)
    * No new shares were issued in the last year (1 point)
Operating Efficiency
    * A higher gross margin compared to the previous year (1 point)
    * A higher asset turnover ratio compared to the previous year (1 point)</t>
  </si>
  <si>
    <t>Beneish M Score</t>
  </si>
  <si>
    <t>Piotroski F Score
----------------------------------------------------------------------
The Z-score formula may be used to predict the probability that a firm will go into bankruptcy within two years.
Z-scores are used to predict corporate defaults and an easy-to-calculate control measure for the financial distress status of companies in academic studies. The Z-score uses multiple corporate income and balance sheet values to measure the financial health of a company.
The main problem with the Altman Z formula is that the formula is not suited for many industries. Industries that operate with high leverage, such as radio and utilities will show a higher risk of bankruptcy.
Also, industries with negative working capital, such as many retail and restaurant companies will also exhibit the same high level of bankruptcy.</t>
  </si>
  <si>
    <t>Beneish M Score
----------------------------------------------------------------------
The M score is to detect earnings manipulation.
DSRI = Days' Sales in Receivables Index. Measured as the ratio of days' sales in receivables in year t to year t-1. A large increase in DSR could be indicative of revenue inflation.
GMI = Gross Margin Index. Measured as the ratio of gross margin in year t-1 to gross margin in year t. Gross margin has deteriorated when this index is above 1. A firm with poorer prospects is more likely to manipulate earnings.
AQI = Asset Quality Index. Asset quality is measured as the ratio of non-current assets other than plant, property and equipment to total assets.AQI is the ratio of asset quality in year t to year t-1.
SGI = Sales Growth Index. Ratio of sales in year t to sales in year t-1. Sales growth is not itself a measure of manipulation. However, growth companies are likely to find themselves under pressure to manipulate in order to keep up appearances.
DEPI = Depreciation Index. Measured as the ratio of the rate of depreciation in year t-1 to the corresponding rate in year t. DEPI greater than 1 indicates that assets are being depreciated at a slower rate. This suggests that the firm might be revising useful asset life assumptions upwards, or adopting a new method that is income friendly.
SGAI = Sales, General and Administrative expenses Index. The ratio of SGA expenses in year t relative to year t -1.
LVGI = Leverage Index. The ratio of total debt to total assets in year t relative to yeat t-1. An LVGI &gt;1 indicates an increase in leverage
TATA - Total Accruals to Total Assets. Total accruals calculated as the change in working capital accounts other than cash less depreciation.</t>
  </si>
  <si>
    <t>Competitor Comparison Chart
----------------------------------------------------------------------
Compare up to 5 competitors.
Enter the competition ticker in the yellow box and press refresh.
From the drop down list, select an item to sort the competitors according to the selection. E.g. if ROE is selected, the competitors will be sorted in order of ROE.</t>
  </si>
  <si>
    <t>Fundmental Charts
----------------------------------------------------------------------
Over 30 charts. Select the chart title to bring up a drop down list. Then make a selection to load the graph.
Depending the on graph, the data values in the table below the graph may need number formatting.</t>
  </si>
  <si>
    <t>12/14/2009 - 07/01/2010</t>
  </si>
  <si>
    <t>v20100701</t>
  </si>
  <si>
    <t xml:space="preserve"> - New design, color scheme, graphs
 - each valuation has its own datasheet
 - added Stock DB sheet
 - change Graham EPS to use the projected next year number to use with the new Graham formula
 - added FCF inc/ working capital and growth to the DCF page
 - fixed EPV user adjusted EBIT
 - fixed clear buttons to use variable names
 - added clear all EPV button
 - added ticker form - clears all data and resizes spreadsheet to 85%
 - Updated graphs on summary page and DCF valuation
 - fixed EPV tab. MSN already accounts for stocks in cash and equiv so forced it to be 0 and summed cash and stocks
 - changed shares oustanding to include error handling
 - added NetNet tab
 - fixed EPV valuation to use EBIT (operating income) instead of EBT
 - include Piotroski, Altman Z and Beneish model
 - new competitor tab and charts
 - combined 10yr and 5yr growth and numbers in DCF valuation
 - made Graham bond rate into a list
 - statements now refers to ADVFN since morningstar has changed its website
 - help sheet</t>
  </si>
  <si>
    <t>KO</t>
  </si>
</sst>
</file>

<file path=xl/styles.xml><?xml version="1.0" encoding="utf-8"?>
<styleSheet xmlns="http://schemas.openxmlformats.org/spreadsheetml/2006/main">
  <numFmts count="22">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_(&quot;$&quot;* #,##0.0_);_(&quot;$&quot;* \(#,##0.0\);_(&quot;$&quot;* &quot;-&quot;?_);_(@_)"/>
    <numFmt numFmtId="166" formatCode="_(\$* #,##0.00_);_(\$* \(#,##0.00\);_(\$* &quot;-&quot;??_);_(@_)"/>
    <numFmt numFmtId="167" formatCode="_(* #,##0.0_);_(* \(#,##0.0\);_(* &quot;-&quot;?_);_(@_)"/>
    <numFmt numFmtId="168" formatCode="#,##0.0"/>
    <numFmt numFmtId="169" formatCode="&quot;$&quot;#,##0.0_);\(&quot;$&quot;#,##0.0\)"/>
    <numFmt numFmtId="170" formatCode="0.0"/>
    <numFmt numFmtId="171" formatCode="m/d/yyyy;@"/>
    <numFmt numFmtId="172" formatCode="0.000"/>
    <numFmt numFmtId="173" formatCode="&quot;$&quot;#,##0.00"/>
    <numFmt numFmtId="174" formatCode="&quot;$&quot;#,##0.0"/>
    <numFmt numFmtId="175" formatCode=";;"/>
    <numFmt numFmtId="176" formatCode="[$-409]d\-mmm\-yy;@"/>
    <numFmt numFmtId="177" formatCode="[$-409]mmmm\ d\,\ yyyy;@"/>
    <numFmt numFmtId="178" formatCode="#,##0.0_);\(#,##0.0\)"/>
    <numFmt numFmtId="179" formatCode="0.0000000"/>
    <numFmt numFmtId="180" formatCode="0.0000"/>
  </numFmts>
  <fonts count="141">
    <font>
      <sz val="10"/>
      <name val="Arial"/>
      <family val="2"/>
    </font>
    <font>
      <sz val="10"/>
      <name val="Arial"/>
      <family val="2"/>
    </font>
    <font>
      <sz val="8"/>
      <name val="Arial"/>
      <family val="2"/>
    </font>
    <font>
      <sz val="10"/>
      <name val="Trebuchet MS"/>
      <family val="2"/>
    </font>
    <font>
      <b/>
      <sz val="16"/>
      <name val="Trebuchet MS"/>
      <family val="2"/>
    </font>
    <font>
      <b/>
      <sz val="10"/>
      <name val="Trebuchet MS"/>
      <family val="2"/>
    </font>
    <font>
      <i/>
      <sz val="9"/>
      <name val="Trebuchet MS"/>
      <family val="2"/>
    </font>
    <font>
      <sz val="10"/>
      <name val="Arial"/>
      <family val="2"/>
    </font>
    <font>
      <sz val="8"/>
      <name val="돋움"/>
      <family val="3"/>
      <charset val="129"/>
    </font>
    <font>
      <sz val="9"/>
      <color indexed="81"/>
      <name val="Tahoma"/>
      <family val="2"/>
    </font>
    <font>
      <b/>
      <sz val="9"/>
      <color indexed="81"/>
      <name val="Tahoma"/>
      <family val="2"/>
    </font>
    <font>
      <b/>
      <sz val="14"/>
      <name val="Trebuchet MS"/>
      <family val="2"/>
    </font>
    <font>
      <b/>
      <sz val="10"/>
      <name val="Arial"/>
      <family val="2"/>
    </font>
    <font>
      <sz val="10"/>
      <color indexed="8"/>
      <name val="Arial"/>
      <family val="2"/>
    </font>
    <font>
      <sz val="10"/>
      <color indexed="9"/>
      <name val="Arial"/>
      <family val="2"/>
    </font>
    <font>
      <b/>
      <sz val="10"/>
      <color indexed="8"/>
      <name val="Arial"/>
      <family val="2"/>
    </font>
    <font>
      <b/>
      <sz val="18"/>
      <color indexed="62"/>
      <name val="Cambria"/>
      <family val="1"/>
    </font>
    <font>
      <sz val="8"/>
      <color indexed="81"/>
      <name val="Tahoma"/>
      <family val="2"/>
    </font>
    <font>
      <sz val="10"/>
      <color indexed="81"/>
      <name val="Trebuchet MS"/>
      <family val="2"/>
    </font>
    <font>
      <b/>
      <sz val="8"/>
      <color indexed="81"/>
      <name val="Tahoma"/>
      <family val="2"/>
    </font>
    <font>
      <sz val="8"/>
      <color indexed="81"/>
      <name val="Tahoma"/>
      <family val="2"/>
      <charset val="129"/>
    </font>
    <font>
      <b/>
      <sz val="8"/>
      <color indexed="81"/>
      <name val="Tahoma"/>
      <family val="2"/>
      <charset val="129"/>
    </font>
    <font>
      <b/>
      <sz val="12"/>
      <name val="Trebuchet MS"/>
      <family val="2"/>
    </font>
    <font>
      <i/>
      <sz val="10"/>
      <name val="Trebuchet MS"/>
      <family val="2"/>
    </font>
    <font>
      <b/>
      <sz val="9"/>
      <name val="Arial"/>
      <family val="2"/>
    </font>
    <font>
      <sz val="9"/>
      <name val="Trebuchet MS"/>
      <family val="2"/>
    </font>
    <font>
      <i/>
      <sz val="10"/>
      <name val="Arial"/>
      <family val="2"/>
    </font>
    <font>
      <b/>
      <sz val="11"/>
      <name val="Arial"/>
      <family val="2"/>
    </font>
    <font>
      <b/>
      <i/>
      <sz val="11"/>
      <name val="Arial"/>
      <family val="2"/>
    </font>
    <font>
      <b/>
      <sz val="12"/>
      <name val="Arial"/>
      <family val="2"/>
    </font>
    <font>
      <i/>
      <sz val="9"/>
      <name val="Arial"/>
      <family val="2"/>
    </font>
    <font>
      <b/>
      <i/>
      <sz val="10"/>
      <name val="Arial"/>
      <family val="2"/>
    </font>
    <font>
      <b/>
      <sz val="10"/>
      <color indexed="30"/>
      <name val="Arial"/>
      <family val="2"/>
    </font>
    <font>
      <b/>
      <sz val="12"/>
      <name val="Calibri"/>
      <family val="2"/>
    </font>
    <font>
      <b/>
      <sz val="16"/>
      <name val="Arial"/>
      <family val="2"/>
    </font>
    <font>
      <b/>
      <sz val="14"/>
      <name val="Arial"/>
      <family val="2"/>
    </font>
    <font>
      <b/>
      <sz val="13"/>
      <name val="Arial"/>
      <family val="2"/>
    </font>
    <font>
      <b/>
      <sz val="11"/>
      <color indexed="8"/>
      <name val="Calibri"/>
      <family val="2"/>
    </font>
    <font>
      <i/>
      <sz val="11"/>
      <color indexed="8"/>
      <name val="Calibri"/>
      <family val="2"/>
    </font>
    <font>
      <sz val="11"/>
      <name val="Arial"/>
      <family val="2"/>
    </font>
    <font>
      <sz val="12"/>
      <name val="Arial"/>
      <family val="2"/>
    </font>
    <font>
      <b/>
      <sz val="18"/>
      <name val="Arial"/>
      <family val="2"/>
    </font>
    <font>
      <sz val="10"/>
      <color indexed="81"/>
      <name val="Tahoma"/>
      <family val="2"/>
    </font>
    <font>
      <sz val="10"/>
      <name val="Playbill"/>
      <family val="5"/>
    </font>
    <font>
      <b/>
      <sz val="11"/>
      <color indexed="9"/>
      <name val="Arial"/>
      <family val="2"/>
    </font>
    <font>
      <b/>
      <sz val="10"/>
      <color indexed="81"/>
      <name val="Tahoma"/>
      <family val="2"/>
    </font>
    <font>
      <sz val="10"/>
      <color indexed="23"/>
      <name val="Arial"/>
      <family val="2"/>
    </font>
    <font>
      <b/>
      <sz val="10"/>
      <color indexed="23"/>
      <name val="Arial"/>
      <family val="2"/>
    </font>
    <font>
      <b/>
      <sz val="11"/>
      <color indexed="23"/>
      <name val="Arial"/>
      <family val="2"/>
    </font>
    <font>
      <sz val="11"/>
      <color indexed="23"/>
      <name val="Arial"/>
      <family val="2"/>
    </font>
    <font>
      <sz val="10"/>
      <color indexed="81"/>
      <name val="Arial"/>
      <family val="2"/>
    </font>
    <font>
      <sz val="11"/>
      <color indexed="81"/>
      <name val="Arial"/>
      <family val="2"/>
    </font>
    <font>
      <b/>
      <sz val="10"/>
      <color indexed="81"/>
      <name val="Arial"/>
      <family val="2"/>
    </font>
    <font>
      <i/>
      <sz val="10"/>
      <color indexed="8"/>
      <name val="Arial"/>
      <family val="2"/>
    </font>
    <font>
      <i/>
      <sz val="11"/>
      <name val="Calibri"/>
      <family val="2"/>
    </font>
    <font>
      <b/>
      <u/>
      <sz val="10"/>
      <color indexed="8"/>
      <name val="Arial"/>
      <family val="2"/>
    </font>
    <font>
      <b/>
      <i/>
      <sz val="10"/>
      <color indexed="8"/>
      <name val="Arial"/>
      <family val="2"/>
    </font>
    <font>
      <b/>
      <sz val="12"/>
      <color indexed="53"/>
      <name val="Arial"/>
      <family val="2"/>
    </font>
    <font>
      <b/>
      <sz val="10"/>
      <name val="Geneva"/>
    </font>
    <font>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1"/>
      <color theme="1"/>
      <name val="Calibri"/>
      <family val="3"/>
      <charset val="129"/>
      <scheme val="minor"/>
    </font>
    <font>
      <b/>
      <sz val="10"/>
      <color theme="1"/>
      <name val="Trebuchet MS"/>
      <family val="2"/>
    </font>
    <font>
      <b/>
      <sz val="10"/>
      <color theme="0"/>
      <name val="Trebuchet MS"/>
      <family val="2"/>
    </font>
    <font>
      <b/>
      <sz val="10"/>
      <color theme="0"/>
      <name val="Arial"/>
      <family val="2"/>
    </font>
    <font>
      <b/>
      <sz val="12"/>
      <color rgb="FF00B050"/>
      <name val="Arial"/>
      <family val="2"/>
    </font>
    <font>
      <i/>
      <sz val="11"/>
      <color theme="1"/>
      <name val="Calibri"/>
      <family val="2"/>
      <scheme val="minor"/>
    </font>
    <font>
      <b/>
      <sz val="14"/>
      <color theme="1"/>
      <name val="Calibri"/>
      <family val="2"/>
      <scheme val="minor"/>
    </font>
    <font>
      <sz val="10"/>
      <color theme="1" tint="0.34998626667073579"/>
      <name val="Arial"/>
      <family val="2"/>
    </font>
    <font>
      <i/>
      <sz val="10"/>
      <color theme="1" tint="0.34998626667073579"/>
      <name val="Arial"/>
      <family val="2"/>
    </font>
    <font>
      <b/>
      <sz val="13"/>
      <color theme="1"/>
      <name val="Arial"/>
      <family val="2"/>
    </font>
    <font>
      <b/>
      <sz val="11"/>
      <color theme="1" tint="0.34998626667073579"/>
      <name val="Arial"/>
      <family val="2"/>
    </font>
    <font>
      <b/>
      <sz val="10"/>
      <color theme="1" tint="0.34998626667073579"/>
      <name val="Arial"/>
      <family val="2"/>
    </font>
    <font>
      <sz val="10"/>
      <name val="Calibri"/>
      <family val="2"/>
      <scheme val="minor"/>
    </font>
    <font>
      <sz val="10"/>
      <color theme="1" tint="0.499984740745262"/>
      <name val="Arial"/>
      <family val="2"/>
    </font>
    <font>
      <b/>
      <sz val="14"/>
      <color theme="0"/>
      <name val="Arial"/>
      <family val="2"/>
    </font>
    <font>
      <i/>
      <sz val="11"/>
      <color theme="0" tint="-0.499984740745262"/>
      <name val="Arial"/>
      <family val="2"/>
    </font>
    <font>
      <b/>
      <i/>
      <sz val="11"/>
      <color theme="0" tint="-0.499984740745262"/>
      <name val="Arial"/>
      <family val="2"/>
    </font>
    <font>
      <b/>
      <sz val="12"/>
      <color theme="1"/>
      <name val="Arial"/>
      <family val="2"/>
    </font>
    <font>
      <b/>
      <sz val="13"/>
      <color theme="0"/>
      <name val="Arial"/>
      <family val="2"/>
    </font>
    <font>
      <i/>
      <sz val="10"/>
      <color theme="0" tint="-0.499984740745262"/>
      <name val="Arial"/>
      <family val="2"/>
    </font>
    <font>
      <b/>
      <sz val="10"/>
      <color theme="1" tint="0.499984740745262"/>
      <name val="Arial"/>
      <family val="2"/>
    </font>
    <font>
      <b/>
      <i/>
      <sz val="16"/>
      <color theme="1"/>
      <name val="Arial"/>
      <family val="2"/>
    </font>
    <font>
      <b/>
      <i/>
      <sz val="16"/>
      <color theme="0"/>
      <name val="Arial"/>
      <family val="2"/>
    </font>
    <font>
      <b/>
      <sz val="10"/>
      <color theme="0"/>
      <name val="Calibri"/>
      <family val="2"/>
      <scheme val="minor"/>
    </font>
    <font>
      <sz val="10"/>
      <color theme="0"/>
      <name val="Calibri"/>
      <family val="2"/>
      <scheme val="minor"/>
    </font>
    <font>
      <sz val="10"/>
      <color theme="0"/>
      <name val="Arial"/>
      <family val="2"/>
    </font>
    <font>
      <sz val="8"/>
      <color theme="1" tint="0.499984740745262"/>
      <name val="Arial"/>
      <family val="2"/>
    </font>
    <font>
      <b/>
      <sz val="10"/>
      <color theme="1"/>
      <name val="Arial"/>
      <family val="2"/>
    </font>
    <font>
      <sz val="10"/>
      <color theme="0" tint="-0.14999847407452621"/>
      <name val="Calibri"/>
      <family val="2"/>
      <scheme val="minor"/>
    </font>
    <font>
      <i/>
      <sz val="10"/>
      <color theme="1"/>
      <name val="Arial"/>
      <family val="2"/>
    </font>
    <font>
      <b/>
      <sz val="12"/>
      <color theme="1" tint="0.499984740745262"/>
      <name val="Arial"/>
      <family val="2"/>
    </font>
    <font>
      <sz val="10"/>
      <color theme="0" tint="-0.249977111117893"/>
      <name val="Arial"/>
      <family val="2"/>
    </font>
    <font>
      <b/>
      <sz val="10"/>
      <color rgb="FF0070C0"/>
      <name val="Arial"/>
      <family val="2"/>
    </font>
    <font>
      <sz val="10"/>
      <color theme="1"/>
      <name val="Trebuchet MS"/>
      <family val="2"/>
    </font>
    <font>
      <b/>
      <i/>
      <sz val="12"/>
      <color theme="1" tint="0.34998626667073579"/>
      <name val="Arial"/>
      <family val="2"/>
    </font>
    <font>
      <i/>
      <sz val="10"/>
      <color theme="1" tint="0.499984740745262"/>
      <name val="Arial"/>
      <family val="2"/>
    </font>
    <font>
      <sz val="10"/>
      <color rgb="FFFF0000"/>
      <name val="Arial"/>
      <family val="2"/>
    </font>
    <font>
      <sz val="10"/>
      <color rgb="FF0070C0"/>
      <name val="Playbill"/>
      <family val="5"/>
    </font>
    <font>
      <sz val="10"/>
      <color rgb="FFFF0000"/>
      <name val="Playbill"/>
      <family val="5"/>
    </font>
    <font>
      <sz val="10"/>
      <color rgb="FF0070C0"/>
      <name val="Arial"/>
      <family val="2"/>
    </font>
    <font>
      <b/>
      <sz val="14"/>
      <color theme="9"/>
      <name val="Arial"/>
      <family val="2"/>
    </font>
    <font>
      <sz val="11"/>
      <color theme="0" tint="-0.499984740745262"/>
      <name val="Arial"/>
      <family val="2"/>
    </font>
    <font>
      <b/>
      <sz val="12"/>
      <color theme="9"/>
      <name val="Arial"/>
      <family val="2"/>
    </font>
    <font>
      <b/>
      <sz val="11"/>
      <color theme="1"/>
      <name val="Arial"/>
      <family val="2"/>
    </font>
    <font>
      <b/>
      <sz val="11"/>
      <color theme="9"/>
      <name val="Arial"/>
      <family val="2"/>
    </font>
    <font>
      <b/>
      <i/>
      <sz val="10"/>
      <color theme="1" tint="0.34998626667073579"/>
      <name val="Arial"/>
      <family val="2"/>
    </font>
    <font>
      <b/>
      <sz val="12"/>
      <color theme="0"/>
      <name val="Arial"/>
      <family val="2"/>
    </font>
    <font>
      <b/>
      <sz val="11"/>
      <color theme="1" tint="0.499984740745262"/>
      <name val="Arial"/>
      <family val="2"/>
    </font>
    <font>
      <b/>
      <i/>
      <sz val="11"/>
      <color theme="1" tint="0.499984740745262"/>
      <name val="Arial"/>
      <family val="2"/>
    </font>
    <font>
      <b/>
      <i/>
      <sz val="10"/>
      <color theme="1" tint="0.499984740745262"/>
      <name val="Arial"/>
      <family val="2"/>
    </font>
    <font>
      <b/>
      <sz val="12"/>
      <color theme="0"/>
      <name val="Trebuchet MS"/>
      <family val="2"/>
    </font>
    <font>
      <b/>
      <sz val="13"/>
      <color theme="9"/>
      <name val="Arial"/>
      <family val="2"/>
    </font>
    <font>
      <b/>
      <u/>
      <sz val="10"/>
      <color theme="1" tint="0.499984740745262"/>
      <name val="Arial"/>
      <family val="2"/>
    </font>
    <font>
      <i/>
      <sz val="10"/>
      <color rgb="FFC00000"/>
      <name val="Arial"/>
      <family val="2"/>
    </font>
    <font>
      <b/>
      <i/>
      <sz val="10"/>
      <color theme="1"/>
      <name val="Arial"/>
      <family val="2"/>
    </font>
    <font>
      <b/>
      <i/>
      <sz val="16"/>
      <color theme="3" tint="0.59999389629810485"/>
      <name val="Arial"/>
      <family val="2"/>
    </font>
    <font>
      <b/>
      <sz val="16"/>
      <color theme="0" tint="-0.249977111117893"/>
      <name val="Arial"/>
      <family val="2"/>
    </font>
    <font>
      <i/>
      <sz val="9"/>
      <color theme="0" tint="-0.249977111117893"/>
      <name val="Arial"/>
      <family val="2"/>
    </font>
    <font>
      <sz val="11"/>
      <color theme="0" tint="-0.249977111117893"/>
      <name val="Arial"/>
      <family val="2"/>
    </font>
    <font>
      <b/>
      <sz val="11"/>
      <color theme="0" tint="-0.249977111117893"/>
      <name val="Arial"/>
      <family val="2"/>
    </font>
    <font>
      <i/>
      <sz val="10"/>
      <color theme="0" tint="-0.249977111117893"/>
      <name val="Arial"/>
      <family val="2"/>
    </font>
    <font>
      <i/>
      <sz val="11"/>
      <color theme="0" tint="-0.249977111117893"/>
      <name val="Arial"/>
      <family val="2"/>
    </font>
    <font>
      <b/>
      <i/>
      <sz val="11"/>
      <color theme="0" tint="-0.249977111117893"/>
      <name val="Arial"/>
      <family val="2"/>
    </font>
    <font>
      <b/>
      <sz val="12"/>
      <color theme="0" tint="-0.249977111117893"/>
      <name val="Arial"/>
      <family val="2"/>
    </font>
    <font>
      <b/>
      <i/>
      <sz val="16"/>
      <color theme="0" tint="-0.249977111117893"/>
      <name val="Arial"/>
      <family val="2"/>
    </font>
    <font>
      <b/>
      <sz val="13"/>
      <color theme="0" tint="-0.249977111117893"/>
      <name val="Arial"/>
      <family val="2"/>
    </font>
    <font>
      <b/>
      <sz val="12"/>
      <color rgb="FF0070C0"/>
      <name val="Arial"/>
      <family val="2"/>
    </font>
    <font>
      <sz val="11"/>
      <color theme="1" tint="0.34998626667073579"/>
      <name val="Arial"/>
      <family val="2"/>
    </font>
    <font>
      <b/>
      <sz val="16"/>
      <color theme="1" tint="0.249977111117893"/>
      <name val="Arial"/>
      <family val="2"/>
    </font>
    <font>
      <sz val="10"/>
      <color theme="1" tint="0.249977111117893"/>
      <name val="Arial"/>
      <family val="2"/>
    </font>
    <font>
      <b/>
      <sz val="11"/>
      <color theme="0"/>
      <name val="Arial"/>
      <family val="2"/>
    </font>
    <font>
      <sz val="11"/>
      <color theme="9"/>
      <name val="Arial"/>
      <family val="2"/>
    </font>
    <font>
      <b/>
      <sz val="16"/>
      <color theme="9"/>
      <name val="Arial"/>
      <family val="2"/>
    </font>
    <font>
      <b/>
      <sz val="10"/>
      <color theme="9"/>
      <name val="Arial"/>
      <family val="2"/>
    </font>
    <font>
      <sz val="10"/>
      <color theme="9"/>
      <name val="Arial"/>
      <family val="2"/>
    </font>
    <font>
      <b/>
      <i/>
      <sz val="12"/>
      <color theme="1"/>
      <name val="Arial"/>
      <family val="2"/>
    </font>
    <font>
      <b/>
      <sz val="13"/>
      <color theme="0"/>
      <name val="Trebuchet MS"/>
      <family val="2"/>
    </font>
  </fonts>
  <fills count="30">
    <fill>
      <patternFill patternType="none"/>
    </fill>
    <fill>
      <patternFill patternType="gray125"/>
    </fill>
    <fill>
      <patternFill patternType="solid">
        <fgColor indexed="47"/>
        <bgColor indexed="47"/>
      </patternFill>
    </fill>
    <fill>
      <patternFill patternType="solid">
        <fgColor indexed="44"/>
        <bgColor indexed="44"/>
      </patternFill>
    </fill>
    <fill>
      <patternFill patternType="solid">
        <fgColor indexed="27"/>
        <bgColor indexed="27"/>
      </patternFill>
    </fill>
    <fill>
      <patternFill patternType="solid">
        <fgColor indexed="22"/>
        <bgColor indexed="22"/>
      </patternFill>
    </fill>
    <fill>
      <patternFill patternType="solid">
        <fgColor indexed="55"/>
        <bgColor indexed="55"/>
      </patternFill>
    </fill>
    <fill>
      <patternFill patternType="solid">
        <fgColor indexed="45"/>
        <bgColor indexed="45"/>
      </patternFill>
    </fill>
    <fill>
      <patternFill patternType="solid">
        <fgColor indexed="26"/>
        <bgColor indexed="26"/>
      </patternFill>
    </fill>
    <fill>
      <patternFill patternType="solid">
        <fgColor indexed="43"/>
        <bgColor indexed="43"/>
      </patternFill>
    </fill>
    <fill>
      <patternFill patternType="lightUp">
        <fgColor indexed="9"/>
        <bgColor indexed="55"/>
      </patternFill>
    </fill>
    <fill>
      <patternFill patternType="lightUp">
        <fgColor indexed="9"/>
        <bgColor indexed="53"/>
      </patternFill>
    </fill>
    <fill>
      <patternFill patternType="lightUp">
        <fgColor indexed="9"/>
        <bgColor indexed="22"/>
      </patternFill>
    </fill>
    <fill>
      <patternFill patternType="solid">
        <fgColor indexed="9"/>
        <bgColor indexed="64"/>
      </patternFill>
    </fill>
    <fill>
      <patternFill patternType="solid">
        <fgColor indexed="13"/>
        <bgColor indexed="64"/>
      </patternFill>
    </fill>
    <fill>
      <patternFill patternType="solid">
        <fgColor rgb="FFCCFFCC"/>
        <bgColor indexed="64"/>
      </patternFill>
    </fill>
    <fill>
      <patternFill patternType="solid">
        <fgColor theme="1"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14999847407452621"/>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bgColor indexed="64"/>
      </patternFill>
    </fill>
    <fill>
      <patternFill patternType="solid">
        <fgColor rgb="FFFFFF99"/>
        <bgColor indexed="64"/>
      </patternFill>
    </fill>
    <fill>
      <patternFill patternType="solid">
        <fgColor theme="3" tint="0.59999389629810485"/>
        <bgColor indexed="64"/>
      </patternFill>
    </fill>
    <fill>
      <patternFill patternType="solid">
        <fgColor theme="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00000"/>
        <bgColor indexed="64"/>
      </patternFill>
    </fill>
    <fill>
      <patternFill patternType="solid">
        <fgColor theme="0"/>
        <bgColor indexed="64"/>
      </patternFill>
    </fill>
  </fills>
  <borders count="78">
    <border>
      <left/>
      <right/>
      <top/>
      <bottom/>
      <diagonal/>
    </border>
    <border>
      <left/>
      <right/>
      <top/>
      <bottom style="thin">
        <color indexed="64"/>
      </bottom>
      <diagonal/>
    </border>
    <border>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bottom/>
      <diagonal/>
    </border>
    <border>
      <left style="thin">
        <color indexed="64"/>
      </left>
      <right style="thin">
        <color indexed="64"/>
      </right>
      <top/>
      <bottom style="thin">
        <color indexed="64"/>
      </bottom>
      <diagonal/>
    </border>
    <border>
      <left/>
      <right/>
      <top/>
      <bottom style="thin">
        <color indexed="9"/>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bottom/>
      <diagonal/>
    </border>
    <border>
      <left/>
      <right style="double">
        <color theme="0"/>
      </right>
      <top/>
      <bottom/>
      <diagonal/>
    </border>
    <border>
      <left/>
      <right/>
      <top/>
      <bottom style="double">
        <color theme="0" tint="-0.249977111117893"/>
      </bottom>
      <diagonal/>
    </border>
    <border>
      <left/>
      <right/>
      <top/>
      <bottom style="dotted">
        <color theme="0" tint="-0.249977111117893"/>
      </bottom>
      <diagonal/>
    </border>
    <border>
      <left/>
      <right style="dotted">
        <color theme="0" tint="-0.249977111117893"/>
      </right>
      <top/>
      <bottom style="thin">
        <color theme="0" tint="-0.249977111117893"/>
      </bottom>
      <diagonal/>
    </border>
    <border>
      <left/>
      <right style="dotted">
        <color theme="0" tint="-0.249977111117893"/>
      </right>
      <top/>
      <bottom/>
      <diagonal/>
    </border>
    <border>
      <left style="thin">
        <color theme="0" tint="-0.249977111117893"/>
      </left>
      <right style="thin">
        <color theme="0" tint="-0.249977111117893"/>
      </right>
      <top/>
      <bottom/>
      <diagonal/>
    </border>
    <border>
      <left style="dotted">
        <color theme="0" tint="-0.249977111117893"/>
      </left>
      <right style="dotted">
        <color theme="0" tint="-0.249977111117893"/>
      </right>
      <top/>
      <bottom/>
      <diagonal/>
    </border>
    <border>
      <left/>
      <right style="dotted">
        <color theme="0" tint="-0.249977111117893"/>
      </right>
      <top/>
      <bottom style="double">
        <color theme="0" tint="-0.249977111117893"/>
      </bottom>
      <diagonal/>
    </border>
    <border>
      <left style="dotted">
        <color theme="0" tint="-0.249977111117893"/>
      </left>
      <right style="dotted">
        <color theme="0" tint="-0.249977111117893"/>
      </right>
      <top/>
      <bottom style="double">
        <color theme="0" tint="-0.249977111117893"/>
      </bottom>
      <diagonal/>
    </border>
    <border>
      <left style="dotted">
        <color theme="0" tint="-0.249977111117893"/>
      </left>
      <right style="dotted">
        <color theme="0" tint="-0.249977111117893"/>
      </right>
      <top/>
      <bottom style="thin">
        <color theme="0" tint="-0.249977111117893"/>
      </bottom>
      <diagonal/>
    </border>
    <border>
      <left/>
      <right/>
      <top style="double">
        <color theme="0" tint="-0.249977111117893"/>
      </top>
      <bottom/>
      <diagonal/>
    </border>
    <border>
      <left/>
      <right/>
      <top/>
      <bottom style="thin">
        <color theme="0" tint="-0.249977111117893"/>
      </bottom>
      <diagonal/>
    </border>
    <border>
      <left/>
      <right style="dotted">
        <color theme="0" tint="-0.249977111117893"/>
      </right>
      <top style="thin">
        <color theme="0" tint="-0.249977111117893"/>
      </top>
      <bottom style="double">
        <color theme="0" tint="-0.249977111117893"/>
      </bottom>
      <diagonal/>
    </border>
    <border>
      <left style="dotted">
        <color theme="0" tint="-0.249977111117893"/>
      </left>
      <right style="dotted">
        <color theme="0" tint="-0.249977111117893"/>
      </right>
      <top style="thin">
        <color theme="0" tint="-0.249977111117893"/>
      </top>
      <bottom style="double">
        <color theme="0" tint="-0.249977111117893"/>
      </bottom>
      <diagonal/>
    </border>
    <border>
      <left/>
      <right style="dotted">
        <color theme="0" tint="-0.249977111117893"/>
      </right>
      <top style="thin">
        <color theme="0" tint="-0.249977111117893"/>
      </top>
      <bottom/>
      <diagonal/>
    </border>
    <border>
      <left style="dotted">
        <color theme="0" tint="-0.249977111117893"/>
      </left>
      <right style="dotted">
        <color theme="0" tint="-0.249977111117893"/>
      </right>
      <top style="thin">
        <color theme="0" tint="-0.249977111117893"/>
      </top>
      <bottom/>
      <diagonal/>
    </border>
    <border>
      <left/>
      <right style="hair">
        <color theme="0" tint="-0.249977111117893"/>
      </right>
      <top/>
      <bottom/>
      <diagonal/>
    </border>
    <border>
      <left style="hair">
        <color theme="0" tint="-0.249977111117893"/>
      </left>
      <right style="hair">
        <color theme="0" tint="-0.249977111117893"/>
      </right>
      <top/>
      <bottom/>
      <diagonal/>
    </border>
    <border>
      <left style="thin">
        <color theme="0" tint="-0.249977111117893"/>
      </left>
      <right style="thin">
        <color theme="0" tint="-0.249977111117893"/>
      </right>
      <top/>
      <bottom style="dotted">
        <color theme="0" tint="-0.249977111117893"/>
      </bottom>
      <diagonal/>
    </border>
    <border>
      <left/>
      <right style="dotted">
        <color theme="0" tint="-0.249977111117893"/>
      </right>
      <top/>
      <bottom style="dotted">
        <color theme="0" tint="-0.249977111117893"/>
      </bottom>
      <diagonal/>
    </border>
    <border>
      <left style="dotted">
        <color theme="0" tint="-0.249977111117893"/>
      </left>
      <right/>
      <top/>
      <bottom style="dotted">
        <color theme="0" tint="-0.249977111117893"/>
      </bottom>
      <diagonal/>
    </border>
    <border>
      <left style="dotted">
        <color theme="0" tint="-0.249977111117893"/>
      </left>
      <right/>
      <top/>
      <bottom/>
      <diagonal/>
    </border>
    <border>
      <left/>
      <right style="thin">
        <color theme="0" tint="-0.249977111117893"/>
      </right>
      <top/>
      <bottom/>
      <diagonal/>
    </border>
    <border>
      <left/>
      <right style="dotted">
        <color theme="0" tint="-0.249977111117893"/>
      </right>
      <top style="thin">
        <color indexed="9"/>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dotted">
        <color theme="0" tint="-0.249977111117893"/>
      </right>
      <top style="thin">
        <color indexed="9"/>
      </top>
      <bottom style="double">
        <color theme="0" tint="-0.249977111117893"/>
      </bottom>
      <diagonal/>
    </border>
    <border>
      <left style="dotted">
        <color theme="0" tint="-0.249977111117893"/>
      </left>
      <right/>
      <top/>
      <bottom style="double">
        <color theme="0" tint="-0.249977111117893"/>
      </bottom>
      <diagonal/>
    </border>
    <border>
      <left/>
      <right style="dotted">
        <color theme="0" tint="-0.249977111117893"/>
      </right>
      <top/>
      <bottom style="dotted">
        <color indexed="64"/>
      </bottom>
      <diagonal/>
    </border>
    <border>
      <left style="dotted">
        <color theme="0" tint="-0.249977111117893"/>
      </left>
      <right style="dotted">
        <color theme="0" tint="-0.249977111117893"/>
      </right>
      <top/>
      <bottom style="dotted">
        <color indexed="64"/>
      </bottom>
      <diagonal/>
    </border>
    <border>
      <left/>
      <right style="dotted">
        <color theme="0" tint="-0.249977111117893"/>
      </right>
      <top style="dotted">
        <color indexed="64"/>
      </top>
      <bottom/>
      <diagonal/>
    </border>
    <border>
      <left style="dotted">
        <color theme="0" tint="-0.249977111117893"/>
      </left>
      <right style="dotted">
        <color theme="0" tint="-0.249977111117893"/>
      </right>
      <top style="dotted">
        <color indexed="64"/>
      </top>
      <bottom/>
      <diagonal/>
    </border>
    <border>
      <left style="thin">
        <color theme="0" tint="-0.249977111117893"/>
      </left>
      <right style="thin">
        <color theme="0" tint="-0.249977111117893"/>
      </right>
      <top style="dotted">
        <color theme="0" tint="-0.249977111117893"/>
      </top>
      <bottom/>
      <diagonal/>
    </border>
    <border>
      <left style="dotted">
        <color theme="0" tint="-0.249977111117893"/>
      </left>
      <right style="thin">
        <color theme="0" tint="-0.249977111117893"/>
      </right>
      <top/>
      <bottom style="thin">
        <color theme="0" tint="-0.249977111117893"/>
      </bottom>
      <diagonal/>
    </border>
    <border>
      <left style="dotted">
        <color theme="0" tint="-0.249977111117893"/>
      </left>
      <right style="thin">
        <color theme="0" tint="-0.249977111117893"/>
      </right>
      <top/>
      <bottom/>
      <diagonal/>
    </border>
    <border>
      <left style="dotted">
        <color theme="0" tint="-0.249977111117893"/>
      </left>
      <right style="dotted">
        <color theme="0" tint="-0.249977111117893"/>
      </right>
      <top style="thin">
        <color theme="0" tint="-0.249977111117893"/>
      </top>
      <bottom style="thin">
        <color theme="0" tint="-0.249977111117893"/>
      </bottom>
      <diagonal/>
    </border>
    <border>
      <left/>
      <right style="dotted">
        <color theme="0" tint="-0.249977111117893"/>
      </right>
      <top style="thin">
        <color theme="0" tint="-0.249977111117893"/>
      </top>
      <bottom style="thin">
        <color theme="0" tint="-0.249977111117893"/>
      </bottom>
      <diagonal/>
    </border>
    <border>
      <left style="dotted">
        <color theme="0" tint="-0.249977111117893"/>
      </left>
      <right style="thin">
        <color theme="0" tint="-0.249977111117893"/>
      </right>
      <top/>
      <bottom style="double">
        <color theme="0" tint="-0.249977111117893"/>
      </bottom>
      <diagonal/>
    </border>
    <border>
      <left style="dotted">
        <color theme="0" tint="-0.249977111117893"/>
      </left>
      <right/>
      <top/>
      <bottom style="thin">
        <color theme="0" tint="-0.249977111117893"/>
      </bottom>
      <diagonal/>
    </border>
    <border>
      <left/>
      <right/>
      <top style="thin">
        <color theme="0" tint="-0.249977111117893"/>
      </top>
      <bottom/>
      <diagonal/>
    </border>
    <border>
      <left/>
      <right style="thin">
        <color theme="0" tint="-0.249977111117893"/>
      </right>
      <top/>
      <bottom style="dotted">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bottom style="double">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s>
  <cellStyleXfs count="27">
    <xf numFmtId="0" fontId="0" fillId="0" borderId="0"/>
    <xf numFmtId="0" fontId="12" fillId="0" borderId="0" applyNumberFormat="0" applyFill="0" applyBorder="0" applyAlignment="0" applyProtection="0"/>
    <xf numFmtId="0" fontId="13" fillId="2" borderId="0" applyNumberFormat="0" applyBorder="0" applyAlignment="0" applyProtection="0"/>
    <xf numFmtId="0" fontId="13" fillId="3" borderId="0" applyNumberFormat="0" applyBorder="0" applyAlignment="0" applyProtection="0"/>
    <xf numFmtId="0" fontId="14" fillId="4" borderId="0" applyNumberFormat="0" applyBorder="0" applyAlignment="0" applyProtection="0"/>
    <xf numFmtId="0" fontId="13" fillId="2" borderId="0" applyNumberFormat="0" applyBorder="0" applyAlignment="0" applyProtection="0"/>
    <xf numFmtId="0" fontId="13" fillId="5" borderId="0" applyNumberFormat="0" applyBorder="0" applyAlignment="0" applyProtection="0"/>
    <xf numFmtId="0" fontId="14" fillId="6" borderId="0" applyNumberFormat="0" applyBorder="0" applyAlignment="0" applyProtection="0"/>
    <xf numFmtId="0" fontId="13" fillId="2" borderId="0" applyNumberFormat="0" applyBorder="0" applyAlignment="0" applyProtection="0"/>
    <xf numFmtId="0" fontId="13" fillId="2" borderId="0" applyNumberFormat="0" applyBorder="0" applyAlignment="0" applyProtection="0"/>
    <xf numFmtId="0" fontId="14" fillId="5" borderId="0" applyNumberFormat="0" applyBorder="0" applyAlignment="0" applyProtection="0"/>
    <xf numFmtId="0" fontId="13" fillId="2" borderId="0" applyNumberFormat="0" applyBorder="0" applyAlignment="0" applyProtection="0"/>
    <xf numFmtId="0" fontId="13" fillId="5" borderId="0" applyNumberFormat="0" applyBorder="0" applyAlignment="0" applyProtection="0"/>
    <xf numFmtId="0" fontId="14" fillId="7" borderId="0" applyNumberFormat="0" applyBorder="0" applyAlignment="0" applyProtection="0"/>
    <xf numFmtId="0" fontId="13" fillId="2" borderId="0" applyNumberFormat="0" applyBorder="0" applyAlignment="0" applyProtection="0"/>
    <xf numFmtId="0" fontId="13" fillId="4" borderId="0" applyNumberFormat="0" applyBorder="0" applyAlignment="0" applyProtection="0"/>
    <xf numFmtId="0" fontId="14" fillId="4" borderId="0" applyNumberFormat="0" applyBorder="0" applyAlignment="0" applyProtection="0"/>
    <xf numFmtId="0" fontId="13" fillId="2"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60" fillId="0" borderId="0"/>
    <xf numFmtId="9" fontId="1" fillId="0" borderId="0" applyFont="0" applyFill="0" applyBorder="0" applyAlignment="0" applyProtection="0"/>
    <xf numFmtId="0" fontId="16" fillId="0" borderId="0" applyNumberFormat="0" applyFill="0" applyBorder="0" applyAlignment="0" applyProtection="0"/>
    <xf numFmtId="0" fontId="64" fillId="0" borderId="0">
      <alignment vertical="center"/>
    </xf>
  </cellStyleXfs>
  <cellXfs count="1181">
    <xf numFmtId="0" fontId="0" fillId="0" borderId="0" xfId="0"/>
    <xf numFmtId="0" fontId="3" fillId="0" borderId="0" xfId="0" applyFont="1"/>
    <xf numFmtId="0" fontId="3" fillId="0" borderId="0" xfId="0" applyFont="1" applyAlignment="1">
      <alignment horizontal="right"/>
    </xf>
    <xf numFmtId="0" fontId="3" fillId="0" borderId="0" xfId="0" applyFont="1" applyAlignment="1"/>
    <xf numFmtId="0" fontId="3" fillId="0" borderId="0" xfId="0" applyFont="1" applyAlignment="1">
      <alignment horizontal="center"/>
    </xf>
    <xf numFmtId="0" fontId="3" fillId="0" borderId="0" xfId="0" applyFont="1" applyBorder="1" applyAlignment="1"/>
    <xf numFmtId="0" fontId="4" fillId="0" borderId="0" xfId="0" applyFont="1" applyBorder="1" applyAlignment="1"/>
    <xf numFmtId="0" fontId="6" fillId="0" borderId="0" xfId="0" applyFont="1" applyBorder="1" applyAlignment="1"/>
    <xf numFmtId="8" fontId="3" fillId="0" borderId="0" xfId="0" applyNumberFormat="1" applyFont="1"/>
    <xf numFmtId="0" fontId="5" fillId="15" borderId="1" xfId="0" applyFont="1" applyFill="1" applyBorder="1" applyAlignment="1">
      <alignment horizontal="center" vertical="center"/>
    </xf>
    <xf numFmtId="0" fontId="3" fillId="0" borderId="0" xfId="0" applyFont="1" applyProtection="1"/>
    <xf numFmtId="9" fontId="3" fillId="0" borderId="0" xfId="0" applyNumberFormat="1" applyFont="1" applyProtection="1"/>
    <xf numFmtId="14" fontId="3" fillId="0" borderId="0" xfId="0" applyNumberFormat="1" applyFont="1"/>
    <xf numFmtId="14" fontId="3" fillId="0" borderId="0" xfId="0" applyNumberFormat="1" applyFont="1" applyAlignment="1">
      <alignment horizontal="left"/>
    </xf>
    <xf numFmtId="14" fontId="0" fillId="0" borderId="0" xfId="0" applyNumberFormat="1" applyAlignment="1">
      <alignment horizontal="center" vertical="center"/>
    </xf>
    <xf numFmtId="0" fontId="0" fillId="0" borderId="0" xfId="0" applyAlignment="1">
      <alignment horizontal="center" vertical="center"/>
    </xf>
    <xf numFmtId="171" fontId="3" fillId="0" borderId="0" xfId="0" applyNumberFormat="1" applyFont="1" applyAlignment="1">
      <alignment horizontal="center" vertical="center"/>
    </xf>
    <xf numFmtId="0" fontId="3" fillId="0" borderId="0" xfId="0" applyFont="1" applyAlignment="1">
      <alignment horizontal="center" vertical="center"/>
    </xf>
    <xf numFmtId="8" fontId="3" fillId="0" borderId="0" xfId="0" applyNumberFormat="1" applyFont="1" applyAlignment="1">
      <alignment horizontal="center" vertical="center"/>
    </xf>
    <xf numFmtId="0" fontId="3" fillId="0" borderId="0" xfId="0" applyFont="1" applyFill="1"/>
    <xf numFmtId="9" fontId="5" fillId="0" borderId="0" xfId="0" applyNumberFormat="1" applyFont="1" applyFill="1" applyAlignment="1">
      <alignment horizontal="center" vertical="center"/>
    </xf>
    <xf numFmtId="164" fontId="5" fillId="0" borderId="0" xfId="0" applyNumberFormat="1" applyFont="1" applyFill="1" applyAlignment="1">
      <alignment horizontal="center" vertical="center"/>
    </xf>
    <xf numFmtId="44" fontId="5" fillId="0" borderId="0" xfId="0" applyNumberFormat="1" applyFont="1" applyFill="1" applyAlignment="1">
      <alignment horizontal="center" vertical="center"/>
    </xf>
    <xf numFmtId="9" fontId="5" fillId="0" borderId="0" xfId="0" applyNumberFormat="1" applyFont="1" applyFill="1" applyAlignment="1">
      <alignment horizontal="center"/>
    </xf>
    <xf numFmtId="44" fontId="3" fillId="0" borderId="0" xfId="0" applyNumberFormat="1" applyFont="1" applyFill="1" applyAlignment="1">
      <alignment horizontal="center" vertical="center"/>
    </xf>
    <xf numFmtId="0" fontId="65" fillId="0" borderId="1" xfId="0" applyFont="1" applyFill="1" applyBorder="1" applyAlignment="1">
      <alignment horizontal="center" vertical="center"/>
    </xf>
    <xf numFmtId="0" fontId="65" fillId="0" borderId="1" xfId="0" applyFont="1" applyFill="1" applyBorder="1" applyAlignment="1">
      <alignment horizontal="center" vertical="center" wrapText="1"/>
    </xf>
    <xf numFmtId="0" fontId="3" fillId="0" borderId="0" xfId="0" applyFont="1" applyFill="1" applyAlignment="1">
      <alignment horizontal="left" vertical="center"/>
    </xf>
    <xf numFmtId="3" fontId="0" fillId="0" borderId="0" xfId="0" applyNumberFormat="1"/>
    <xf numFmtId="0" fontId="0" fillId="0" borderId="0" xfId="0" applyAlignment="1">
      <alignment horizontal="center"/>
    </xf>
    <xf numFmtId="0" fontId="12" fillId="0" borderId="0" xfId="0" quotePrefix="1" applyFont="1" applyAlignment="1">
      <alignment horizontal="center"/>
    </xf>
    <xf numFmtId="0" fontId="12" fillId="0" borderId="0" xfId="0" applyFont="1" applyAlignment="1">
      <alignment horizontal="right"/>
    </xf>
    <xf numFmtId="0" fontId="12" fillId="0" borderId="0" xfId="0" applyFont="1" applyAlignment="1">
      <alignment horizontal="center"/>
    </xf>
    <xf numFmtId="0" fontId="12" fillId="0" borderId="0" xfId="0" applyFont="1"/>
    <xf numFmtId="4" fontId="0" fillId="0" borderId="0" xfId="0" applyNumberFormat="1"/>
    <xf numFmtId="164" fontId="0" fillId="0" borderId="0" xfId="24" applyNumberFormat="1" applyFont="1"/>
    <xf numFmtId="175" fontId="24" fillId="13" borderId="0" xfId="0" applyNumberFormat="1" applyFont="1" applyFill="1" applyBorder="1"/>
    <xf numFmtId="175" fontId="0" fillId="0" borderId="0" xfId="0" applyNumberFormat="1"/>
    <xf numFmtId="0" fontId="3" fillId="0" borderId="0" xfId="0" applyFont="1" applyBorder="1" applyAlignment="1" applyProtection="1">
      <alignment horizontal="left"/>
    </xf>
    <xf numFmtId="0" fontId="3" fillId="0" borderId="0" xfId="0" applyFont="1" applyBorder="1" applyAlignment="1" applyProtection="1"/>
    <xf numFmtId="0" fontId="3" fillId="0" borderId="0" xfId="0" applyFont="1" applyBorder="1" applyProtection="1"/>
    <xf numFmtId="0" fontId="3" fillId="0" borderId="0" xfId="0" applyFont="1" applyBorder="1" applyAlignment="1" applyProtection="1">
      <alignment horizontal="right"/>
    </xf>
    <xf numFmtId="0" fontId="4" fillId="0" borderId="0" xfId="0" applyFont="1" applyBorder="1" applyAlignment="1" applyProtection="1"/>
    <xf numFmtId="0" fontId="4" fillId="0" borderId="0" xfId="0" applyFont="1" applyBorder="1" applyProtection="1"/>
    <xf numFmtId="0" fontId="6" fillId="0" borderId="0" xfId="0" applyFont="1" applyBorder="1" applyAlignment="1" applyProtection="1"/>
    <xf numFmtId="0" fontId="3" fillId="0" borderId="0" xfId="0" applyFont="1" applyBorder="1" applyAlignment="1">
      <alignment horizontal="center"/>
    </xf>
    <xf numFmtId="0" fontId="5" fillId="0" borderId="2" xfId="0" applyFont="1" applyFill="1" applyBorder="1" applyAlignment="1">
      <alignment horizontal="center" vertical="center"/>
    </xf>
    <xf numFmtId="0" fontId="66" fillId="16" borderId="3" xfId="0" applyFont="1" applyFill="1" applyBorder="1" applyAlignment="1">
      <alignment horizontal="left"/>
    </xf>
    <xf numFmtId="0" fontId="66" fillId="16" borderId="4" xfId="0" applyFont="1" applyFill="1" applyBorder="1" applyAlignment="1">
      <alignment horizontal="center"/>
    </xf>
    <xf numFmtId="0" fontId="66" fillId="16" borderId="5" xfId="0" applyFont="1" applyFill="1" applyBorder="1" applyAlignment="1">
      <alignment horizontal="center"/>
    </xf>
    <xf numFmtId="0" fontId="25" fillId="0" borderId="6" xfId="0" applyFont="1" applyFill="1" applyBorder="1" applyAlignment="1">
      <alignment horizontal="left" vertical="center" wrapText="1"/>
    </xf>
    <xf numFmtId="9" fontId="3" fillId="0" borderId="6" xfId="0" applyNumberFormat="1" applyFont="1" applyFill="1" applyBorder="1" applyAlignment="1">
      <alignment horizontal="right" vertical="center"/>
    </xf>
    <xf numFmtId="0" fontId="5" fillId="0" borderId="6" xfId="0" applyFont="1" applyBorder="1" applyAlignment="1">
      <alignment horizontal="center" vertical="center"/>
    </xf>
    <xf numFmtId="0" fontId="3" fillId="17" borderId="7" xfId="0" applyFont="1" applyFill="1" applyBorder="1" applyAlignment="1" applyProtection="1">
      <alignment horizontal="center" vertical="center"/>
      <protection locked="0"/>
    </xf>
    <xf numFmtId="0" fontId="25" fillId="18" borderId="7" xfId="0" applyFont="1" applyFill="1" applyBorder="1" applyAlignment="1">
      <alignment horizontal="left" vertical="center" wrapText="1"/>
    </xf>
    <xf numFmtId="9" fontId="3" fillId="18" borderId="7" xfId="0" applyNumberFormat="1" applyFont="1" applyFill="1" applyBorder="1" applyAlignment="1">
      <alignment horizontal="right" vertical="center"/>
    </xf>
    <xf numFmtId="0" fontId="5" fillId="18" borderId="7" xfId="0" applyFont="1" applyFill="1" applyBorder="1" applyAlignment="1">
      <alignment horizontal="center" vertical="center"/>
    </xf>
    <xf numFmtId="0" fontId="5" fillId="0" borderId="0" xfId="0" applyFont="1" applyFill="1" applyAlignment="1">
      <alignment horizontal="left" wrapText="1"/>
    </xf>
    <xf numFmtId="0" fontId="5" fillId="0" borderId="0" xfId="0" applyFont="1" applyAlignment="1">
      <alignment horizontal="center" vertical="center"/>
    </xf>
    <xf numFmtId="0" fontId="5" fillId="0" borderId="0" xfId="0" applyFont="1" applyAlignment="1">
      <alignment horizontal="center"/>
    </xf>
    <xf numFmtId="0" fontId="66" fillId="16" borderId="4" xfId="0" applyFont="1" applyFill="1" applyBorder="1" applyAlignment="1">
      <alignment horizontal="center" vertical="center"/>
    </xf>
    <xf numFmtId="9" fontId="25" fillId="0" borderId="6" xfId="0" applyNumberFormat="1" applyFont="1" applyFill="1" applyBorder="1" applyAlignment="1">
      <alignment horizontal="left" vertical="center" wrapText="1"/>
    </xf>
    <xf numFmtId="164" fontId="3" fillId="0" borderId="6" xfId="0" applyNumberFormat="1" applyFont="1" applyFill="1" applyBorder="1" applyAlignment="1">
      <alignment horizontal="right" vertical="center"/>
    </xf>
    <xf numFmtId="0" fontId="3" fillId="17" borderId="7" xfId="0" applyFont="1" applyFill="1" applyBorder="1" applyAlignment="1" applyProtection="1">
      <alignment horizontal="center"/>
      <protection locked="0"/>
    </xf>
    <xf numFmtId="9" fontId="25" fillId="18" borderId="7" xfId="0" applyNumberFormat="1" applyFont="1" applyFill="1" applyBorder="1" applyAlignment="1">
      <alignment horizontal="left" vertical="center" wrapText="1"/>
    </xf>
    <xf numFmtId="164" fontId="3" fillId="18" borderId="7" xfId="0" applyNumberFormat="1" applyFont="1" applyFill="1" applyBorder="1" applyAlignment="1">
      <alignment horizontal="right" vertical="center"/>
    </xf>
    <xf numFmtId="0" fontId="5" fillId="18" borderId="2" xfId="0" applyFont="1" applyFill="1" applyBorder="1" applyAlignment="1">
      <alignment horizontal="center" vertical="center"/>
    </xf>
    <xf numFmtId="9" fontId="25" fillId="0" borderId="7" xfId="0" applyNumberFormat="1" applyFont="1" applyFill="1" applyBorder="1" applyAlignment="1">
      <alignment horizontal="left" vertical="center" wrapText="1"/>
    </xf>
    <xf numFmtId="164" fontId="3" fillId="0" borderId="7" xfId="0" applyNumberFormat="1" applyFont="1" applyBorder="1" applyAlignment="1">
      <alignment horizontal="right" vertical="center"/>
    </xf>
    <xf numFmtId="0" fontId="5" fillId="0" borderId="2" xfId="0" applyFont="1" applyBorder="1" applyAlignment="1">
      <alignment horizontal="center" vertical="center"/>
    </xf>
    <xf numFmtId="0" fontId="3" fillId="0" borderId="0" xfId="0" applyFont="1" applyFill="1" applyAlignment="1">
      <alignment vertical="center"/>
    </xf>
    <xf numFmtId="0" fontId="3" fillId="0" borderId="0" xfId="0" applyFont="1" applyFill="1" applyAlignment="1">
      <alignment wrapText="1"/>
    </xf>
    <xf numFmtId="164" fontId="3" fillId="0" borderId="0" xfId="0" applyNumberFormat="1" applyFont="1" applyAlignment="1">
      <alignment horizontal="right" vertical="center"/>
    </xf>
    <xf numFmtId="164" fontId="3" fillId="0" borderId="6" xfId="0" applyNumberFormat="1" applyFont="1" applyBorder="1" applyAlignment="1">
      <alignment horizontal="right" vertical="center"/>
    </xf>
    <xf numFmtId="9" fontId="25" fillId="18" borderId="2" xfId="0" applyNumberFormat="1" applyFont="1" applyFill="1" applyBorder="1" applyAlignment="1">
      <alignment horizontal="left" vertical="center" wrapText="1"/>
    </xf>
    <xf numFmtId="0" fontId="25" fillId="0" borderId="2" xfId="0" applyFont="1" applyFill="1" applyBorder="1" applyAlignment="1">
      <alignment horizontal="left" vertical="center" wrapText="1"/>
    </xf>
    <xf numFmtId="0" fontId="5" fillId="17" borderId="7" xfId="0" applyFont="1" applyFill="1" applyBorder="1" applyAlignment="1" applyProtection="1">
      <alignment horizontal="center" vertical="center"/>
      <protection locked="0"/>
    </xf>
    <xf numFmtId="0" fontId="3" fillId="0" borderId="7" xfId="0" applyFont="1" applyFill="1" applyBorder="1" applyAlignment="1">
      <alignment horizontal="center"/>
    </xf>
    <xf numFmtId="0" fontId="25" fillId="18" borderId="2" xfId="0" applyFont="1" applyFill="1" applyBorder="1" applyAlignment="1">
      <alignment horizontal="left" vertical="center" wrapText="1"/>
    </xf>
    <xf numFmtId="0" fontId="3" fillId="18" borderId="7" xfId="0" applyFont="1" applyFill="1" applyBorder="1" applyAlignment="1">
      <alignment horizontal="center"/>
    </xf>
    <xf numFmtId="0" fontId="3" fillId="0" borderId="0" xfId="0" applyFont="1" applyAlignment="1">
      <alignment horizontal="right" vertical="center"/>
    </xf>
    <xf numFmtId="167" fontId="3" fillId="0" borderId="6" xfId="0" applyNumberFormat="1" applyFont="1" applyBorder="1" applyAlignment="1">
      <alignment horizontal="right" vertical="center"/>
    </xf>
    <xf numFmtId="43" fontId="3" fillId="18" borderId="7" xfId="0" applyNumberFormat="1" applyFont="1" applyFill="1" applyBorder="1" applyAlignment="1">
      <alignment horizontal="right" vertical="center"/>
    </xf>
    <xf numFmtId="0" fontId="3" fillId="18" borderId="7" xfId="0" applyFont="1" applyFill="1" applyBorder="1" applyAlignment="1">
      <alignment horizontal="center" vertical="center"/>
    </xf>
    <xf numFmtId="164" fontId="25" fillId="0" borderId="7" xfId="0" applyNumberFormat="1" applyFont="1" applyFill="1" applyBorder="1" applyAlignment="1">
      <alignment horizontal="right" vertical="center" wrapText="1"/>
    </xf>
    <xf numFmtId="164" fontId="25" fillId="18" borderId="7" xfId="0" applyNumberFormat="1" applyFont="1" applyFill="1" applyBorder="1" applyAlignment="1">
      <alignment horizontal="right" vertical="center" wrapText="1"/>
    </xf>
    <xf numFmtId="0" fontId="25" fillId="0" borderId="7" xfId="0" applyFont="1" applyFill="1" applyBorder="1" applyAlignment="1">
      <alignment horizontal="left" vertical="center" wrapText="1"/>
    </xf>
    <xf numFmtId="9" fontId="25" fillId="0" borderId="7" xfId="0" applyNumberFormat="1" applyFont="1" applyFill="1" applyBorder="1" applyAlignment="1">
      <alignment horizontal="right" vertical="center" wrapText="1"/>
    </xf>
    <xf numFmtId="0" fontId="66" fillId="19" borderId="8" xfId="0" applyFont="1" applyFill="1" applyBorder="1" applyAlignment="1">
      <alignment horizontal="center" vertical="center"/>
    </xf>
    <xf numFmtId="0" fontId="3" fillId="18" borderId="0" xfId="0" applyFont="1" applyFill="1" applyAlignment="1">
      <alignment horizontal="center"/>
    </xf>
    <xf numFmtId="0" fontId="3" fillId="18" borderId="0" xfId="0" applyFont="1" applyFill="1" applyBorder="1" applyAlignment="1">
      <alignment horizontal="center"/>
    </xf>
    <xf numFmtId="0" fontId="5" fillId="17" borderId="7" xfId="0" applyFont="1" applyFill="1" applyBorder="1" applyAlignment="1" applyProtection="1">
      <alignment horizontal="center"/>
      <protection locked="0"/>
    </xf>
    <xf numFmtId="0" fontId="66" fillId="19" borderId="9" xfId="0" applyFont="1" applyFill="1" applyBorder="1" applyAlignment="1">
      <alignment horizontal="center" vertical="center"/>
    </xf>
    <xf numFmtId="0" fontId="3" fillId="18" borderId="0" xfId="0" applyFont="1" applyFill="1" applyAlignment="1">
      <alignment horizontal="center" vertical="center"/>
    </xf>
    <xf numFmtId="0" fontId="3" fillId="0" borderId="7" xfId="0" applyFont="1" applyBorder="1" applyAlignment="1" applyProtection="1">
      <alignment horizontal="center" vertical="center"/>
      <protection locked="0"/>
    </xf>
    <xf numFmtId="0" fontId="3" fillId="18" borderId="7" xfId="0" applyFont="1" applyFill="1" applyBorder="1" applyAlignment="1" applyProtection="1">
      <alignment horizontal="center" vertical="center"/>
      <protection locked="0"/>
    </xf>
    <xf numFmtId="0" fontId="3" fillId="18" borderId="0" xfId="0" applyFont="1" applyFill="1"/>
    <xf numFmtId="0" fontId="66" fillId="19" borderId="5" xfId="0" applyFont="1" applyFill="1" applyBorder="1" applyAlignment="1">
      <alignment horizontal="center"/>
    </xf>
    <xf numFmtId="170" fontId="5" fillId="0" borderId="7" xfId="0" applyNumberFormat="1" applyFont="1" applyBorder="1" applyAlignment="1">
      <alignment horizontal="center" vertical="center"/>
    </xf>
    <xf numFmtId="170" fontId="5" fillId="20" borderId="7" xfId="0" applyNumberFormat="1" applyFont="1" applyFill="1" applyBorder="1" applyAlignment="1">
      <alignment horizontal="center" vertical="center"/>
    </xf>
    <xf numFmtId="0" fontId="67" fillId="19" borderId="8" xfId="0" applyFont="1" applyFill="1" applyBorder="1" applyAlignment="1">
      <alignment horizontal="center" vertical="center"/>
    </xf>
    <xf numFmtId="0" fontId="67" fillId="19" borderId="10" xfId="0" applyFont="1" applyFill="1" applyBorder="1" applyAlignment="1">
      <alignment horizontal="center" vertical="center"/>
    </xf>
    <xf numFmtId="170" fontId="5" fillId="0" borderId="9" xfId="0" applyNumberFormat="1" applyFont="1" applyBorder="1" applyAlignment="1">
      <alignment horizontal="center" vertical="center"/>
    </xf>
    <xf numFmtId="170" fontId="5" fillId="0" borderId="11" xfId="0" applyNumberFormat="1" applyFont="1" applyBorder="1" applyAlignment="1">
      <alignment horizontal="center" vertical="center"/>
    </xf>
    <xf numFmtId="170" fontId="5" fillId="0" borderId="8"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3" fillId="17" borderId="13" xfId="0" applyNumberFormat="1" applyFont="1" applyFill="1" applyBorder="1" applyAlignment="1" applyProtection="1">
      <alignment horizontal="center" vertical="center"/>
      <protection locked="0"/>
    </xf>
    <xf numFmtId="170" fontId="3" fillId="17" borderId="9" xfId="0" applyNumberFormat="1" applyFont="1" applyFill="1" applyBorder="1" applyAlignment="1" applyProtection="1">
      <alignment horizontal="center" vertical="center"/>
      <protection locked="0"/>
    </xf>
    <xf numFmtId="170" fontId="3" fillId="17" borderId="14" xfId="0" applyNumberFormat="1" applyFont="1" applyFill="1" applyBorder="1" applyAlignment="1" applyProtection="1">
      <alignment horizontal="center" vertical="center"/>
      <protection locked="0"/>
    </xf>
    <xf numFmtId="14" fontId="3" fillId="0" borderId="0" xfId="0" applyNumberFormat="1" applyFont="1" applyAlignment="1">
      <alignment horizontal="left" vertical="center"/>
    </xf>
    <xf numFmtId="0" fontId="66" fillId="16" borderId="3" xfId="0" applyFont="1" applyFill="1" applyBorder="1" applyAlignment="1">
      <alignment horizontal="left"/>
    </xf>
    <xf numFmtId="0" fontId="68" fillId="0" borderId="0" xfId="0" applyFont="1"/>
    <xf numFmtId="0" fontId="68" fillId="0" borderId="0" xfId="0" applyFont="1" applyAlignment="1"/>
    <xf numFmtId="0" fontId="0" fillId="0" borderId="0" xfId="0" applyBorder="1"/>
    <xf numFmtId="0" fontId="63" fillId="18" borderId="2" xfId="0" applyFont="1" applyFill="1" applyBorder="1" applyAlignment="1">
      <alignment wrapText="1"/>
    </xf>
    <xf numFmtId="0" fontId="63" fillId="18" borderId="15" xfId="0" applyFont="1" applyFill="1" applyBorder="1" applyAlignment="1">
      <alignment wrapText="1"/>
    </xf>
    <xf numFmtId="0" fontId="63" fillId="18" borderId="16" xfId="0" applyFont="1" applyFill="1" applyBorder="1" applyAlignment="1">
      <alignment wrapText="1"/>
    </xf>
    <xf numFmtId="9" fontId="0" fillId="0" borderId="0" xfId="0" applyNumberFormat="1"/>
    <xf numFmtId="0" fontId="0" fillId="0" borderId="2" xfId="0" applyFill="1" applyBorder="1" applyAlignment="1">
      <alignment wrapText="1"/>
    </xf>
    <xf numFmtId="0" fontId="0" fillId="0" borderId="12" xfId="0" applyFill="1" applyBorder="1" applyAlignment="1">
      <alignment wrapText="1"/>
    </xf>
    <xf numFmtId="0" fontId="69" fillId="0" borderId="12" xfId="0" applyFont="1" applyFill="1" applyBorder="1" applyAlignment="1">
      <alignment wrapText="1"/>
    </xf>
    <xf numFmtId="0" fontId="69" fillId="0" borderId="2" xfId="0" applyFont="1" applyFill="1" applyBorder="1" applyAlignment="1">
      <alignment wrapText="1"/>
    </xf>
    <xf numFmtId="0" fontId="0" fillId="0" borderId="15" xfId="0" applyFill="1" applyBorder="1" applyAlignment="1">
      <alignment wrapText="1"/>
    </xf>
    <xf numFmtId="0" fontId="69" fillId="0" borderId="15" xfId="0" applyFont="1" applyFill="1" applyBorder="1" applyAlignment="1">
      <alignment wrapText="1"/>
    </xf>
    <xf numFmtId="0" fontId="70" fillId="0" borderId="15" xfId="0" applyFont="1" applyFill="1" applyBorder="1" applyAlignment="1">
      <alignment wrapText="1"/>
    </xf>
    <xf numFmtId="0" fontId="12" fillId="0" borderId="17" xfId="0" applyFont="1" applyBorder="1" applyAlignment="1">
      <alignment horizontal="center" wrapText="1"/>
    </xf>
    <xf numFmtId="0" fontId="63" fillId="0" borderId="13" xfId="0" applyFont="1" applyFill="1" applyBorder="1" applyAlignment="1">
      <alignment wrapText="1"/>
    </xf>
    <xf numFmtId="42" fontId="0" fillId="0" borderId="13" xfId="0" applyNumberFormat="1" applyFill="1" applyBorder="1" applyProtection="1"/>
    <xf numFmtId="9" fontId="0" fillId="17" borderId="0" xfId="0" applyNumberFormat="1" applyFill="1"/>
    <xf numFmtId="164" fontId="0" fillId="0" borderId="0" xfId="0" applyNumberFormat="1"/>
    <xf numFmtId="164" fontId="12" fillId="0" borderId="0" xfId="0" applyNumberFormat="1" applyFont="1"/>
    <xf numFmtId="0" fontId="0" fillId="0" borderId="0" xfId="0" applyFill="1"/>
    <xf numFmtId="0" fontId="0" fillId="0" borderId="0" xfId="0" applyFill="1" applyBorder="1"/>
    <xf numFmtId="164" fontId="0" fillId="0" borderId="0" xfId="0" applyNumberFormat="1" applyFill="1"/>
    <xf numFmtId="164" fontId="0" fillId="18" borderId="0" xfId="0" applyNumberFormat="1" applyFill="1"/>
    <xf numFmtId="0" fontId="12" fillId="0" borderId="2" xfId="0" applyFont="1" applyBorder="1"/>
    <xf numFmtId="0" fontId="12" fillId="18" borderId="2" xfId="0" applyFont="1" applyFill="1" applyBorder="1"/>
    <xf numFmtId="0" fontId="0" fillId="0" borderId="15" xfId="0" applyBorder="1"/>
    <xf numFmtId="164" fontId="0" fillId="17" borderId="0" xfId="0" applyNumberFormat="1" applyFill="1"/>
    <xf numFmtId="44" fontId="0" fillId="0" borderId="0" xfId="0" applyNumberFormat="1"/>
    <xf numFmtId="0" fontId="26" fillId="0" borderId="0" xfId="0" applyFont="1" applyAlignment="1">
      <alignment horizontal="right"/>
    </xf>
    <xf numFmtId="0" fontId="6" fillId="0" borderId="0" xfId="0" applyNumberFormat="1" applyFont="1" applyBorder="1" applyAlignment="1" applyProtection="1"/>
    <xf numFmtId="0" fontId="23" fillId="0" borderId="0" xfId="0" applyFont="1" applyAlignment="1" applyProtection="1">
      <alignment horizontal="right"/>
    </xf>
    <xf numFmtId="0" fontId="63" fillId="0" borderId="15" xfId="0" applyFont="1" applyFill="1" applyBorder="1" applyAlignment="1">
      <alignment wrapText="1"/>
    </xf>
    <xf numFmtId="0" fontId="67" fillId="16" borderId="0" xfId="0" applyFont="1" applyFill="1"/>
    <xf numFmtId="0" fontId="67" fillId="16" borderId="0" xfId="0" applyFont="1" applyFill="1" applyAlignment="1">
      <alignment horizontal="right"/>
    </xf>
    <xf numFmtId="0" fontId="12" fillId="0" borderId="2" xfId="0" applyFont="1" applyFill="1" applyBorder="1" applyAlignment="1">
      <alignment horizontal="left"/>
    </xf>
    <xf numFmtId="0" fontId="12" fillId="18" borderId="2" xfId="0" applyFont="1" applyFill="1" applyBorder="1" applyAlignment="1">
      <alignment horizontal="left"/>
    </xf>
    <xf numFmtId="0" fontId="0" fillId="0" borderId="0" xfId="0" applyAlignment="1">
      <alignment horizontal="right"/>
    </xf>
    <xf numFmtId="0" fontId="0" fillId="0" borderId="2" xfId="0" applyBorder="1"/>
    <xf numFmtId="0" fontId="0" fillId="18" borderId="0" xfId="0" applyFill="1"/>
    <xf numFmtId="165" fontId="0" fillId="0" borderId="0" xfId="0" applyNumberFormat="1"/>
    <xf numFmtId="165" fontId="0" fillId="0" borderId="2" xfId="0" applyNumberFormat="1" applyBorder="1"/>
    <xf numFmtId="165" fontId="0" fillId="0" borderId="0" xfId="0" applyNumberFormat="1" applyBorder="1"/>
    <xf numFmtId="164" fontId="0" fillId="0" borderId="0" xfId="0" applyNumberFormat="1" applyBorder="1"/>
    <xf numFmtId="44" fontId="0" fillId="0" borderId="0" xfId="0" applyNumberFormat="1" applyBorder="1"/>
    <xf numFmtId="164" fontId="0" fillId="0" borderId="2" xfId="0" applyNumberFormat="1" applyBorder="1"/>
    <xf numFmtId="176" fontId="0" fillId="0" borderId="0" xfId="0" applyNumberFormat="1" applyAlignment="1">
      <alignment horizontal="right"/>
    </xf>
    <xf numFmtId="174" fontId="0" fillId="0" borderId="0" xfId="0" applyNumberFormat="1" applyBorder="1"/>
    <xf numFmtId="169" fontId="0" fillId="0" borderId="0" xfId="0" applyNumberFormat="1"/>
    <xf numFmtId="169" fontId="0" fillId="0" borderId="0" xfId="0" applyNumberFormat="1" applyBorder="1"/>
    <xf numFmtId="0" fontId="12" fillId="0" borderId="0" xfId="0" applyFont="1" applyFill="1"/>
    <xf numFmtId="0" fontId="67" fillId="16" borderId="0" xfId="0" applyFont="1" applyFill="1" applyAlignment="1">
      <alignment horizontal="center"/>
    </xf>
    <xf numFmtId="165" fontId="0" fillId="0" borderId="0" xfId="0" applyNumberFormat="1" applyFill="1"/>
    <xf numFmtId="0" fontId="0" fillId="0" borderId="0" xfId="0" applyAlignment="1">
      <alignment wrapText="1"/>
    </xf>
    <xf numFmtId="0" fontId="12" fillId="0" borderId="18" xfId="0" applyFont="1" applyBorder="1" applyAlignment="1">
      <alignment horizontal="right"/>
    </xf>
    <xf numFmtId="0" fontId="0" fillId="0" borderId="18" xfId="0" applyBorder="1" applyAlignment="1">
      <alignment horizontal="right"/>
    </xf>
    <xf numFmtId="165" fontId="0" fillId="0" borderId="18" xfId="0" applyNumberFormat="1" applyBorder="1"/>
    <xf numFmtId="0" fontId="12" fillId="0" borderId="0" xfId="0" applyFont="1" applyAlignment="1">
      <alignment wrapText="1"/>
    </xf>
    <xf numFmtId="0" fontId="12" fillId="18" borderId="0" xfId="0" applyFont="1" applyFill="1" applyAlignment="1">
      <alignment wrapText="1"/>
    </xf>
    <xf numFmtId="165" fontId="0" fillId="18" borderId="0" xfId="0" applyNumberFormat="1" applyFill="1"/>
    <xf numFmtId="165" fontId="0" fillId="18" borderId="18" xfId="0" applyNumberFormat="1" applyFill="1" applyBorder="1"/>
    <xf numFmtId="165" fontId="0" fillId="18" borderId="0" xfId="0" applyNumberFormat="1" applyFill="1" applyBorder="1"/>
    <xf numFmtId="0" fontId="0" fillId="0" borderId="0" xfId="0" applyFont="1"/>
    <xf numFmtId="0" fontId="0" fillId="0" borderId="0" xfId="0" applyFont="1" applyFill="1"/>
    <xf numFmtId="165" fontId="0" fillId="0" borderId="0" xfId="0" applyNumberFormat="1" applyFont="1" applyFill="1"/>
    <xf numFmtId="165" fontId="0" fillId="18" borderId="19" xfId="0" applyNumberFormat="1" applyFill="1" applyBorder="1" applyProtection="1"/>
    <xf numFmtId="165" fontId="0" fillId="0" borderId="8" xfId="0" applyNumberFormat="1" applyBorder="1" applyProtection="1"/>
    <xf numFmtId="165" fontId="0" fillId="0" borderId="7" xfId="0" applyNumberFormat="1" applyBorder="1" applyProtection="1"/>
    <xf numFmtId="165" fontId="0" fillId="0" borderId="19" xfId="0" applyNumberFormat="1" applyBorder="1" applyProtection="1"/>
    <xf numFmtId="165" fontId="0" fillId="18" borderId="8" xfId="0" applyNumberFormat="1" applyFill="1" applyBorder="1" applyProtection="1"/>
    <xf numFmtId="165" fontId="0" fillId="0" borderId="9" xfId="0" applyNumberFormat="1" applyBorder="1" applyAlignment="1" applyProtection="1"/>
    <xf numFmtId="165" fontId="0" fillId="0" borderId="7" xfId="0" applyNumberFormat="1" applyBorder="1"/>
    <xf numFmtId="165" fontId="0" fillId="0" borderId="19" xfId="0" applyNumberFormat="1" applyBorder="1"/>
    <xf numFmtId="165" fontId="0" fillId="18" borderId="8" xfId="0" applyNumberFormat="1" applyFill="1" applyBorder="1"/>
    <xf numFmtId="165" fontId="0" fillId="18" borderId="19" xfId="0" applyNumberFormat="1" applyFill="1" applyBorder="1"/>
    <xf numFmtId="176" fontId="0" fillId="0" borderId="0" xfId="0" applyNumberFormat="1" applyFont="1" applyAlignment="1">
      <alignment horizontal="right"/>
    </xf>
    <xf numFmtId="0" fontId="67" fillId="16" borderId="2" xfId="0" applyFont="1" applyFill="1" applyBorder="1"/>
    <xf numFmtId="0" fontId="0" fillId="16" borderId="0" xfId="0" applyFill="1"/>
    <xf numFmtId="0" fontId="67" fillId="16" borderId="28" xfId="0" applyFont="1" applyFill="1" applyBorder="1"/>
    <xf numFmtId="0" fontId="67" fillId="16" borderId="28" xfId="0" applyFont="1" applyFill="1" applyBorder="1" applyAlignment="1">
      <alignment horizontal="right"/>
    </xf>
    <xf numFmtId="164" fontId="0" fillId="0" borderId="18" xfId="0" applyNumberFormat="1" applyBorder="1"/>
    <xf numFmtId="9" fontId="12" fillId="0" borderId="0" xfId="0" applyNumberFormat="1" applyFont="1" applyFill="1" applyBorder="1"/>
    <xf numFmtId="164" fontId="0" fillId="18" borderId="0" xfId="0" applyNumberFormat="1" applyFill="1" applyBorder="1"/>
    <xf numFmtId="164" fontId="0" fillId="18" borderId="18" xfId="0" applyNumberFormat="1" applyFill="1" applyBorder="1"/>
    <xf numFmtId="169" fontId="0" fillId="18" borderId="0" xfId="0" applyNumberFormat="1" applyFill="1" applyBorder="1"/>
    <xf numFmtId="44" fontId="0" fillId="18" borderId="0" xfId="0" applyNumberFormat="1" applyFill="1" applyBorder="1"/>
    <xf numFmtId="169" fontId="0" fillId="18" borderId="0" xfId="0" applyNumberFormat="1" applyFill="1"/>
    <xf numFmtId="0" fontId="0" fillId="18" borderId="2" xfId="0" applyFont="1" applyFill="1" applyBorder="1"/>
    <xf numFmtId="0" fontId="0" fillId="18" borderId="2" xfId="0" applyFont="1" applyFill="1" applyBorder="1" applyAlignment="1">
      <alignment wrapText="1"/>
    </xf>
    <xf numFmtId="165" fontId="0" fillId="18" borderId="2" xfId="0" applyNumberFormat="1" applyFill="1" applyBorder="1"/>
    <xf numFmtId="0" fontId="0" fillId="18" borderId="2" xfId="0" applyFill="1" applyBorder="1"/>
    <xf numFmtId="169" fontId="0" fillId="0" borderId="0" xfId="0" applyNumberFormat="1" applyFill="1" applyBorder="1"/>
    <xf numFmtId="165" fontId="0" fillId="0" borderId="0" xfId="0" applyNumberFormat="1" applyFill="1" applyBorder="1"/>
    <xf numFmtId="165" fontId="0" fillId="0" borderId="18" xfId="0" applyNumberFormat="1" applyFill="1" applyBorder="1"/>
    <xf numFmtId="42" fontId="0" fillId="18" borderId="0" xfId="0" applyNumberFormat="1" applyFill="1" applyBorder="1"/>
    <xf numFmtId="42" fontId="0" fillId="18" borderId="18" xfId="0" applyNumberFormat="1" applyFill="1" applyBorder="1"/>
    <xf numFmtId="0" fontId="67" fillId="16" borderId="0" xfId="0" applyFont="1" applyFill="1" applyBorder="1"/>
    <xf numFmtId="0" fontId="67" fillId="16" borderId="0" xfId="0" applyFont="1" applyFill="1" applyBorder="1" applyAlignment="1">
      <alignment horizontal="right"/>
    </xf>
    <xf numFmtId="0" fontId="0" fillId="18" borderId="2" xfId="0" applyFill="1" applyBorder="1" applyAlignment="1">
      <alignment wrapText="1"/>
    </xf>
    <xf numFmtId="0" fontId="0" fillId="18" borderId="12" xfId="0" applyFill="1" applyBorder="1" applyAlignment="1">
      <alignment wrapText="1"/>
    </xf>
    <xf numFmtId="0" fontId="70" fillId="0" borderId="0" xfId="0" applyFont="1" applyFill="1" applyAlignment="1">
      <alignment wrapText="1"/>
    </xf>
    <xf numFmtId="44" fontId="0" fillId="18" borderId="0" xfId="0" applyNumberFormat="1" applyFill="1"/>
    <xf numFmtId="44" fontId="0" fillId="0" borderId="17" xfId="0" applyNumberFormat="1" applyFill="1" applyBorder="1"/>
    <xf numFmtId="44" fontId="0" fillId="18" borderId="17" xfId="0" applyNumberFormat="1" applyFill="1" applyBorder="1"/>
    <xf numFmtId="44" fontId="63" fillId="18" borderId="17" xfId="0" applyNumberFormat="1" applyFont="1" applyFill="1" applyBorder="1"/>
    <xf numFmtId="44" fontId="63" fillId="18" borderId="0" xfId="0" applyNumberFormat="1" applyFont="1" applyFill="1"/>
    <xf numFmtId="44" fontId="63" fillId="18" borderId="11" xfId="0" applyNumberFormat="1" applyFont="1" applyFill="1" applyBorder="1"/>
    <xf numFmtId="0" fontId="0" fillId="0" borderId="0" xfId="0" applyFont="1" applyAlignment="1">
      <alignment wrapText="1"/>
    </xf>
    <xf numFmtId="44" fontId="0" fillId="0" borderId="0" xfId="0" applyNumberFormat="1" applyAlignment="1">
      <alignment horizontal="center" vertical="center"/>
    </xf>
    <xf numFmtId="176" fontId="0" fillId="0" borderId="18" xfId="0" applyNumberFormat="1" applyBorder="1" applyAlignment="1">
      <alignment horizontal="right"/>
    </xf>
    <xf numFmtId="44" fontId="12" fillId="0" borderId="0" xfId="0" applyNumberFormat="1" applyFont="1" applyAlignment="1">
      <alignment horizontal="center" vertical="center"/>
    </xf>
    <xf numFmtId="0" fontId="0" fillId="17" borderId="0" xfId="0" applyFill="1"/>
    <xf numFmtId="176" fontId="0" fillId="0" borderId="18" xfId="0" applyNumberFormat="1" applyFont="1" applyBorder="1" applyAlignment="1">
      <alignment horizontal="right"/>
    </xf>
    <xf numFmtId="0" fontId="26" fillId="0" borderId="18" xfId="0" applyFont="1" applyBorder="1" applyAlignment="1">
      <alignment horizontal="right"/>
    </xf>
    <xf numFmtId="170" fontId="0" fillId="0" borderId="0" xfId="0" applyNumberFormat="1"/>
    <xf numFmtId="165" fontId="0" fillId="17" borderId="0" xfId="0" applyNumberFormat="1" applyFill="1"/>
    <xf numFmtId="0" fontId="0" fillId="0" borderId="2" xfId="0" applyFont="1" applyFill="1" applyBorder="1"/>
    <xf numFmtId="165" fontId="12" fillId="0" borderId="0" xfId="0" applyNumberFormat="1" applyFont="1"/>
    <xf numFmtId="0" fontId="0" fillId="0" borderId="0" xfId="0" applyAlignment="1"/>
    <xf numFmtId="1" fontId="0" fillId="0" borderId="0" xfId="0" applyNumberFormat="1"/>
    <xf numFmtId="44" fontId="71" fillId="0" borderId="0" xfId="0" applyNumberFormat="1" applyFont="1"/>
    <xf numFmtId="0" fontId="0" fillId="0" borderId="0" xfId="0" applyFont="1" applyBorder="1" applyAlignment="1">
      <alignment vertical="top"/>
    </xf>
    <xf numFmtId="0" fontId="34" fillId="0" borderId="0" xfId="0" applyFont="1" applyBorder="1" applyAlignment="1">
      <alignment vertical="top"/>
    </xf>
    <xf numFmtId="0" fontId="35" fillId="0" borderId="0" xfId="0" applyFont="1" applyBorder="1" applyAlignment="1"/>
    <xf numFmtId="0" fontId="72" fillId="0" borderId="0" xfId="0" applyFont="1" applyBorder="1" applyAlignment="1">
      <alignment horizontal="right" vertical="top"/>
    </xf>
    <xf numFmtId="0" fontId="73" fillId="0" borderId="0" xfId="0" applyFont="1"/>
    <xf numFmtId="0" fontId="0" fillId="0" borderId="0" xfId="0" applyFont="1" applyAlignment="1"/>
    <xf numFmtId="170" fontId="71" fillId="0" borderId="0" xfId="0" applyNumberFormat="1" applyFont="1"/>
    <xf numFmtId="170" fontId="71" fillId="0" borderId="0" xfId="0" applyNumberFormat="1" applyFont="1" applyAlignment="1">
      <alignment horizontal="right"/>
    </xf>
    <xf numFmtId="164" fontId="71" fillId="0" borderId="0" xfId="0" applyNumberFormat="1" applyFont="1" applyAlignment="1">
      <alignment horizontal="right"/>
    </xf>
    <xf numFmtId="0" fontId="71" fillId="0" borderId="0" xfId="0" applyFont="1"/>
    <xf numFmtId="0" fontId="74" fillId="0" borderId="0" xfId="0" applyFont="1" applyAlignment="1">
      <alignment horizontal="center"/>
    </xf>
    <xf numFmtId="0" fontId="75" fillId="0" borderId="0" xfId="0" applyFont="1"/>
    <xf numFmtId="177" fontId="71" fillId="0" borderId="0" xfId="0" applyNumberFormat="1" applyFont="1" applyBorder="1" applyAlignment="1"/>
    <xf numFmtId="0" fontId="73" fillId="0" borderId="0" xfId="0" applyFont="1" applyAlignment="1">
      <alignment horizontal="center"/>
    </xf>
    <xf numFmtId="0" fontId="0" fillId="0" borderId="0" xfId="0" applyFont="1" applyBorder="1" applyAlignment="1"/>
    <xf numFmtId="44" fontId="71" fillId="0" borderId="0" xfId="0" applyNumberFormat="1" applyFont="1" applyBorder="1"/>
    <xf numFmtId="0" fontId="0" fillId="0" borderId="29" xfId="0" applyBorder="1"/>
    <xf numFmtId="170" fontId="71" fillId="0" borderId="29" xfId="0" applyNumberFormat="1" applyFont="1" applyBorder="1"/>
    <xf numFmtId="44" fontId="71" fillId="0" borderId="29" xfId="0" applyNumberFormat="1" applyFont="1" applyBorder="1"/>
    <xf numFmtId="14" fontId="0" fillId="0" borderId="0" xfId="0" applyNumberFormat="1" applyFont="1" applyBorder="1" applyAlignment="1">
      <alignment vertical="top" wrapText="1"/>
    </xf>
    <xf numFmtId="14" fontId="73" fillId="0" borderId="30" xfId="0" applyNumberFormat="1" applyFont="1" applyBorder="1" applyAlignment="1">
      <alignment wrapText="1"/>
    </xf>
    <xf numFmtId="0" fontId="71" fillId="0" borderId="30" xfId="0" applyFont="1" applyBorder="1"/>
    <xf numFmtId="14" fontId="36" fillId="0" borderId="30" xfId="0" applyNumberFormat="1" applyFont="1" applyBorder="1" applyAlignment="1"/>
    <xf numFmtId="0" fontId="36" fillId="0" borderId="30" xfId="0" applyFont="1" applyBorder="1"/>
    <xf numFmtId="0" fontId="36" fillId="0" borderId="30" xfId="0" applyFont="1" applyBorder="1" applyAlignment="1"/>
    <xf numFmtId="0" fontId="0" fillId="0" borderId="30" xfId="0" applyFont="1" applyBorder="1"/>
    <xf numFmtId="14" fontId="0" fillId="21" borderId="0" xfId="0" applyNumberFormat="1" applyFont="1" applyFill="1" applyBorder="1" applyAlignment="1">
      <alignment vertical="top" wrapText="1"/>
    </xf>
    <xf numFmtId="44" fontId="71" fillId="21" borderId="0" xfId="0" applyNumberFormat="1" applyFont="1" applyFill="1" applyBorder="1"/>
    <xf numFmtId="14" fontId="0" fillId="21" borderId="29" xfId="0" applyNumberFormat="1" applyFont="1" applyFill="1" applyBorder="1" applyAlignment="1">
      <alignment vertical="top" wrapText="1"/>
    </xf>
    <xf numFmtId="0" fontId="0" fillId="21" borderId="0" xfId="0" applyFont="1" applyFill="1" applyBorder="1" applyAlignment="1"/>
    <xf numFmtId="0" fontId="0" fillId="21" borderId="29" xfId="0" applyFont="1" applyFill="1" applyBorder="1" applyAlignment="1"/>
    <xf numFmtId="9" fontId="71" fillId="21" borderId="29" xfId="0" applyNumberFormat="1" applyFont="1" applyFill="1" applyBorder="1"/>
    <xf numFmtId="0" fontId="0" fillId="21" borderId="0" xfId="0" applyFill="1" applyAlignment="1"/>
    <xf numFmtId="164" fontId="71" fillId="21" borderId="0" xfId="0" applyNumberFormat="1" applyFont="1" applyFill="1"/>
    <xf numFmtId="0" fontId="0" fillId="21" borderId="29" xfId="0" applyFill="1" applyBorder="1" applyAlignment="1"/>
    <xf numFmtId="164" fontId="71" fillId="21" borderId="29" xfId="0" applyNumberFormat="1" applyFont="1" applyFill="1" applyBorder="1"/>
    <xf numFmtId="0" fontId="0" fillId="21" borderId="0" xfId="0" applyFill="1"/>
    <xf numFmtId="170" fontId="71" fillId="21" borderId="0" xfId="0" applyNumberFormat="1" applyFont="1" applyFill="1" applyAlignment="1">
      <alignment horizontal="right"/>
    </xf>
    <xf numFmtId="0" fontId="0" fillId="21" borderId="29" xfId="0" applyFill="1" applyBorder="1"/>
    <xf numFmtId="0" fontId="71" fillId="21" borderId="0" xfId="0" applyFont="1" applyFill="1"/>
    <xf numFmtId="0" fontId="71" fillId="21" borderId="29" xfId="0" applyFont="1" applyFill="1" applyBorder="1"/>
    <xf numFmtId="170" fontId="71" fillId="21" borderId="0" xfId="0" applyNumberFormat="1" applyFont="1" applyFill="1"/>
    <xf numFmtId="170" fontId="71" fillId="21" borderId="29" xfId="0" applyNumberFormat="1" applyFont="1" applyFill="1" applyBorder="1"/>
    <xf numFmtId="44" fontId="71" fillId="21" borderId="0" xfId="0" applyNumberFormat="1" applyFont="1" applyFill="1"/>
    <xf numFmtId="14" fontId="22" fillId="0" borderId="0" xfId="0" applyNumberFormat="1" applyFont="1" applyAlignment="1">
      <alignment horizontal="center" vertical="center"/>
    </xf>
    <xf numFmtId="170" fontId="22" fillId="0" borderId="0" xfId="0" applyNumberFormat="1" applyFont="1" applyAlignment="1">
      <alignment horizontal="center" vertical="center"/>
    </xf>
    <xf numFmtId="14" fontId="3" fillId="0" borderId="0" xfId="0" applyNumberFormat="1" applyFont="1" applyAlignment="1">
      <alignment horizontal="center" vertical="center"/>
    </xf>
    <xf numFmtId="170" fontId="3" fillId="0" borderId="0" xfId="0" applyNumberFormat="1" applyFont="1" applyAlignment="1">
      <alignment horizontal="center" vertical="center"/>
    </xf>
    <xf numFmtId="2" fontId="3" fillId="0" borderId="0" xfId="0" applyNumberFormat="1" applyFont="1" applyAlignment="1">
      <alignment horizontal="center" vertical="center"/>
    </xf>
    <xf numFmtId="14" fontId="3" fillId="0" borderId="0" xfId="0" applyNumberFormat="1" applyFont="1" applyAlignment="1">
      <alignment horizontal="center" vertical="center" wrapText="1"/>
    </xf>
    <xf numFmtId="170" fontId="3" fillId="0" borderId="0" xfId="0" applyNumberFormat="1" applyFont="1"/>
    <xf numFmtId="0" fontId="3" fillId="0" borderId="0" xfId="0" applyFont="1" applyAlignment="1">
      <alignment wrapText="1"/>
    </xf>
    <xf numFmtId="0" fontId="0" fillId="22" borderId="0" xfId="0" applyFill="1"/>
    <xf numFmtId="0" fontId="71" fillId="0" borderId="0" xfId="0" applyFont="1" applyAlignment="1">
      <alignment vertical="top" wrapText="1"/>
    </xf>
    <xf numFmtId="0" fontId="68" fillId="0" borderId="0" xfId="0" applyFont="1" applyAlignment="1" applyProtection="1"/>
    <xf numFmtId="0" fontId="0" fillId="0" borderId="0" xfId="0" applyFill="1" applyBorder="1" applyAlignment="1" applyProtection="1">
      <alignment wrapText="1"/>
    </xf>
    <xf numFmtId="0" fontId="0" fillId="0" borderId="29" xfId="0" applyBorder="1" applyProtection="1"/>
    <xf numFmtId="44" fontId="26" fillId="0" borderId="31" xfId="0" applyNumberFormat="1" applyFont="1" applyBorder="1" applyProtection="1"/>
    <xf numFmtId="0" fontId="68" fillId="0" borderId="0" xfId="0" applyFont="1"/>
    <xf numFmtId="165" fontId="76" fillId="0" borderId="0" xfId="0" applyNumberFormat="1" applyFont="1" applyFill="1" applyBorder="1" applyProtection="1"/>
    <xf numFmtId="7" fontId="3" fillId="0" borderId="0" xfId="0" applyNumberFormat="1" applyFont="1"/>
    <xf numFmtId="164" fontId="76" fillId="0" borderId="0" xfId="0" applyNumberFormat="1" applyFont="1" applyFill="1" applyBorder="1" applyProtection="1"/>
    <xf numFmtId="170" fontId="76" fillId="0" borderId="0" xfId="0" applyNumberFormat="1" applyFont="1" applyFill="1" applyBorder="1" applyProtection="1"/>
    <xf numFmtId="0" fontId="77" fillId="0" borderId="0" xfId="0" applyFont="1"/>
    <xf numFmtId="0" fontId="0" fillId="21" borderId="32" xfId="0" applyFill="1" applyBorder="1"/>
    <xf numFmtId="0" fontId="77" fillId="0" borderId="0" xfId="0" applyFont="1" applyBorder="1"/>
    <xf numFmtId="0" fontId="27" fillId="0" borderId="0" xfId="0" applyFont="1"/>
    <xf numFmtId="0" fontId="0" fillId="0" borderId="0" xfId="0" applyFont="1" applyAlignment="1" applyProtection="1"/>
    <xf numFmtId="0" fontId="0" fillId="0" borderId="0" xfId="0" applyFont="1" applyProtection="1"/>
    <xf numFmtId="0" fontId="34" fillId="0" borderId="0" xfId="0" applyFont="1" applyAlignment="1" applyProtection="1"/>
    <xf numFmtId="0" fontId="34" fillId="0" borderId="0" xfId="0" applyFont="1" applyAlignment="1" applyProtection="1">
      <alignment horizontal="right"/>
    </xf>
    <xf numFmtId="0" fontId="34" fillId="0" borderId="0" xfId="0" applyFont="1" applyProtection="1"/>
    <xf numFmtId="0" fontId="34" fillId="0" borderId="0" xfId="0" applyFont="1" applyAlignment="1" applyProtection="1">
      <alignment horizontal="left"/>
    </xf>
    <xf numFmtId="0" fontId="77" fillId="23" borderId="33" xfId="0" applyFont="1" applyFill="1" applyBorder="1" applyAlignment="1">
      <alignment horizontal="center" vertical="center"/>
    </xf>
    <xf numFmtId="9" fontId="77" fillId="23" borderId="33" xfId="0" applyNumberFormat="1" applyFont="1" applyFill="1" applyBorder="1" applyAlignment="1">
      <alignment horizontal="center" vertical="center"/>
    </xf>
    <xf numFmtId="0" fontId="30" fillId="0" borderId="0" xfId="0" applyFont="1" applyAlignment="1" applyProtection="1">
      <alignment horizontal="right"/>
    </xf>
    <xf numFmtId="0" fontId="12" fillId="0" borderId="0" xfId="0" applyFont="1" applyFill="1" applyBorder="1" applyAlignment="1" applyProtection="1">
      <alignment horizontal="center" vertical="center"/>
    </xf>
    <xf numFmtId="0" fontId="12" fillId="0" borderId="0" xfId="0" applyFont="1" applyBorder="1" applyAlignment="1" applyProtection="1"/>
    <xf numFmtId="0" fontId="0" fillId="0" borderId="0" xfId="0" applyFont="1" applyBorder="1" applyProtection="1"/>
    <xf numFmtId="9" fontId="0" fillId="0" borderId="0" xfId="0" applyNumberFormat="1" applyFont="1" applyProtection="1"/>
    <xf numFmtId="0" fontId="0" fillId="0" borderId="32" xfId="0" applyFont="1" applyBorder="1"/>
    <xf numFmtId="169" fontId="77" fillId="0" borderId="34" xfId="0" applyNumberFormat="1" applyFont="1" applyBorder="1" applyProtection="1"/>
    <xf numFmtId="169" fontId="77" fillId="0" borderId="32" xfId="0" applyNumberFormat="1" applyFont="1" applyBorder="1" applyProtection="1"/>
    <xf numFmtId="0" fontId="0" fillId="21" borderId="32" xfId="0" applyFont="1" applyFill="1" applyBorder="1"/>
    <xf numFmtId="169" fontId="77" fillId="21" borderId="34" xfId="0" applyNumberFormat="1" applyFont="1" applyFill="1" applyBorder="1" applyProtection="1"/>
    <xf numFmtId="169" fontId="77" fillId="21" borderId="32" xfId="0" applyNumberFormat="1" applyFont="1" applyFill="1" applyBorder="1" applyProtection="1"/>
    <xf numFmtId="0" fontId="0" fillId="21" borderId="35" xfId="0" applyFont="1" applyFill="1" applyBorder="1"/>
    <xf numFmtId="0" fontId="77" fillId="0" borderId="0" xfId="0" applyFont="1" applyProtection="1"/>
    <xf numFmtId="0" fontId="12" fillId="0" borderId="0" xfId="0" applyFont="1" applyFill="1" applyAlignment="1" applyProtection="1">
      <alignment horizontal="left" indent="1"/>
    </xf>
    <xf numFmtId="0" fontId="0" fillId="0" borderId="0" xfId="0" applyFont="1" applyBorder="1"/>
    <xf numFmtId="164" fontId="77" fillId="0" borderId="34" xfId="0" applyNumberFormat="1" applyFont="1" applyBorder="1" applyProtection="1"/>
    <xf numFmtId="164" fontId="77" fillId="0" borderId="32" xfId="0" applyNumberFormat="1" applyFont="1" applyBorder="1" applyProtection="1"/>
    <xf numFmtId="164" fontId="77" fillId="21" borderId="34" xfId="0" applyNumberFormat="1" applyFont="1" applyFill="1" applyBorder="1" applyProtection="1"/>
    <xf numFmtId="164" fontId="77" fillId="21" borderId="32" xfId="0" applyNumberFormat="1" applyFont="1" applyFill="1" applyBorder="1" applyProtection="1"/>
    <xf numFmtId="0" fontId="0" fillId="0" borderId="35" xfId="0" applyFont="1" applyBorder="1"/>
    <xf numFmtId="164" fontId="77" fillId="0" borderId="36" xfId="0" applyNumberFormat="1" applyFont="1" applyBorder="1" applyProtection="1"/>
    <xf numFmtId="164" fontId="77" fillId="0" borderId="35" xfId="0" applyNumberFormat="1" applyFont="1" applyBorder="1" applyProtection="1"/>
    <xf numFmtId="165" fontId="0" fillId="0" borderId="0" xfId="0" applyNumberFormat="1" applyFont="1" applyBorder="1" applyProtection="1"/>
    <xf numFmtId="0" fontId="27" fillId="0" borderId="0" xfId="0" applyFont="1" applyBorder="1"/>
    <xf numFmtId="173" fontId="77" fillId="0" borderId="34" xfId="0" applyNumberFormat="1" applyFont="1" applyBorder="1" applyProtection="1"/>
    <xf numFmtId="173" fontId="77" fillId="0" borderId="0" xfId="0" applyNumberFormat="1" applyFont="1" applyProtection="1"/>
    <xf numFmtId="173" fontId="77" fillId="0" borderId="32" xfId="0" applyNumberFormat="1" applyFont="1" applyBorder="1" applyProtection="1"/>
    <xf numFmtId="164" fontId="77" fillId="21" borderId="36" xfId="0" applyNumberFormat="1" applyFont="1" applyFill="1" applyBorder="1" applyProtection="1"/>
    <xf numFmtId="164" fontId="77" fillId="21" borderId="35" xfId="0" applyNumberFormat="1" applyFont="1" applyFill="1" applyBorder="1" applyProtection="1"/>
    <xf numFmtId="165" fontId="77" fillId="0" borderId="0" xfId="0" applyNumberFormat="1" applyFont="1" applyFill="1" applyProtection="1"/>
    <xf numFmtId="165" fontId="0" fillId="0" borderId="0" xfId="0" applyNumberFormat="1" applyFont="1" applyFill="1" applyProtection="1"/>
    <xf numFmtId="165" fontId="0" fillId="0" borderId="0" xfId="0" applyNumberFormat="1" applyFont="1" applyFill="1" applyBorder="1" applyProtection="1"/>
    <xf numFmtId="164" fontId="12" fillId="0" borderId="0" xfId="0" applyNumberFormat="1" applyFont="1" applyFill="1" applyBorder="1" applyAlignment="1" applyProtection="1">
      <alignment horizontal="left" indent="1"/>
    </xf>
    <xf numFmtId="164" fontId="77" fillId="0" borderId="0" xfId="0" applyNumberFormat="1" applyFont="1" applyFill="1" applyBorder="1" applyProtection="1"/>
    <xf numFmtId="164" fontId="0" fillId="0" borderId="0" xfId="0" applyNumberFormat="1" applyFont="1" applyFill="1" applyBorder="1" applyProtection="1"/>
    <xf numFmtId="0" fontId="0" fillId="0" borderId="0" xfId="0" applyFont="1" applyFill="1" applyProtection="1"/>
    <xf numFmtId="0" fontId="40" fillId="0" borderId="0" xfId="0" applyFont="1" applyBorder="1" applyAlignment="1"/>
    <xf numFmtId="0" fontId="0" fillId="0" borderId="0" xfId="0" applyFont="1" applyBorder="1" applyAlignment="1">
      <alignment horizontal="right"/>
    </xf>
    <xf numFmtId="0" fontId="41" fillId="0" borderId="0" xfId="0" applyFont="1" applyBorder="1" applyAlignment="1"/>
    <xf numFmtId="0" fontId="34" fillId="0" borderId="0" xfId="0" applyFont="1" applyBorder="1" applyAlignment="1"/>
    <xf numFmtId="0" fontId="34" fillId="0" borderId="0" xfId="0" applyFont="1" applyBorder="1"/>
    <xf numFmtId="0" fontId="34" fillId="0" borderId="0" xfId="0" applyFont="1" applyFill="1" applyBorder="1" applyAlignment="1" applyProtection="1">
      <protection locked="0"/>
    </xf>
    <xf numFmtId="0" fontId="30" fillId="0" borderId="0" xfId="0" applyFont="1" applyBorder="1" applyAlignment="1"/>
    <xf numFmtId="14" fontId="40" fillId="0" borderId="0" xfId="0" applyNumberFormat="1" applyFont="1" applyBorder="1" applyAlignment="1">
      <alignment horizontal="left"/>
    </xf>
    <xf numFmtId="0" fontId="78" fillId="0" borderId="1" xfId="0" applyFont="1" applyFill="1" applyBorder="1" applyAlignment="1" applyProtection="1">
      <alignment horizontal="left" vertical="center"/>
    </xf>
    <xf numFmtId="0" fontId="0" fillId="0" borderId="1" xfId="0" applyFont="1" applyBorder="1"/>
    <xf numFmtId="0" fontId="29" fillId="0" borderId="1" xfId="0" applyFont="1" applyBorder="1" applyAlignment="1">
      <alignment horizontal="center"/>
    </xf>
    <xf numFmtId="0" fontId="27" fillId="0" borderId="32" xfId="0" applyFont="1" applyFill="1" applyBorder="1" applyAlignment="1">
      <alignment wrapText="1"/>
    </xf>
    <xf numFmtId="165" fontId="27" fillId="0" borderId="34" xfId="0" applyNumberFormat="1" applyFont="1" applyFill="1" applyBorder="1" applyAlignment="1">
      <alignment horizontal="right"/>
    </xf>
    <xf numFmtId="164" fontId="79" fillId="0" borderId="34" xfId="0" applyNumberFormat="1" applyFont="1" applyFill="1" applyBorder="1" applyAlignment="1">
      <alignment horizontal="right"/>
    </xf>
    <xf numFmtId="0" fontId="26" fillId="0" borderId="0" xfId="0" applyFont="1" applyBorder="1"/>
    <xf numFmtId="0" fontId="39" fillId="21" borderId="32" xfId="0" applyFont="1" applyFill="1" applyBorder="1" applyAlignment="1">
      <alignment wrapText="1"/>
    </xf>
    <xf numFmtId="165" fontId="39" fillId="21" borderId="34" xfId="0" applyNumberFormat="1" applyFont="1" applyFill="1" applyBorder="1" applyAlignment="1">
      <alignment horizontal="right"/>
    </xf>
    <xf numFmtId="0" fontId="79" fillId="0" borderId="31" xfId="0" applyFont="1" applyFill="1" applyBorder="1" applyAlignment="1">
      <alignment wrapText="1"/>
    </xf>
    <xf numFmtId="164" fontId="79" fillId="0" borderId="37" xfId="0" applyNumberFormat="1" applyFont="1" applyFill="1" applyBorder="1" applyAlignment="1">
      <alignment horizontal="right"/>
    </xf>
    <xf numFmtId="0" fontId="27" fillId="21" borderId="32" xfId="0" applyFont="1" applyFill="1" applyBorder="1" applyAlignment="1">
      <alignment wrapText="1"/>
    </xf>
    <xf numFmtId="165" fontId="27" fillId="21" borderId="34" xfId="0" applyNumberFormat="1" applyFont="1" applyFill="1" applyBorder="1" applyAlignment="1">
      <alignment horizontal="right"/>
    </xf>
    <xf numFmtId="0" fontId="80" fillId="0" borderId="35" xfId="0" applyFont="1" applyFill="1" applyBorder="1" applyAlignment="1">
      <alignment wrapText="1"/>
    </xf>
    <xf numFmtId="164" fontId="80" fillId="0" borderId="36" xfId="0" applyNumberFormat="1" applyFont="1" applyFill="1" applyBorder="1" applyAlignment="1">
      <alignment horizontal="right"/>
    </xf>
    <xf numFmtId="0" fontId="0" fillId="0" borderId="0" xfId="0" applyFont="1" applyFill="1" applyBorder="1" applyAlignment="1">
      <alignment horizontal="left"/>
    </xf>
    <xf numFmtId="0" fontId="81" fillId="0" borderId="0" xfId="0" applyFont="1" applyFill="1" applyBorder="1" applyAlignment="1"/>
    <xf numFmtId="165" fontId="81" fillId="0" borderId="0" xfId="0" applyNumberFormat="1" applyFont="1" applyFill="1" applyBorder="1" applyAlignment="1"/>
    <xf numFmtId="0" fontId="39" fillId="0" borderId="32" xfId="0" applyFont="1" applyFill="1" applyBorder="1" applyAlignment="1">
      <alignment horizontal="left" wrapText="1"/>
    </xf>
    <xf numFmtId="165" fontId="39" fillId="0" borderId="34" xfId="0" applyNumberFormat="1" applyFont="1" applyFill="1" applyBorder="1" applyAlignment="1">
      <alignment horizontal="right"/>
    </xf>
    <xf numFmtId="0" fontId="79" fillId="0" borderId="32" xfId="0" applyFont="1" applyFill="1" applyBorder="1" applyAlignment="1">
      <alignment horizontal="left" wrapText="1"/>
    </xf>
    <xf numFmtId="0" fontId="39" fillId="21" borderId="32" xfId="0" applyFont="1" applyFill="1" applyBorder="1" applyAlignment="1">
      <alignment horizontal="left" wrapText="1"/>
    </xf>
    <xf numFmtId="165" fontId="12" fillId="0" borderId="0" xfId="0" applyNumberFormat="1" applyFont="1" applyFill="1" applyBorder="1" applyAlignment="1">
      <alignment horizontal="center" vertical="center" wrapText="1"/>
    </xf>
    <xf numFmtId="0" fontId="29" fillId="0" borderId="0" xfId="0" applyFont="1" applyFill="1" applyBorder="1" applyAlignment="1"/>
    <xf numFmtId="0" fontId="12" fillId="0" borderId="0" xfId="0" applyFont="1" applyBorder="1" applyAlignment="1">
      <alignment horizontal="left" vertical="center" wrapText="1"/>
    </xf>
    <xf numFmtId="0" fontId="39" fillId="0" borderId="31" xfId="0" applyFont="1" applyFill="1" applyBorder="1" applyAlignment="1">
      <alignment wrapText="1"/>
    </xf>
    <xf numFmtId="165" fontId="39" fillId="0" borderId="37" xfId="0" applyNumberFormat="1" applyFont="1" applyFill="1" applyBorder="1" applyAlignment="1">
      <alignment horizontal="right"/>
    </xf>
    <xf numFmtId="0" fontId="39" fillId="0" borderId="32" xfId="0" applyFont="1" applyFill="1" applyBorder="1" applyAlignment="1">
      <alignment wrapText="1"/>
    </xf>
    <xf numFmtId="164" fontId="79" fillId="0" borderId="37" xfId="0" applyNumberFormat="1" applyFont="1" applyFill="1" applyBorder="1" applyAlignment="1">
      <alignment horizontal="right" vertical="center"/>
    </xf>
    <xf numFmtId="0" fontId="39" fillId="21" borderId="31" xfId="0" applyFont="1" applyFill="1" applyBorder="1" applyAlignment="1">
      <alignment wrapText="1"/>
    </xf>
    <xf numFmtId="165" fontId="39" fillId="21" borderId="37" xfId="0" applyNumberFormat="1" applyFont="1" applyFill="1" applyBorder="1" applyAlignment="1">
      <alignment horizontal="right"/>
    </xf>
    <xf numFmtId="164" fontId="12" fillId="0" borderId="38" xfId="0" applyNumberFormat="1" applyFont="1" applyFill="1" applyBorder="1" applyAlignment="1">
      <alignment horizontal="right"/>
    </xf>
    <xf numFmtId="0" fontId="0" fillId="0" borderId="0" xfId="0" applyFont="1" applyFill="1" applyBorder="1" applyAlignment="1">
      <alignment wrapText="1"/>
    </xf>
    <xf numFmtId="0" fontId="0" fillId="0" borderId="0" xfId="0" applyNumberFormat="1" applyFont="1" applyFill="1" applyBorder="1" applyAlignment="1">
      <alignment horizontal="right"/>
    </xf>
    <xf numFmtId="0" fontId="82" fillId="0" borderId="0" xfId="0" applyFont="1" applyFill="1" applyBorder="1" applyAlignment="1">
      <alignment horizontal="left" wrapText="1"/>
    </xf>
    <xf numFmtId="0" fontId="73" fillId="0" borderId="0" xfId="0" applyFont="1" applyFill="1" applyBorder="1" applyAlignment="1"/>
    <xf numFmtId="165" fontId="39" fillId="0" borderId="0" xfId="0" applyNumberFormat="1" applyFont="1" applyFill="1" applyBorder="1" applyAlignment="1">
      <alignment horizontal="right"/>
    </xf>
    <xf numFmtId="165" fontId="39" fillId="21" borderId="0" xfId="0" applyNumberFormat="1" applyFont="1" applyFill="1" applyBorder="1" applyAlignment="1">
      <alignment horizontal="right"/>
    </xf>
    <xf numFmtId="165" fontId="79" fillId="0" borderId="34" xfId="0" applyNumberFormat="1" applyFont="1" applyFill="1" applyBorder="1" applyAlignment="1">
      <alignment horizontal="right"/>
    </xf>
    <xf numFmtId="164" fontId="79" fillId="0" borderId="0" xfId="0" applyNumberFormat="1" applyFont="1" applyFill="1" applyBorder="1" applyAlignment="1">
      <alignment horizontal="right"/>
    </xf>
    <xf numFmtId="0" fontId="83" fillId="0" borderId="0" xfId="0" applyFont="1" applyBorder="1"/>
    <xf numFmtId="0" fontId="27" fillId="21" borderId="31" xfId="0" applyFont="1" applyFill="1" applyBorder="1" applyAlignment="1">
      <alignment wrapText="1"/>
    </xf>
    <xf numFmtId="165" fontId="27" fillId="21" borderId="37" xfId="0" applyNumberFormat="1" applyFont="1" applyFill="1" applyBorder="1" applyAlignment="1">
      <alignment horizontal="right"/>
    </xf>
    <xf numFmtId="165" fontId="27" fillId="21" borderId="39" xfId="0" applyNumberFormat="1" applyFont="1" applyFill="1" applyBorder="1" applyAlignment="1">
      <alignment horizontal="right"/>
    </xf>
    <xf numFmtId="165" fontId="39" fillId="0" borderId="39" xfId="0" applyNumberFormat="1" applyFont="1" applyFill="1" applyBorder="1" applyAlignment="1">
      <alignment horizontal="right"/>
    </xf>
    <xf numFmtId="0" fontId="27" fillId="21" borderId="35" xfId="0" applyFont="1" applyFill="1" applyBorder="1" applyAlignment="1">
      <alignment wrapText="1"/>
    </xf>
    <xf numFmtId="165" fontId="27" fillId="21" borderId="36" xfId="0" applyNumberFormat="1" applyFont="1" applyFill="1" applyBorder="1" applyAlignment="1">
      <alignment horizontal="right"/>
    </xf>
    <xf numFmtId="165" fontId="27" fillId="21" borderId="29" xfId="0" applyNumberFormat="1" applyFont="1" applyFill="1" applyBorder="1" applyAlignment="1">
      <alignment horizontal="right"/>
    </xf>
    <xf numFmtId="0" fontId="36" fillId="0" borderId="0" xfId="0" applyFont="1" applyFill="1" applyBorder="1" applyAlignment="1"/>
    <xf numFmtId="0" fontId="27" fillId="0" borderId="40" xfId="0" applyFont="1" applyFill="1" applyBorder="1" applyAlignment="1">
      <alignment wrapText="1"/>
    </xf>
    <xf numFmtId="165" fontId="27" fillId="0" borderId="41" xfId="0" applyNumberFormat="1" applyFont="1" applyFill="1" applyBorder="1" applyAlignment="1">
      <alignment horizontal="right"/>
    </xf>
    <xf numFmtId="0" fontId="27" fillId="0" borderId="0" xfId="0" applyFont="1" applyFill="1" applyBorder="1" applyAlignment="1">
      <alignment wrapText="1"/>
    </xf>
    <xf numFmtId="165" fontId="27" fillId="0" borderId="0" xfId="0" applyNumberFormat="1" applyFont="1" applyFill="1" applyBorder="1" applyAlignment="1">
      <alignment horizontal="right"/>
    </xf>
    <xf numFmtId="0" fontId="12" fillId="0" borderId="0" xfId="0" applyFont="1" applyBorder="1" applyAlignment="1">
      <alignment horizontal="left" wrapText="1"/>
    </xf>
    <xf numFmtId="0" fontId="36" fillId="0" borderId="0" xfId="0" applyFont="1" applyBorder="1" applyAlignment="1"/>
    <xf numFmtId="0" fontId="27" fillId="21" borderId="42" xfId="0" applyFont="1" applyFill="1" applyBorder="1" applyAlignment="1">
      <alignment wrapText="1"/>
    </xf>
    <xf numFmtId="165" fontId="27" fillId="21" borderId="43" xfId="0" applyNumberFormat="1" applyFont="1" applyFill="1" applyBorder="1" applyAlignment="1">
      <alignment horizontal="right"/>
    </xf>
    <xf numFmtId="0" fontId="80" fillId="23" borderId="35" xfId="0" applyFont="1" applyFill="1" applyBorder="1" applyAlignment="1">
      <alignment horizontal="right" wrapText="1"/>
    </xf>
    <xf numFmtId="165" fontId="80" fillId="23" borderId="36" xfId="0" applyNumberFormat="1" applyFont="1" applyFill="1" applyBorder="1" applyAlignment="1">
      <alignment horizontal="right"/>
    </xf>
    <xf numFmtId="0" fontId="0" fillId="0" borderId="0" xfId="0" applyFont="1" applyBorder="1" applyAlignment="1">
      <alignment horizontal="left"/>
    </xf>
    <xf numFmtId="165" fontId="0" fillId="0" borderId="0" xfId="0" applyNumberFormat="1" applyFont="1" applyBorder="1"/>
    <xf numFmtId="165" fontId="0" fillId="0" borderId="0" xfId="0" applyNumberFormat="1" applyFont="1" applyBorder="1" applyAlignment="1">
      <alignment horizontal="right"/>
    </xf>
    <xf numFmtId="0" fontId="83" fillId="0" borderId="32" xfId="0" applyFont="1" applyFill="1" applyBorder="1" applyAlignment="1">
      <alignment wrapText="1"/>
    </xf>
    <xf numFmtId="0" fontId="27" fillId="0" borderId="44" xfId="0" applyFont="1" applyBorder="1" applyAlignment="1" applyProtection="1">
      <alignment horizontal="right"/>
    </xf>
    <xf numFmtId="0" fontId="12" fillId="0" borderId="45" xfId="0" applyFont="1" applyBorder="1" applyAlignment="1" applyProtection="1">
      <alignment horizontal="center"/>
    </xf>
    <xf numFmtId="7" fontId="40" fillId="0" borderId="33" xfId="0" applyNumberFormat="1" applyFont="1" applyBorder="1" applyAlignment="1">
      <alignment horizontal="center" vertical="center"/>
    </xf>
    <xf numFmtId="9" fontId="29" fillId="0" borderId="33" xfId="0" applyNumberFormat="1" applyFont="1" applyBorder="1" applyAlignment="1" applyProtection="1">
      <alignment horizontal="center"/>
    </xf>
    <xf numFmtId="0" fontId="84" fillId="0" borderId="46" xfId="0" applyFont="1" applyBorder="1" applyAlignment="1">
      <alignment horizontal="center"/>
    </xf>
    <xf numFmtId="0" fontId="84" fillId="0" borderId="46" xfId="0" applyFont="1" applyBorder="1"/>
    <xf numFmtId="0" fontId="60" fillId="0" borderId="0" xfId="23"/>
    <xf numFmtId="179" fontId="60" fillId="0" borderId="0" xfId="23" applyNumberFormat="1"/>
    <xf numFmtId="0" fontId="63" fillId="0" borderId="0" xfId="23" applyFont="1"/>
    <xf numFmtId="0" fontId="0" fillId="0" borderId="0" xfId="0" applyFont="1" applyFill="1" applyBorder="1"/>
    <xf numFmtId="0" fontId="85" fillId="24" borderId="0" xfId="0" applyFont="1" applyFill="1" applyBorder="1" applyAlignment="1"/>
    <xf numFmtId="0" fontId="85" fillId="24" borderId="13" xfId="0" applyFont="1" applyFill="1" applyBorder="1" applyAlignment="1"/>
    <xf numFmtId="0" fontId="82" fillId="24" borderId="0" xfId="0" applyFont="1" applyFill="1" applyBorder="1" applyAlignment="1"/>
    <xf numFmtId="0" fontId="86" fillId="24" borderId="13" xfId="0" applyFont="1" applyFill="1" applyBorder="1" applyAlignment="1"/>
    <xf numFmtId="0" fontId="86" fillId="24" borderId="0" xfId="0" applyFont="1" applyFill="1" applyBorder="1" applyAlignment="1"/>
    <xf numFmtId="0" fontId="0" fillId="0" borderId="32" xfId="0" applyFont="1" applyFill="1" applyBorder="1"/>
    <xf numFmtId="164" fontId="77" fillId="0" borderId="32" xfId="0" applyNumberFormat="1" applyFont="1" applyFill="1" applyBorder="1" applyProtection="1"/>
    <xf numFmtId="164" fontId="77" fillId="0" borderId="34" xfId="0" applyNumberFormat="1" applyFont="1" applyFill="1" applyBorder="1" applyProtection="1"/>
    <xf numFmtId="0" fontId="76" fillId="0" borderId="0" xfId="0" applyFont="1" applyProtection="1"/>
    <xf numFmtId="0" fontId="87" fillId="25" borderId="0" xfId="0" applyFont="1" applyFill="1" applyProtection="1"/>
    <xf numFmtId="0" fontId="87" fillId="25" borderId="11" xfId="0" applyFont="1" applyFill="1" applyBorder="1" applyAlignment="1" applyProtection="1">
      <alignment horizontal="center"/>
    </xf>
    <xf numFmtId="0" fontId="76" fillId="0" borderId="0" xfId="0" applyFont="1" applyFill="1" applyBorder="1" applyProtection="1"/>
    <xf numFmtId="0" fontId="88" fillId="25" borderId="0" xfId="0" applyFont="1" applyFill="1" applyProtection="1"/>
    <xf numFmtId="0" fontId="67" fillId="25" borderId="0" xfId="0" applyFont="1" applyFill="1" applyBorder="1" applyAlignment="1" applyProtection="1">
      <alignment horizontal="center"/>
    </xf>
    <xf numFmtId="0" fontId="76" fillId="25" borderId="0" xfId="0" applyFont="1" applyFill="1" applyProtection="1"/>
    <xf numFmtId="164" fontId="0" fillId="18" borderId="0" xfId="0" applyNumberFormat="1" applyFont="1" applyFill="1" applyBorder="1" applyAlignment="1" applyProtection="1">
      <alignment horizontal="center" vertical="center"/>
    </xf>
    <xf numFmtId="165" fontId="76" fillId="0" borderId="0" xfId="0" applyNumberFormat="1" applyFont="1" applyProtection="1"/>
    <xf numFmtId="0" fontId="76" fillId="17" borderId="0" xfId="0" applyFont="1" applyFill="1" applyProtection="1"/>
    <xf numFmtId="164" fontId="12" fillId="26" borderId="0" xfId="0" applyNumberFormat="1" applyFont="1" applyFill="1" applyBorder="1" applyProtection="1"/>
    <xf numFmtId="164" fontId="12" fillId="26" borderId="0" xfId="0" applyNumberFormat="1" applyFont="1" applyFill="1" applyBorder="1" applyAlignment="1" applyProtection="1">
      <alignment horizontal="center" vertical="center"/>
    </xf>
    <xf numFmtId="0" fontId="12" fillId="26" borderId="0" xfId="0" applyFont="1" applyFill="1" applyProtection="1"/>
    <xf numFmtId="0" fontId="89" fillId="0" borderId="0" xfId="0" applyFont="1" applyFill="1" applyProtection="1"/>
    <xf numFmtId="0" fontId="0" fillId="0" borderId="32" xfId="0" applyFont="1" applyBorder="1" applyProtection="1"/>
    <xf numFmtId="0" fontId="0" fillId="21" borderId="32" xfId="0" applyFont="1" applyFill="1" applyBorder="1" applyProtection="1"/>
    <xf numFmtId="9" fontId="0" fillId="21" borderId="35" xfId="0" applyNumberFormat="1" applyFont="1" applyFill="1" applyBorder="1" applyAlignment="1" applyProtection="1">
      <alignment horizontal="left"/>
    </xf>
    <xf numFmtId="9" fontId="0" fillId="0" borderId="47" xfId="0" applyNumberFormat="1" applyFont="1" applyBorder="1" applyAlignment="1" applyProtection="1">
      <alignment horizontal="left"/>
    </xf>
    <xf numFmtId="8" fontId="77" fillId="0" borderId="48" xfId="0" applyNumberFormat="1" applyFont="1" applyFill="1" applyBorder="1" applyProtection="1"/>
    <xf numFmtId="8" fontId="77" fillId="0" borderId="30" xfId="0" applyNumberFormat="1" applyFont="1" applyFill="1" applyBorder="1" applyProtection="1"/>
    <xf numFmtId="7" fontId="77" fillId="0" borderId="30" xfId="0" applyNumberFormat="1" applyFont="1" applyFill="1" applyBorder="1" applyProtection="1"/>
    <xf numFmtId="7" fontId="77" fillId="0" borderId="47" xfId="0" applyNumberFormat="1" applyFont="1" applyFill="1" applyBorder="1" applyProtection="1"/>
    <xf numFmtId="44" fontId="77" fillId="21" borderId="29" xfId="0" applyNumberFormat="1" applyFont="1" applyFill="1" applyBorder="1" applyProtection="1"/>
    <xf numFmtId="44" fontId="77" fillId="21" borderId="35" xfId="0" applyNumberFormat="1" applyFont="1" applyFill="1" applyBorder="1" applyProtection="1"/>
    <xf numFmtId="0" fontId="31" fillId="21" borderId="0" xfId="0" applyFont="1" applyFill="1" applyAlignment="1" applyProtection="1">
      <alignment horizontal="center"/>
    </xf>
    <xf numFmtId="0" fontId="31" fillId="21" borderId="32" xfId="0" applyFont="1" applyFill="1" applyBorder="1" applyAlignment="1" applyProtection="1">
      <alignment horizontal="center"/>
    </xf>
    <xf numFmtId="0" fontId="31" fillId="0" borderId="0" xfId="0" applyFont="1" applyFill="1" applyAlignment="1" applyProtection="1">
      <alignment horizontal="center"/>
    </xf>
    <xf numFmtId="164" fontId="77" fillId="0" borderId="33" xfId="0" applyNumberFormat="1" applyFont="1" applyBorder="1" applyAlignment="1">
      <alignment horizontal="center" vertical="center"/>
    </xf>
    <xf numFmtId="0" fontId="0" fillId="0" borderId="32" xfId="0" applyBorder="1"/>
    <xf numFmtId="0" fontId="0" fillId="0" borderId="49" xfId="0" applyFont="1" applyBorder="1" applyProtection="1"/>
    <xf numFmtId="0" fontId="34" fillId="0" borderId="49" xfId="0" applyFont="1" applyBorder="1" applyProtection="1"/>
    <xf numFmtId="9" fontId="0" fillId="0" borderId="49" xfId="0" applyNumberFormat="1" applyFont="1" applyBorder="1" applyProtection="1"/>
    <xf numFmtId="0" fontId="27" fillId="0" borderId="44" xfId="0" applyFont="1" applyBorder="1" applyAlignment="1" applyProtection="1">
      <alignment horizontal="center"/>
    </xf>
    <xf numFmtId="0" fontId="90" fillId="0" borderId="50" xfId="0" applyFont="1" applyBorder="1" applyAlignment="1" applyProtection="1">
      <alignment vertical="top" wrapText="1"/>
    </xf>
    <xf numFmtId="0" fontId="89" fillId="0" borderId="50" xfId="0" applyFont="1" applyBorder="1" applyAlignment="1" applyProtection="1">
      <alignment vertical="top" wrapText="1"/>
    </xf>
    <xf numFmtId="164" fontId="91" fillId="26" borderId="34" xfId="0" applyNumberFormat="1" applyFont="1" applyFill="1" applyBorder="1" applyProtection="1"/>
    <xf numFmtId="0" fontId="27" fillId="27" borderId="46" xfId="0" applyFont="1" applyFill="1" applyBorder="1" applyAlignment="1" applyProtection="1">
      <alignment horizontal="center" vertical="center"/>
    </xf>
    <xf numFmtId="0" fontId="31" fillId="0" borderId="32" xfId="0" applyFont="1" applyFill="1" applyBorder="1" applyAlignment="1" applyProtection="1">
      <alignment horizontal="center"/>
    </xf>
    <xf numFmtId="0" fontId="12" fillId="0" borderId="32" xfId="0" applyFont="1" applyFill="1" applyBorder="1" applyProtection="1"/>
    <xf numFmtId="0" fontId="12" fillId="21" borderId="32" xfId="0" applyFont="1" applyFill="1" applyBorder="1" applyProtection="1"/>
    <xf numFmtId="0" fontId="92" fillId="0" borderId="0" xfId="0" applyFont="1" applyProtection="1"/>
    <xf numFmtId="0" fontId="0" fillId="0" borderId="29" xfId="0" applyBorder="1" applyAlignment="1"/>
    <xf numFmtId="164" fontId="71" fillId="0" borderId="29" xfId="0" applyNumberFormat="1" applyFont="1" applyBorder="1"/>
    <xf numFmtId="14" fontId="40" fillId="0" borderId="0" xfId="0" applyNumberFormat="1" applyFont="1" applyAlignment="1" applyProtection="1">
      <alignment horizontal="left"/>
    </xf>
    <xf numFmtId="14" fontId="93" fillId="0" borderId="0" xfId="0" applyNumberFormat="1" applyFont="1" applyBorder="1" applyAlignment="1">
      <alignment vertical="center" wrapText="1"/>
    </xf>
    <xf numFmtId="0" fontId="0" fillId="0" borderId="29" xfId="0" applyFont="1" applyBorder="1" applyProtection="1"/>
    <xf numFmtId="0" fontId="77" fillId="0" borderId="35" xfId="0" applyFont="1" applyBorder="1" applyAlignment="1" applyProtection="1">
      <alignment horizontal="right" vertical="center"/>
    </xf>
    <xf numFmtId="164" fontId="77" fillId="0" borderId="36" xfId="0" applyNumberFormat="1" applyFont="1" applyBorder="1" applyAlignment="1" applyProtection="1">
      <alignment vertical="center"/>
    </xf>
    <xf numFmtId="169" fontId="94" fillId="21" borderId="34" xfId="0" applyNumberFormat="1" applyFont="1" applyFill="1" applyBorder="1" applyProtection="1"/>
    <xf numFmtId="164" fontId="3" fillId="0" borderId="0" xfId="0" applyNumberFormat="1" applyFont="1" applyProtection="1"/>
    <xf numFmtId="0" fontId="34" fillId="0" borderId="0" xfId="0" applyFont="1" applyAlignment="1" applyProtection="1">
      <alignment horizontal="right"/>
      <protection locked="0"/>
    </xf>
    <xf numFmtId="0" fontId="30" fillId="0" borderId="0" xfId="0" applyFont="1" applyAlignment="1"/>
    <xf numFmtId="0" fontId="26" fillId="0" borderId="0" xfId="0" applyFont="1" applyAlignment="1" applyProtection="1">
      <alignment horizontal="right"/>
    </xf>
    <xf numFmtId="14" fontId="0" fillId="0" borderId="0" xfId="0" applyNumberFormat="1" applyFont="1" applyAlignment="1">
      <alignment horizontal="center"/>
    </xf>
    <xf numFmtId="0" fontId="30" fillId="0" borderId="0" xfId="0" applyFont="1" applyAlignment="1">
      <alignment horizontal="right" indent="3"/>
    </xf>
    <xf numFmtId="43" fontId="0" fillId="0" borderId="0" xfId="0" applyNumberFormat="1" applyFont="1" applyAlignment="1">
      <alignment horizontal="center" vertical="center"/>
    </xf>
    <xf numFmtId="0" fontId="12" fillId="0" borderId="0" xfId="0" applyFont="1" applyFill="1" applyAlignment="1">
      <alignment horizontal="left"/>
    </xf>
    <xf numFmtId="0" fontId="0" fillId="0" borderId="0" xfId="0" applyFont="1" applyFill="1" applyAlignment="1">
      <alignment horizontal="left"/>
    </xf>
    <xf numFmtId="0" fontId="12" fillId="0" borderId="0" xfId="0" applyFont="1" applyFill="1" applyBorder="1" applyAlignment="1"/>
    <xf numFmtId="0" fontId="0" fillId="0" borderId="0" xfId="0" applyFont="1" applyFill="1" applyBorder="1" applyAlignment="1">
      <alignment vertical="center"/>
    </xf>
    <xf numFmtId="44" fontId="0" fillId="0" borderId="0" xfId="0" applyNumberFormat="1" applyFont="1" applyFill="1" applyBorder="1" applyAlignment="1">
      <alignment vertical="center"/>
    </xf>
    <xf numFmtId="0" fontId="0" fillId="0" borderId="0" xfId="0" applyFont="1" applyFill="1" applyBorder="1" applyAlignment="1"/>
    <xf numFmtId="10" fontId="0" fillId="0" borderId="0" xfId="0" applyNumberFormat="1" applyFont="1" applyFill="1" applyBorder="1" applyAlignment="1"/>
    <xf numFmtId="44" fontId="0" fillId="0" borderId="0" xfId="0" applyNumberFormat="1" applyFont="1" applyFill="1" applyBorder="1" applyAlignment="1"/>
    <xf numFmtId="44" fontId="0" fillId="0" borderId="0" xfId="0" applyNumberFormat="1" applyFont="1"/>
    <xf numFmtId="9" fontId="0" fillId="0" borderId="0" xfId="0" applyNumberFormat="1" applyFont="1" applyFill="1" applyBorder="1" applyAlignment="1"/>
    <xf numFmtId="0" fontId="67" fillId="25" borderId="0" xfId="0" applyFont="1" applyFill="1"/>
    <xf numFmtId="0" fontId="67" fillId="25" borderId="0" xfId="0" applyFont="1" applyFill="1" applyProtection="1"/>
    <xf numFmtId="0" fontId="67" fillId="25" borderId="11" xfId="0" applyFont="1" applyFill="1" applyBorder="1" applyAlignment="1" applyProtection="1">
      <alignment horizontal="center"/>
    </xf>
    <xf numFmtId="164" fontId="0" fillId="0" borderId="0" xfId="0" applyNumberFormat="1" applyFont="1"/>
    <xf numFmtId="7" fontId="0" fillId="0" borderId="0" xfId="0" applyNumberFormat="1" applyFont="1"/>
    <xf numFmtId="44" fontId="0" fillId="0" borderId="0" xfId="0" applyNumberFormat="1" applyFont="1" applyFill="1" applyAlignment="1">
      <alignment horizontal="left"/>
    </xf>
    <xf numFmtId="44" fontId="0" fillId="0" borderId="0" xfId="0" applyNumberFormat="1" applyFont="1" applyBorder="1" applyAlignment="1" applyProtection="1">
      <alignment horizontal="center" vertical="center"/>
      <protection locked="0"/>
    </xf>
    <xf numFmtId="44" fontId="76" fillId="0" borderId="0" xfId="0" applyNumberFormat="1" applyFont="1" applyProtection="1"/>
    <xf numFmtId="10" fontId="77" fillId="23" borderId="33" xfId="0" applyNumberFormat="1" applyFont="1" applyFill="1" applyBorder="1" applyAlignment="1">
      <alignment horizontal="center" vertical="center"/>
    </xf>
    <xf numFmtId="43" fontId="77" fillId="0" borderId="33" xfId="0" applyNumberFormat="1" applyFont="1" applyBorder="1" applyAlignment="1">
      <alignment horizontal="center" vertical="center"/>
    </xf>
    <xf numFmtId="7" fontId="77" fillId="0" borderId="33" xfId="0" applyNumberFormat="1" applyFont="1" applyBorder="1" applyAlignment="1">
      <alignment horizontal="center" vertical="center"/>
    </xf>
    <xf numFmtId="7" fontId="77" fillId="23" borderId="33" xfId="0" applyNumberFormat="1" applyFont="1" applyFill="1" applyBorder="1" applyAlignment="1">
      <alignment horizontal="center" vertical="center"/>
    </xf>
    <xf numFmtId="0" fontId="84" fillId="0" borderId="46" xfId="0" applyFont="1" applyFill="1" applyBorder="1" applyAlignment="1">
      <alignment horizontal="center"/>
    </xf>
    <xf numFmtId="0" fontId="34" fillId="0" borderId="0" xfId="0" applyFont="1" applyAlignment="1"/>
    <xf numFmtId="44" fontId="0" fillId="0" borderId="0" xfId="0" applyNumberFormat="1" applyFont="1" applyBorder="1"/>
    <xf numFmtId="0" fontId="0" fillId="0" borderId="29" xfId="0" applyFont="1" applyFill="1" applyBorder="1" applyAlignment="1">
      <alignment horizontal="left"/>
    </xf>
    <xf numFmtId="0" fontId="0" fillId="0" borderId="32" xfId="0" applyFont="1" applyFill="1" applyBorder="1" applyAlignment="1" applyProtection="1">
      <alignment horizontal="center" vertical="center"/>
    </xf>
    <xf numFmtId="0" fontId="0" fillId="21" borderId="32" xfId="0" applyFont="1" applyFill="1" applyBorder="1" applyAlignment="1"/>
    <xf numFmtId="0" fontId="0" fillId="0" borderId="32" xfId="0" applyFont="1" applyBorder="1" applyAlignment="1"/>
    <xf numFmtId="0" fontId="0" fillId="21" borderId="32" xfId="0" applyFont="1" applyFill="1" applyBorder="1" applyAlignment="1">
      <alignment horizontal="left"/>
    </xf>
    <xf numFmtId="0" fontId="0" fillId="0" borderId="35" xfId="0" applyFont="1" applyFill="1" applyBorder="1" applyAlignment="1">
      <alignment horizontal="left"/>
    </xf>
    <xf numFmtId="0" fontId="12" fillId="0" borderId="34" xfId="0" applyFont="1" applyBorder="1"/>
    <xf numFmtId="164" fontId="77" fillId="21" borderId="36" xfId="0" applyNumberFormat="1" applyFont="1" applyFill="1" applyBorder="1"/>
    <xf numFmtId="0" fontId="12" fillId="0" borderId="34" xfId="0" applyNumberFormat="1" applyFont="1" applyFill="1" applyBorder="1" applyAlignment="1">
      <alignment horizontal="center" vertical="center"/>
    </xf>
    <xf numFmtId="44" fontId="77" fillId="21" borderId="34" xfId="0" applyNumberFormat="1" applyFont="1" applyFill="1" applyBorder="1"/>
    <xf numFmtId="44" fontId="31" fillId="0" borderId="34" xfId="0" applyNumberFormat="1" applyFont="1" applyBorder="1" applyAlignment="1">
      <alignment horizontal="center" vertical="center"/>
    </xf>
    <xf numFmtId="44" fontId="0" fillId="0" borderId="32" xfId="0" applyNumberFormat="1" applyFont="1" applyBorder="1"/>
    <xf numFmtId="43" fontId="77" fillId="0" borderId="0" xfId="0" applyNumberFormat="1" applyFont="1" applyFill="1" applyBorder="1" applyAlignment="1"/>
    <xf numFmtId="9" fontId="77" fillId="0" borderId="0" xfId="0" applyNumberFormat="1" applyFont="1" applyFill="1" applyBorder="1" applyAlignment="1"/>
    <xf numFmtId="7" fontId="77" fillId="0" borderId="0" xfId="0" applyNumberFormat="1" applyFont="1" applyFill="1" applyBorder="1" applyAlignment="1"/>
    <xf numFmtId="166" fontId="12" fillId="0" borderId="0" xfId="0" applyNumberFormat="1" applyFont="1" applyFill="1" applyBorder="1" applyAlignment="1"/>
    <xf numFmtId="10" fontId="12" fillId="21" borderId="0" xfId="0" applyNumberFormat="1" applyFont="1" applyFill="1" applyBorder="1" applyAlignment="1"/>
    <xf numFmtId="44" fontId="12" fillId="21" borderId="0" xfId="0" applyNumberFormat="1" applyFont="1" applyFill="1" applyBorder="1"/>
    <xf numFmtId="44" fontId="77" fillId="21" borderId="0" xfId="0" applyNumberFormat="1" applyFont="1" applyFill="1" applyBorder="1" applyAlignment="1"/>
    <xf numFmtId="9" fontId="77" fillId="21" borderId="29" xfId="0" applyNumberFormat="1" applyFont="1" applyFill="1" applyBorder="1" applyAlignment="1"/>
    <xf numFmtId="0" fontId="12" fillId="0" borderId="35" xfId="0" applyFont="1" applyFill="1" applyBorder="1" applyProtection="1"/>
    <xf numFmtId="173" fontId="0" fillId="0" borderId="0" xfId="0" applyNumberFormat="1" applyFont="1"/>
    <xf numFmtId="7" fontId="12" fillId="0" borderId="0" xfId="0" applyNumberFormat="1" applyFont="1"/>
    <xf numFmtId="173" fontId="12" fillId="0" borderId="0" xfId="0" applyNumberFormat="1" applyFont="1"/>
    <xf numFmtId="0" fontId="95" fillId="0" borderId="0" xfId="0" applyFont="1"/>
    <xf numFmtId="2" fontId="95" fillId="0" borderId="0" xfId="0" applyNumberFormat="1" applyFont="1"/>
    <xf numFmtId="180" fontId="95" fillId="0" borderId="0" xfId="0" applyNumberFormat="1" applyFont="1"/>
    <xf numFmtId="44" fontId="96" fillId="21" borderId="34" xfId="0" applyNumberFormat="1" applyFont="1" applyFill="1" applyBorder="1" applyAlignment="1">
      <alignment horizontal="left"/>
    </xf>
    <xf numFmtId="44" fontId="96" fillId="0" borderId="36" xfId="0" applyNumberFormat="1" applyFont="1" applyFill="1" applyBorder="1" applyAlignment="1">
      <alignment horizontal="left"/>
    </xf>
    <xf numFmtId="0" fontId="89" fillId="25" borderId="0" xfId="0" applyFont="1" applyFill="1" applyAlignment="1">
      <alignment wrapText="1"/>
    </xf>
    <xf numFmtId="9" fontId="0" fillId="0" borderId="0" xfId="0" applyNumberFormat="1" applyFont="1" applyFill="1"/>
    <xf numFmtId="164" fontId="0" fillId="0" borderId="0" xfId="0" applyNumberFormat="1" applyFont="1" applyFill="1"/>
    <xf numFmtId="42" fontId="0" fillId="0" borderId="0" xfId="0" applyNumberFormat="1" applyFont="1" applyFill="1"/>
    <xf numFmtId="0" fontId="76" fillId="0" borderId="0" xfId="0" applyFont="1" applyBorder="1" applyProtection="1"/>
    <xf numFmtId="0" fontId="63" fillId="0" borderId="0" xfId="0" applyFont="1" applyAlignment="1">
      <alignment wrapText="1"/>
    </xf>
    <xf numFmtId="0" fontId="63" fillId="0" borderId="0" xfId="0" applyNumberFormat="1" applyFont="1" applyAlignment="1">
      <alignment horizontal="right"/>
    </xf>
    <xf numFmtId="174" fontId="0" fillId="0" borderId="0" xfId="0" applyNumberFormat="1"/>
    <xf numFmtId="174" fontId="0" fillId="0" borderId="0" xfId="0" applyNumberFormat="1" applyFont="1"/>
    <xf numFmtId="4" fontId="0" fillId="0" borderId="0" xfId="0" applyNumberFormat="1" applyFont="1"/>
    <xf numFmtId="164" fontId="63" fillId="0" borderId="0" xfId="0" applyNumberFormat="1" applyFont="1"/>
    <xf numFmtId="0" fontId="63" fillId="0" borderId="0" xfId="0" applyFont="1"/>
    <xf numFmtId="0" fontId="0" fillId="0" borderId="0" xfId="0" applyNumberFormat="1" applyFont="1"/>
    <xf numFmtId="2" fontId="63" fillId="0" borderId="0" xfId="0" applyNumberFormat="1" applyFont="1"/>
    <xf numFmtId="174" fontId="63" fillId="0" borderId="0" xfId="0" applyNumberFormat="1" applyFont="1"/>
    <xf numFmtId="0" fontId="77" fillId="0" borderId="0" xfId="0" applyFont="1" applyAlignment="1">
      <alignment horizontal="center"/>
    </xf>
    <xf numFmtId="0" fontId="0" fillId="0" borderId="0" xfId="0" applyNumberFormat="1" applyAlignment="1">
      <alignment horizontal="right"/>
    </xf>
    <xf numFmtId="0" fontId="60" fillId="0" borderId="0" xfId="23" applyFill="1"/>
    <xf numFmtId="0" fontId="97" fillId="0" borderId="0" xfId="0" applyFont="1" applyFill="1" applyAlignment="1">
      <alignment horizontal="center" wrapText="1"/>
    </xf>
    <xf numFmtId="0" fontId="97" fillId="0" borderId="0" xfId="0" applyFont="1" applyFill="1" applyAlignment="1">
      <alignment horizontal="center" vertical="center"/>
    </xf>
    <xf numFmtId="4" fontId="97" fillId="0" borderId="0" xfId="0" applyNumberFormat="1" applyFont="1" applyFill="1" applyAlignment="1">
      <alignment horizontal="center" wrapText="1"/>
    </xf>
    <xf numFmtId="0" fontId="97" fillId="0" borderId="0" xfId="0" applyNumberFormat="1" applyFont="1" applyFill="1" applyAlignment="1">
      <alignment horizontal="center" wrapText="1"/>
    </xf>
    <xf numFmtId="0" fontId="97" fillId="0" borderId="0" xfId="0" applyNumberFormat="1" applyFont="1" applyFill="1" applyAlignment="1">
      <alignment horizontal="center" vertical="center"/>
    </xf>
    <xf numFmtId="164" fontId="97" fillId="0" borderId="0" xfId="0" applyNumberFormat="1" applyFont="1" applyFill="1" applyAlignment="1">
      <alignment horizontal="center" wrapText="1"/>
    </xf>
    <xf numFmtId="164" fontId="97" fillId="0" borderId="0" xfId="0" applyNumberFormat="1" applyFont="1" applyFill="1" applyAlignment="1">
      <alignment horizontal="center" vertical="center"/>
    </xf>
    <xf numFmtId="0" fontId="3" fillId="0" borderId="0" xfId="0" applyNumberFormat="1" applyFont="1" applyFill="1" applyAlignment="1">
      <alignment horizontal="center" wrapText="1"/>
    </xf>
    <xf numFmtId="2" fontId="3" fillId="0" borderId="0" xfId="0" applyNumberFormat="1" applyFont="1" applyFill="1" applyAlignment="1">
      <alignment horizontal="center" wrapText="1"/>
    </xf>
    <xf numFmtId="0" fontId="61" fillId="25" borderId="0" xfId="23" applyFont="1" applyFill="1"/>
    <xf numFmtId="0" fontId="62" fillId="25" borderId="0" xfId="23" applyFont="1" applyFill="1"/>
    <xf numFmtId="3" fontId="97" fillId="0" borderId="0" xfId="0" applyNumberFormat="1" applyFont="1" applyFill="1" applyAlignment="1">
      <alignment horizontal="center" wrapText="1"/>
    </xf>
    <xf numFmtId="3" fontId="97" fillId="0" borderId="0" xfId="0" applyNumberFormat="1" applyFont="1" applyFill="1" applyAlignment="1">
      <alignment horizontal="center" vertical="center"/>
    </xf>
    <xf numFmtId="4" fontId="97" fillId="0" borderId="0" xfId="0" applyNumberFormat="1" applyFont="1" applyFill="1" applyAlignment="1">
      <alignment horizontal="center" vertical="center"/>
    </xf>
    <xf numFmtId="0" fontId="0" fillId="0" borderId="0" xfId="0" applyFont="1" applyAlignment="1" applyProtection="1">
      <alignment horizontal="right"/>
    </xf>
    <xf numFmtId="0" fontId="3" fillId="0" borderId="2" xfId="0" applyFont="1" applyFill="1" applyBorder="1" applyAlignment="1">
      <alignment horizontal="left" vertical="center"/>
    </xf>
    <xf numFmtId="0" fontId="12" fillId="0" borderId="0" xfId="0" applyFont="1" applyFill="1" applyBorder="1" applyAlignment="1" applyProtection="1">
      <alignment wrapText="1"/>
    </xf>
    <xf numFmtId="0" fontId="68" fillId="0" borderId="0" xfId="0" applyFont="1" applyProtection="1"/>
    <xf numFmtId="164" fontId="60" fillId="0" borderId="0" xfId="23" applyNumberFormat="1"/>
    <xf numFmtId="164" fontId="12" fillId="0" borderId="2" xfId="0" applyNumberFormat="1" applyFont="1" applyBorder="1"/>
    <xf numFmtId="0" fontId="0" fillId="0" borderId="2" xfId="0" applyFill="1" applyBorder="1"/>
    <xf numFmtId="0" fontId="60" fillId="0" borderId="2" xfId="23" applyBorder="1"/>
    <xf numFmtId="14" fontId="0" fillId="0" borderId="0" xfId="0" applyNumberFormat="1" applyFont="1" applyAlignment="1" applyProtection="1">
      <alignment horizontal="center"/>
    </xf>
    <xf numFmtId="0" fontId="0" fillId="0" borderId="0" xfId="0" applyFont="1" applyAlignment="1" applyProtection="1">
      <alignment horizontal="center"/>
    </xf>
    <xf numFmtId="0" fontId="30" fillId="0" borderId="0" xfId="0" applyFont="1" applyAlignment="1" applyProtection="1"/>
    <xf numFmtId="0" fontId="44" fillId="0" borderId="0" xfId="0" applyFont="1" applyFill="1" applyBorder="1" applyAlignment="1" applyProtection="1">
      <alignment horizontal="right" vertical="center"/>
    </xf>
    <xf numFmtId="0" fontId="0" fillId="0" borderId="51" xfId="0" applyFont="1" applyBorder="1"/>
    <xf numFmtId="44" fontId="71" fillId="0" borderId="34" xfId="0" applyNumberFormat="1" applyFont="1" applyFill="1" applyBorder="1" applyAlignment="1" applyProtection="1">
      <alignment horizontal="right" wrapText="1"/>
    </xf>
    <xf numFmtId="4" fontId="71" fillId="0" borderId="0" xfId="0" applyNumberFormat="1" applyFont="1" applyFill="1" applyAlignment="1" applyProtection="1">
      <alignment horizontal="right" wrapText="1"/>
    </xf>
    <xf numFmtId="168" fontId="71" fillId="0" borderId="34" xfId="0" applyNumberFormat="1" applyFont="1" applyFill="1" applyBorder="1" applyAlignment="1" applyProtection="1">
      <alignment horizontal="right" wrapText="1"/>
    </xf>
    <xf numFmtId="168" fontId="71" fillId="0" borderId="36" xfId="0" applyNumberFormat="1" applyFont="1" applyFill="1" applyBorder="1" applyAlignment="1" applyProtection="1">
      <alignment horizontal="right" wrapText="1"/>
    </xf>
    <xf numFmtId="164" fontId="71" fillId="0" borderId="34" xfId="0" applyNumberFormat="1" applyFont="1" applyFill="1" applyBorder="1" applyAlignment="1" applyProtection="1">
      <alignment horizontal="right" wrapText="1"/>
    </xf>
    <xf numFmtId="0" fontId="0" fillId="0" borderId="0" xfId="0" applyFont="1" applyFill="1" applyBorder="1" applyProtection="1"/>
    <xf numFmtId="0" fontId="75" fillId="23" borderId="52" xfId="0" applyFont="1" applyFill="1" applyBorder="1" applyAlignment="1">
      <alignment horizontal="center" vertical="center"/>
    </xf>
    <xf numFmtId="0" fontId="75" fillId="23" borderId="53" xfId="0" applyFont="1" applyFill="1" applyBorder="1" applyAlignment="1">
      <alignment horizontal="center" vertical="center"/>
    </xf>
    <xf numFmtId="0" fontId="28" fillId="0" borderId="20" xfId="0" applyFont="1" applyFill="1" applyBorder="1" applyAlignment="1" applyProtection="1">
      <alignment horizontal="left" vertical="center"/>
    </xf>
    <xf numFmtId="0" fontId="43" fillId="0" borderId="0" xfId="0" applyFont="1" applyAlignment="1" applyProtection="1">
      <alignment horizontal="left" textRotation="90"/>
    </xf>
    <xf numFmtId="0" fontId="60" fillId="0" borderId="0" xfId="23" applyNumberFormat="1"/>
    <xf numFmtId="0" fontId="0" fillId="0" borderId="54" xfId="0" applyFont="1" applyBorder="1"/>
    <xf numFmtId="0" fontId="24" fillId="0" borderId="0" xfId="0" applyFont="1" applyAlignment="1">
      <alignment horizontal="center"/>
    </xf>
    <xf numFmtId="0" fontId="77" fillId="0" borderId="0" xfId="0" applyFont="1" applyAlignment="1">
      <alignment horizontal="center" vertical="center"/>
    </xf>
    <xf numFmtId="0" fontId="77" fillId="21" borderId="0" xfId="0" applyFont="1" applyFill="1" applyAlignment="1">
      <alignment horizontal="center" vertical="center"/>
    </xf>
    <xf numFmtId="0" fontId="74" fillId="0" borderId="32" xfId="0" applyFont="1" applyBorder="1" applyAlignment="1">
      <alignment horizontal="center"/>
    </xf>
    <xf numFmtId="0" fontId="77" fillId="21" borderId="32" xfId="0" applyFont="1" applyFill="1" applyBorder="1" applyAlignment="1">
      <alignment horizontal="center" vertical="center"/>
    </xf>
    <xf numFmtId="0" fontId="77" fillId="0" borderId="32" xfId="0" applyFont="1" applyBorder="1" applyAlignment="1">
      <alignment horizontal="center" vertical="center"/>
    </xf>
    <xf numFmtId="0" fontId="74" fillId="0" borderId="34" xfId="0" applyFont="1" applyBorder="1" applyAlignment="1">
      <alignment horizontal="center"/>
    </xf>
    <xf numFmtId="0" fontId="77" fillId="21" borderId="34" xfId="0" applyFont="1" applyFill="1" applyBorder="1" applyAlignment="1">
      <alignment horizontal="center" vertical="center"/>
    </xf>
    <xf numFmtId="0" fontId="77" fillId="0" borderId="34" xfId="0" applyFont="1" applyBorder="1" applyAlignment="1">
      <alignment horizontal="center" vertical="center"/>
    </xf>
    <xf numFmtId="0" fontId="77" fillId="21" borderId="55" xfId="0" applyFont="1" applyFill="1" applyBorder="1" applyAlignment="1">
      <alignment horizontal="center" vertical="center"/>
    </xf>
    <xf numFmtId="0" fontId="77" fillId="21" borderId="29" xfId="0" applyFont="1" applyFill="1" applyBorder="1" applyAlignment="1">
      <alignment horizontal="center" vertical="center"/>
    </xf>
    <xf numFmtId="0" fontId="77" fillId="21" borderId="35" xfId="0" applyFont="1" applyFill="1" applyBorder="1" applyAlignment="1">
      <alignment horizontal="center" vertical="center"/>
    </xf>
    <xf numFmtId="0" fontId="77" fillId="21" borderId="36" xfId="0" applyFont="1" applyFill="1" applyBorder="1" applyAlignment="1">
      <alignment horizontal="center" vertical="center"/>
    </xf>
    <xf numFmtId="165" fontId="0" fillId="0" borderId="0" xfId="0" applyNumberFormat="1" applyFont="1"/>
    <xf numFmtId="0" fontId="98" fillId="0" borderId="0" xfId="0" applyFont="1" applyAlignment="1" applyProtection="1">
      <alignment horizontal="center" vertical="center"/>
    </xf>
    <xf numFmtId="176" fontId="0" fillId="0" borderId="0" xfId="0" applyNumberFormat="1" applyFont="1"/>
    <xf numFmtId="1" fontId="31" fillId="0" borderId="0" xfId="0" applyNumberFormat="1" applyFont="1" applyAlignment="1">
      <alignment horizontal="center" wrapText="1"/>
    </xf>
    <xf numFmtId="0" fontId="99" fillId="0" borderId="0" xfId="0" applyFont="1" applyAlignment="1">
      <alignment horizontal="left"/>
    </xf>
    <xf numFmtId="0" fontId="99" fillId="0" borderId="0" xfId="0" applyFont="1" applyAlignment="1">
      <alignment horizontal="left" wrapText="1"/>
    </xf>
    <xf numFmtId="44" fontId="0" fillId="0" borderId="0" xfId="0" applyNumberFormat="1" applyFill="1" applyBorder="1" applyAlignment="1">
      <alignment horizontal="center" vertical="center"/>
    </xf>
    <xf numFmtId="44" fontId="0" fillId="0" borderId="0" xfId="0" applyNumberFormat="1" applyFill="1" applyBorder="1"/>
    <xf numFmtId="44" fontId="60" fillId="0" borderId="0" xfId="0" applyNumberFormat="1" applyFont="1" applyFill="1" applyBorder="1"/>
    <xf numFmtId="2" fontId="0" fillId="0" borderId="0" xfId="0" applyNumberFormat="1"/>
    <xf numFmtId="0" fontId="99" fillId="18" borderId="0" xfId="0" applyFont="1" applyFill="1" applyAlignment="1">
      <alignment horizontal="left" wrapText="1"/>
    </xf>
    <xf numFmtId="42" fontId="77" fillId="0" borderId="0" xfId="0" applyNumberFormat="1" applyFont="1"/>
    <xf numFmtId="0" fontId="77" fillId="0" borderId="0" xfId="0" applyFont="1" applyFill="1"/>
    <xf numFmtId="39" fontId="77" fillId="21" borderId="34" xfId="0" applyNumberFormat="1" applyFont="1" applyFill="1" applyBorder="1"/>
    <xf numFmtId="39" fontId="77" fillId="0" borderId="34" xfId="0" applyNumberFormat="1" applyFont="1" applyFill="1" applyBorder="1"/>
    <xf numFmtId="42" fontId="77" fillId="0" borderId="34" xfId="0" applyNumberFormat="1" applyFont="1" applyBorder="1"/>
    <xf numFmtId="39" fontId="77" fillId="21" borderId="36" xfId="0" applyNumberFormat="1" applyFont="1" applyFill="1" applyBorder="1"/>
    <xf numFmtId="42" fontId="77" fillId="0" borderId="36" xfId="0" applyNumberFormat="1" applyFont="1" applyBorder="1"/>
    <xf numFmtId="0" fontId="100" fillId="0" borderId="0" xfId="0" applyFont="1" applyAlignment="1" applyProtection="1">
      <alignment horizontal="right" vertical="center"/>
    </xf>
    <xf numFmtId="44" fontId="101" fillId="0" borderId="0" xfId="0" applyNumberFormat="1" applyFont="1" applyFill="1" applyBorder="1" applyAlignment="1" applyProtection="1">
      <alignment horizontal="left" wrapText="1"/>
    </xf>
    <xf numFmtId="44" fontId="102" fillId="0" borderId="32" xfId="0" applyNumberFormat="1" applyFont="1" applyFill="1" applyBorder="1" applyAlignment="1" applyProtection="1">
      <alignment horizontal="right" vertical="center" wrapText="1"/>
    </xf>
    <xf numFmtId="44" fontId="102" fillId="0" borderId="35" xfId="0" applyNumberFormat="1" applyFont="1" applyFill="1" applyBorder="1" applyAlignment="1" applyProtection="1">
      <alignment horizontal="right" vertical="center" wrapText="1"/>
    </xf>
    <xf numFmtId="44" fontId="101" fillId="0" borderId="0" xfId="0" applyNumberFormat="1" applyFont="1" applyFill="1" applyBorder="1" applyAlignment="1" applyProtection="1">
      <alignment horizontal="left" vertical="center" wrapText="1"/>
    </xf>
    <xf numFmtId="44" fontId="101" fillId="0" borderId="29" xfId="0" applyNumberFormat="1" applyFont="1" applyFill="1" applyBorder="1" applyAlignment="1" applyProtection="1">
      <alignment horizontal="left" vertical="center" wrapText="1"/>
    </xf>
    <xf numFmtId="0" fontId="103" fillId="0" borderId="0" xfId="0" applyFont="1" applyAlignment="1" applyProtection="1">
      <alignment horizontal="left" vertical="center"/>
    </xf>
    <xf numFmtId="0" fontId="103" fillId="0" borderId="0" xfId="0" applyFont="1" applyBorder="1" applyAlignment="1" applyProtection="1">
      <alignment horizontal="left" vertical="center"/>
    </xf>
    <xf numFmtId="0" fontId="0" fillId="0" borderId="0" xfId="0" applyFont="1" applyAlignment="1" applyProtection="1">
      <alignment horizontal="left" vertical="center"/>
    </xf>
    <xf numFmtId="0" fontId="0" fillId="0" borderId="0" xfId="0" applyFont="1" applyBorder="1" applyAlignment="1" applyProtection="1">
      <alignment horizontal="left" vertical="center"/>
    </xf>
    <xf numFmtId="0" fontId="0" fillId="21" borderId="51" xfId="0" applyFont="1" applyFill="1" applyBorder="1"/>
    <xf numFmtId="44" fontId="71" fillId="21" borderId="34" xfId="0" applyNumberFormat="1" applyFont="1" applyFill="1" applyBorder="1" applyAlignment="1" applyProtection="1">
      <alignment horizontal="right" wrapText="1"/>
    </xf>
    <xf numFmtId="0" fontId="102" fillId="21" borderId="32" xfId="0" applyFont="1" applyFill="1" applyBorder="1" applyAlignment="1" applyProtection="1">
      <alignment horizontal="right" vertical="center"/>
    </xf>
    <xf numFmtId="44" fontId="101" fillId="21" borderId="0" xfId="0" applyNumberFormat="1" applyFont="1" applyFill="1" applyBorder="1" applyAlignment="1" applyProtection="1">
      <alignment horizontal="left" vertical="center" wrapText="1"/>
    </xf>
    <xf numFmtId="0" fontId="0" fillId="21" borderId="54" xfId="0" applyFont="1" applyFill="1" applyBorder="1"/>
    <xf numFmtId="164" fontId="71" fillId="21" borderId="36" xfId="0" applyNumberFormat="1" applyFont="1" applyFill="1" applyBorder="1" applyAlignment="1" applyProtection="1">
      <alignment horizontal="right" wrapText="1"/>
    </xf>
    <xf numFmtId="0" fontId="102" fillId="21" borderId="35" xfId="0" applyFont="1" applyFill="1" applyBorder="1" applyAlignment="1" applyProtection="1">
      <alignment horizontal="right" vertical="center"/>
    </xf>
    <xf numFmtId="44" fontId="101" fillId="21" borderId="29" xfId="0" applyNumberFormat="1" applyFont="1" applyFill="1" applyBorder="1" applyAlignment="1" applyProtection="1">
      <alignment horizontal="left" vertical="center" wrapText="1"/>
    </xf>
    <xf numFmtId="168" fontId="71" fillId="21" borderId="34" xfId="0" applyNumberFormat="1" applyFont="1" applyFill="1" applyBorder="1" applyAlignment="1" applyProtection="1">
      <alignment horizontal="right" wrapText="1"/>
    </xf>
    <xf numFmtId="44" fontId="102" fillId="21" borderId="32" xfId="0" applyNumberFormat="1" applyFont="1" applyFill="1" applyBorder="1" applyAlignment="1" applyProtection="1">
      <alignment horizontal="right" vertical="center" wrapText="1"/>
    </xf>
    <xf numFmtId="168" fontId="71" fillId="21" borderId="36" xfId="0" applyNumberFormat="1" applyFont="1" applyFill="1" applyBorder="1" applyAlignment="1" applyProtection="1">
      <alignment horizontal="right" wrapText="1"/>
    </xf>
    <xf numFmtId="44" fontId="102" fillId="21" borderId="35" xfId="0" applyNumberFormat="1" applyFont="1" applyFill="1" applyBorder="1" applyAlignment="1" applyProtection="1">
      <alignment horizontal="right" vertical="center" wrapText="1"/>
    </xf>
    <xf numFmtId="164" fontId="71" fillId="21" borderId="34" xfId="0" applyNumberFormat="1" applyFont="1" applyFill="1" applyBorder="1" applyAlignment="1" applyProtection="1">
      <alignment horizontal="right" wrapText="1"/>
    </xf>
    <xf numFmtId="0" fontId="104" fillId="0" borderId="0" xfId="0" applyFont="1" applyAlignment="1" applyProtection="1">
      <alignment wrapText="1"/>
      <protection locked="0"/>
    </xf>
    <xf numFmtId="0" fontId="0" fillId="0" borderId="34" xfId="0" applyFont="1" applyBorder="1"/>
    <xf numFmtId="0" fontId="105" fillId="21" borderId="32" xfId="0" applyFont="1" applyFill="1" applyBorder="1" applyProtection="1">
      <protection locked="0"/>
    </xf>
    <xf numFmtId="0" fontId="105" fillId="0" borderId="32" xfId="0" applyFont="1" applyBorder="1" applyProtection="1">
      <protection locked="0"/>
    </xf>
    <xf numFmtId="0" fontId="105" fillId="21" borderId="35" xfId="0" applyFont="1" applyFill="1" applyBorder="1" applyProtection="1">
      <protection locked="0"/>
    </xf>
    <xf numFmtId="0" fontId="0" fillId="0" borderId="0" xfId="0" applyFont="1" applyFill="1" applyBorder="1" applyProtection="1">
      <protection locked="0"/>
    </xf>
    <xf numFmtId="0" fontId="99" fillId="0" borderId="0" xfId="0" applyFont="1" applyFill="1" applyAlignment="1">
      <alignment horizontal="left" wrapText="1"/>
    </xf>
    <xf numFmtId="168" fontId="0" fillId="0" borderId="0" xfId="0" applyNumberFormat="1" applyFont="1"/>
    <xf numFmtId="168" fontId="0" fillId="0" borderId="0" xfId="0" applyNumberFormat="1" applyFill="1" applyBorder="1"/>
    <xf numFmtId="0" fontId="106" fillId="0" borderId="0" xfId="0" applyFont="1" applyBorder="1" applyAlignment="1">
      <alignment horizontal="center"/>
    </xf>
    <xf numFmtId="0" fontId="0" fillId="0" borderId="0" xfId="0" applyFont="1" applyBorder="1" applyAlignment="1">
      <alignment horizontal="left" vertical="top" wrapText="1"/>
    </xf>
    <xf numFmtId="0" fontId="24" fillId="0" borderId="0" xfId="0" applyFont="1" applyBorder="1" applyAlignment="1">
      <alignment horizontal="center"/>
    </xf>
    <xf numFmtId="0" fontId="74" fillId="0" borderId="0" xfId="0" applyFont="1" applyBorder="1" applyAlignment="1">
      <alignment horizontal="center"/>
    </xf>
    <xf numFmtId="42" fontId="77" fillId="0" borderId="0" xfId="0" applyNumberFormat="1" applyFont="1" applyBorder="1"/>
    <xf numFmtId="0" fontId="107" fillId="0" borderId="0" xfId="0" applyFont="1" applyBorder="1" applyAlignment="1" applyProtection="1">
      <protection locked="0"/>
    </xf>
    <xf numFmtId="0" fontId="91" fillId="0" borderId="0" xfId="0" applyFont="1" applyAlignment="1">
      <alignment horizontal="center" vertical="center"/>
    </xf>
    <xf numFmtId="44" fontId="91" fillId="0" borderId="0" xfId="0" applyNumberFormat="1" applyFont="1" applyAlignment="1">
      <alignment horizontal="center" vertical="center"/>
    </xf>
    <xf numFmtId="0" fontId="108" fillId="0" borderId="0" xfId="0" applyFont="1" applyAlignment="1">
      <alignment horizontal="center" vertical="center"/>
    </xf>
    <xf numFmtId="164" fontId="77" fillId="0" borderId="52" xfId="0" applyNumberFormat="1" applyFont="1" applyBorder="1" applyAlignment="1">
      <alignment horizontal="center" vertical="center"/>
    </xf>
    <xf numFmtId="164" fontId="77" fillId="13" borderId="52" xfId="0" applyNumberFormat="1" applyFont="1" applyFill="1" applyBorder="1" applyAlignment="1">
      <alignment horizontal="center" vertical="center"/>
    </xf>
    <xf numFmtId="170" fontId="77" fillId="0" borderId="52" xfId="0" applyNumberFormat="1" applyFont="1" applyBorder="1" applyAlignment="1">
      <alignment horizontal="center" vertical="center"/>
    </xf>
    <xf numFmtId="0" fontId="89" fillId="25" borderId="0" xfId="0" applyFont="1" applyFill="1"/>
    <xf numFmtId="39" fontId="109" fillId="0" borderId="0" xfId="0" applyNumberFormat="1" applyFont="1" applyBorder="1"/>
    <xf numFmtId="39" fontId="109" fillId="21" borderId="29" xfId="0" applyNumberFormat="1" applyFont="1" applyFill="1" applyBorder="1"/>
    <xf numFmtId="14" fontId="3" fillId="0" borderId="0" xfId="0" applyNumberFormat="1" applyFont="1" applyAlignment="1"/>
    <xf numFmtId="0" fontId="31" fillId="0" borderId="0" xfId="0" applyFont="1" applyBorder="1" applyAlignment="1" applyProtection="1">
      <alignment horizontal="center" vertical="center"/>
    </xf>
    <xf numFmtId="0" fontId="31" fillId="0" borderId="0" xfId="0" applyFont="1" applyAlignment="1" applyProtection="1">
      <alignment horizontal="center" vertical="center"/>
    </xf>
    <xf numFmtId="0" fontId="110" fillId="25" borderId="0" xfId="0" applyFont="1" applyFill="1"/>
    <xf numFmtId="0" fontId="110" fillId="0" borderId="0" xfId="0" applyFont="1" applyFill="1" applyAlignment="1">
      <alignment wrapText="1"/>
    </xf>
    <xf numFmtId="0" fontId="110" fillId="25" borderId="0" xfId="0" applyFont="1" applyFill="1" applyAlignment="1">
      <alignment wrapText="1"/>
    </xf>
    <xf numFmtId="0" fontId="12" fillId="0" borderId="0" xfId="0" applyFont="1" applyBorder="1" applyAlignment="1">
      <alignment horizontal="center" wrapText="1"/>
    </xf>
    <xf numFmtId="165" fontId="77" fillId="0" borderId="0" xfId="0" applyNumberFormat="1" applyFont="1" applyFill="1" applyBorder="1"/>
    <xf numFmtId="0" fontId="103" fillId="0" borderId="0" xfId="0" applyFont="1" applyBorder="1" applyAlignment="1">
      <alignment horizontal="center" wrapText="1"/>
    </xf>
    <xf numFmtId="9" fontId="0" fillId="0" borderId="0" xfId="0" applyNumberFormat="1" applyBorder="1" applyAlignment="1">
      <alignment horizontal="center"/>
    </xf>
    <xf numFmtId="165" fontId="77" fillId="0" borderId="39" xfId="0" applyNumberFormat="1" applyFont="1" applyFill="1" applyBorder="1"/>
    <xf numFmtId="165" fontId="77" fillId="0" borderId="39" xfId="0" applyNumberFormat="1" applyFont="1" applyFill="1" applyBorder="1" applyAlignment="1">
      <alignment horizontal="center"/>
    </xf>
    <xf numFmtId="165" fontId="77" fillId="0" borderId="29" xfId="0" applyNumberFormat="1" applyFont="1" applyFill="1" applyBorder="1" applyAlignment="1">
      <alignment horizontal="center"/>
    </xf>
    <xf numFmtId="0" fontId="0" fillId="0" borderId="32" xfId="0" applyFill="1" applyBorder="1" applyAlignment="1">
      <alignment wrapText="1"/>
    </xf>
    <xf numFmtId="165" fontId="77" fillId="0" borderId="34" xfId="0" applyNumberFormat="1" applyFont="1" applyFill="1" applyBorder="1" applyProtection="1"/>
    <xf numFmtId="165" fontId="77" fillId="0" borderId="37" xfId="0" applyNumberFormat="1" applyFont="1" applyFill="1" applyBorder="1" applyProtection="1"/>
    <xf numFmtId="165" fontId="77" fillId="0" borderId="36" xfId="0" applyNumberFormat="1" applyFont="1" applyFill="1" applyBorder="1" applyProtection="1"/>
    <xf numFmtId="9" fontId="84" fillId="0" borderId="31" xfId="0" applyNumberFormat="1" applyFont="1" applyFill="1" applyBorder="1" applyAlignment="1">
      <alignment horizontal="center"/>
    </xf>
    <xf numFmtId="9" fontId="84" fillId="0" borderId="32" xfId="0" applyNumberFormat="1" applyFont="1" applyFill="1" applyBorder="1" applyAlignment="1">
      <alignment horizontal="center"/>
    </xf>
    <xf numFmtId="9" fontId="84" fillId="0" borderId="35" xfId="0" applyNumberFormat="1" applyFont="1" applyFill="1" applyBorder="1" applyAlignment="1">
      <alignment horizontal="center"/>
    </xf>
    <xf numFmtId="165" fontId="77" fillId="0" borderId="37" xfId="0" applyNumberFormat="1" applyFont="1" applyFill="1" applyBorder="1"/>
    <xf numFmtId="165" fontId="77" fillId="0" borderId="34" xfId="0" applyNumberFormat="1" applyFont="1" applyFill="1" applyBorder="1"/>
    <xf numFmtId="165" fontId="111" fillId="0" borderId="37" xfId="0" applyNumberFormat="1" applyFont="1" applyBorder="1"/>
    <xf numFmtId="165" fontId="77" fillId="0" borderId="34" xfId="0" applyNumberFormat="1" applyFont="1" applyFill="1" applyBorder="1" applyAlignment="1"/>
    <xf numFmtId="165" fontId="112" fillId="0" borderId="36" xfId="0" applyNumberFormat="1" applyFont="1" applyBorder="1"/>
    <xf numFmtId="165" fontId="77" fillId="23" borderId="0" xfId="0" applyNumberFormat="1" applyFont="1" applyFill="1" applyBorder="1" applyAlignment="1">
      <alignment horizontal="center"/>
    </xf>
    <xf numFmtId="9" fontId="84" fillId="23" borderId="32" xfId="0" applyNumberFormat="1" applyFont="1" applyFill="1" applyBorder="1" applyAlignment="1">
      <alignment horizontal="center"/>
    </xf>
    <xf numFmtId="165" fontId="77" fillId="23" borderId="39" xfId="0" applyNumberFormat="1" applyFont="1" applyFill="1" applyBorder="1" applyAlignment="1">
      <alignment horizontal="center"/>
    </xf>
    <xf numFmtId="9" fontId="84" fillId="23" borderId="31" xfId="0" applyNumberFormat="1" applyFont="1" applyFill="1" applyBorder="1" applyAlignment="1">
      <alignment horizontal="center"/>
    </xf>
    <xf numFmtId="0" fontId="12" fillId="0" borderId="0" xfId="0" quotePrefix="1" applyFont="1" applyBorder="1" applyAlignment="1">
      <alignment horizontal="center" wrapText="1"/>
    </xf>
    <xf numFmtId="165" fontId="77" fillId="0" borderId="34" xfId="0" applyNumberFormat="1" applyFont="1" applyBorder="1"/>
    <xf numFmtId="9" fontId="77" fillId="0" borderId="32" xfId="0" applyNumberFormat="1" applyFont="1" applyFill="1" applyBorder="1" applyAlignment="1">
      <alignment horizontal="center" vertical="center"/>
    </xf>
    <xf numFmtId="165" fontId="112" fillId="0" borderId="34" xfId="0" applyNumberFormat="1" applyFont="1" applyBorder="1"/>
    <xf numFmtId="165" fontId="77" fillId="0" borderId="37" xfId="0" applyNumberFormat="1" applyFont="1" applyBorder="1"/>
    <xf numFmtId="165" fontId="77" fillId="0" borderId="36" xfId="0" applyNumberFormat="1" applyFont="1" applyFill="1" applyBorder="1"/>
    <xf numFmtId="165" fontId="77" fillId="0" borderId="29" xfId="0" applyNumberFormat="1" applyFont="1" applyFill="1" applyBorder="1"/>
    <xf numFmtId="9" fontId="77" fillId="0" borderId="35" xfId="0" applyNumberFormat="1" applyFont="1" applyFill="1" applyBorder="1" applyAlignment="1">
      <alignment horizontal="center" vertical="center"/>
    </xf>
    <xf numFmtId="165" fontId="77" fillId="23" borderId="0" xfId="0" applyNumberFormat="1" applyFont="1" applyFill="1" applyBorder="1"/>
    <xf numFmtId="165" fontId="77" fillId="23" borderId="39" xfId="0" applyNumberFormat="1" applyFont="1" applyFill="1" applyBorder="1"/>
    <xf numFmtId="0" fontId="29" fillId="0" borderId="0" xfId="0" applyFont="1" applyFill="1" applyAlignment="1"/>
    <xf numFmtId="0" fontId="67" fillId="25" borderId="0" xfId="0" applyFont="1" applyFill="1" applyAlignment="1">
      <alignment wrapText="1"/>
    </xf>
    <xf numFmtId="0" fontId="67" fillId="25" borderId="0" xfId="0" applyFont="1" applyFill="1" applyAlignment="1">
      <alignment horizontal="right"/>
    </xf>
    <xf numFmtId="0" fontId="0" fillId="0" borderId="32" xfId="0" applyFont="1" applyFill="1" applyBorder="1" applyAlignment="1">
      <alignment horizontal="left"/>
    </xf>
    <xf numFmtId="0" fontId="0" fillId="21" borderId="35" xfId="0" applyFont="1" applyFill="1" applyBorder="1" applyAlignment="1">
      <alignment horizontal="left"/>
    </xf>
    <xf numFmtId="0" fontId="0" fillId="0" borderId="32" xfId="0" applyFont="1" applyFill="1" applyBorder="1" applyAlignment="1">
      <alignment wrapText="1"/>
    </xf>
    <xf numFmtId="0" fontId="0" fillId="0" borderId="31" xfId="0" applyFont="1" applyFill="1" applyBorder="1" applyAlignment="1">
      <alignment wrapText="1"/>
    </xf>
    <xf numFmtId="0" fontId="91" fillId="0" borderId="32" xfId="0" applyFont="1" applyFill="1" applyBorder="1" applyAlignment="1">
      <alignment wrapText="1"/>
    </xf>
    <xf numFmtId="165" fontId="84" fillId="0" borderId="34" xfId="0" applyNumberFormat="1" applyFont="1" applyBorder="1"/>
    <xf numFmtId="0" fontId="91" fillId="0" borderId="31" xfId="0" applyFont="1" applyFill="1" applyBorder="1" applyAlignment="1">
      <alignment wrapText="1"/>
    </xf>
    <xf numFmtId="165" fontId="84" fillId="0" borderId="37" xfId="0" applyNumberFormat="1" applyFont="1" applyBorder="1"/>
    <xf numFmtId="0" fontId="26" fillId="0" borderId="32" xfId="0" applyFont="1" applyFill="1" applyBorder="1" applyAlignment="1">
      <alignment wrapText="1"/>
    </xf>
    <xf numFmtId="165" fontId="84" fillId="0" borderId="37" xfId="0" applyNumberFormat="1" applyFont="1" applyFill="1" applyBorder="1"/>
    <xf numFmtId="0" fontId="91" fillId="0" borderId="35" xfId="0" applyFont="1" applyFill="1" applyBorder="1" applyAlignment="1">
      <alignment wrapText="1"/>
    </xf>
    <xf numFmtId="165" fontId="113" fillId="0" borderId="36" xfId="0" applyNumberFormat="1" applyFont="1" applyBorder="1"/>
    <xf numFmtId="0" fontId="114" fillId="16" borderId="0" xfId="0" applyFont="1" applyFill="1" applyAlignment="1"/>
    <xf numFmtId="0" fontId="114" fillId="0" borderId="0" xfId="0" applyFont="1" applyFill="1" applyAlignment="1"/>
    <xf numFmtId="0" fontId="12" fillId="0" borderId="0" xfId="0" applyFont="1" applyFill="1" applyBorder="1"/>
    <xf numFmtId="0" fontId="0" fillId="0" borderId="32" xfId="0" applyFont="1" applyFill="1" applyBorder="1" applyAlignment="1">
      <alignment vertical="top" wrapText="1"/>
    </xf>
    <xf numFmtId="170" fontId="77" fillId="0" borderId="34" xfId="0" applyNumberFormat="1" applyFont="1" applyFill="1" applyBorder="1"/>
    <xf numFmtId="165" fontId="77" fillId="21" borderId="34" xfId="0" applyNumberFormat="1" applyFont="1" applyFill="1" applyBorder="1"/>
    <xf numFmtId="164" fontId="77" fillId="21" borderId="34" xfId="0" applyNumberFormat="1" applyFont="1" applyFill="1" applyBorder="1"/>
    <xf numFmtId="165" fontId="77" fillId="21" borderId="36" xfId="0" applyNumberFormat="1" applyFont="1" applyFill="1" applyBorder="1"/>
    <xf numFmtId="42" fontId="77" fillId="0" borderId="34" xfId="0" applyNumberFormat="1" applyFont="1" applyFill="1" applyBorder="1" applyAlignment="1">
      <alignment vertical="top"/>
    </xf>
    <xf numFmtId="44" fontId="77" fillId="0" borderId="34" xfId="0" applyNumberFormat="1" applyFont="1" applyFill="1" applyBorder="1" applyAlignment="1">
      <alignment vertical="top"/>
    </xf>
    <xf numFmtId="42" fontId="77" fillId="0" borderId="34" xfId="0" applyNumberFormat="1" applyFont="1" applyFill="1" applyBorder="1"/>
    <xf numFmtId="44" fontId="77" fillId="0" borderId="34" xfId="0" applyNumberFormat="1" applyFont="1" applyFill="1" applyBorder="1"/>
    <xf numFmtId="0" fontId="84" fillId="0" borderId="34" xfId="0" applyFont="1" applyFill="1" applyBorder="1" applyAlignment="1">
      <alignment horizontal="center"/>
    </xf>
    <xf numFmtId="164" fontId="29" fillId="0" borderId="0" xfId="0" applyNumberFormat="1" applyFont="1" applyAlignment="1">
      <alignment vertical="top"/>
    </xf>
    <xf numFmtId="0" fontId="67" fillId="16" borderId="0" xfId="0" applyFont="1" applyFill="1" applyAlignment="1">
      <alignment vertical="center"/>
    </xf>
    <xf numFmtId="0" fontId="67" fillId="0" borderId="0" xfId="0" applyFont="1" applyFill="1" applyAlignment="1">
      <alignment vertical="center"/>
    </xf>
    <xf numFmtId="164" fontId="77" fillId="0" borderId="34" xfId="0" applyNumberFormat="1" applyFont="1" applyFill="1" applyBorder="1"/>
    <xf numFmtId="0" fontId="12" fillId="0" borderId="0" xfId="0" applyFont="1" applyFill="1" applyBorder="1" applyProtection="1">
      <protection locked="0"/>
    </xf>
    <xf numFmtId="0" fontId="12" fillId="21" borderId="29" xfId="0" applyFont="1" applyFill="1" applyBorder="1" applyProtection="1">
      <protection locked="0"/>
    </xf>
    <xf numFmtId="9" fontId="107" fillId="26" borderId="21" xfId="0" applyNumberFormat="1" applyFont="1" applyFill="1" applyBorder="1" applyAlignment="1">
      <alignment horizontal="center"/>
    </xf>
    <xf numFmtId="165" fontId="107" fillId="26" borderId="22" xfId="0" applyNumberFormat="1" applyFont="1" applyFill="1" applyBorder="1"/>
    <xf numFmtId="44" fontId="107" fillId="26" borderId="22" xfId="0" applyNumberFormat="1" applyFont="1" applyFill="1" applyBorder="1"/>
    <xf numFmtId="165" fontId="107" fillId="26" borderId="22" xfId="0" applyNumberFormat="1" applyFont="1" applyFill="1" applyBorder="1" applyAlignment="1"/>
    <xf numFmtId="44" fontId="107" fillId="26" borderId="23" xfId="0" applyNumberFormat="1" applyFont="1" applyFill="1" applyBorder="1"/>
    <xf numFmtId="9" fontId="12" fillId="0" borderId="16" xfId="0" applyNumberFormat="1" applyFont="1" applyFill="1" applyBorder="1"/>
    <xf numFmtId="0" fontId="115" fillId="0" borderId="0" xfId="0" applyFont="1" applyFill="1" applyAlignment="1"/>
    <xf numFmtId="0" fontId="75" fillId="0" borderId="32" xfId="0" applyFont="1" applyFill="1" applyBorder="1" applyAlignment="1">
      <alignment horizontal="center"/>
    </xf>
    <xf numFmtId="9" fontId="77" fillId="0" borderId="32" xfId="0" applyNumberFormat="1" applyFont="1" applyBorder="1" applyAlignment="1">
      <alignment horizontal="center"/>
    </xf>
    <xf numFmtId="0" fontId="75" fillId="0" borderId="34" xfId="0" applyFont="1" applyFill="1" applyBorder="1" applyAlignment="1">
      <alignment horizontal="center"/>
    </xf>
    <xf numFmtId="44" fontId="77" fillId="0" borderId="34" xfId="0" applyNumberFormat="1" applyFont="1" applyBorder="1"/>
    <xf numFmtId="165" fontId="77" fillId="0" borderId="34" xfId="0" applyNumberFormat="1" applyFont="1" applyBorder="1" applyAlignment="1"/>
    <xf numFmtId="9" fontId="77" fillId="0" borderId="35" xfId="0" applyNumberFormat="1" applyFont="1" applyBorder="1" applyAlignment="1">
      <alignment horizontal="center"/>
    </xf>
    <xf numFmtId="165" fontId="77" fillId="0" borderId="36" xfId="0" applyNumberFormat="1" applyFont="1" applyBorder="1"/>
    <xf numFmtId="44" fontId="77" fillId="0" borderId="36" xfId="0" applyNumberFormat="1" applyFont="1" applyBorder="1"/>
    <xf numFmtId="165" fontId="77" fillId="0" borderId="36" xfId="0" applyNumberFormat="1" applyFont="1" applyBorder="1" applyAlignment="1"/>
    <xf numFmtId="9" fontId="77" fillId="21" borderId="56" xfId="0" applyNumberFormat="1" applyFont="1" applyFill="1" applyBorder="1" applyAlignment="1">
      <alignment horizontal="center"/>
    </xf>
    <xf numFmtId="165" fontId="77" fillId="21" borderId="57" xfId="0" applyNumberFormat="1" applyFont="1" applyFill="1" applyBorder="1"/>
    <xf numFmtId="44" fontId="77" fillId="21" borderId="57" xfId="0" applyNumberFormat="1" applyFont="1" applyFill="1" applyBorder="1"/>
    <xf numFmtId="165" fontId="77" fillId="21" borderId="57" xfId="0" applyNumberFormat="1" applyFont="1" applyFill="1" applyBorder="1" applyAlignment="1"/>
    <xf numFmtId="9" fontId="77" fillId="21" borderId="58" xfId="0" applyNumberFormat="1" applyFont="1" applyFill="1" applyBorder="1" applyAlignment="1">
      <alignment horizontal="center"/>
    </xf>
    <xf numFmtId="165" fontId="77" fillId="21" borderId="59" xfId="0" applyNumberFormat="1" applyFont="1" applyFill="1" applyBorder="1"/>
    <xf numFmtId="44" fontId="77" fillId="21" borderId="59" xfId="0" applyNumberFormat="1" applyFont="1" applyFill="1" applyBorder="1"/>
    <xf numFmtId="165" fontId="77" fillId="21" borderId="59" xfId="0" applyNumberFormat="1" applyFont="1" applyFill="1" applyBorder="1" applyAlignment="1">
      <alignment horizontal="center"/>
    </xf>
    <xf numFmtId="0" fontId="0" fillId="21" borderId="32" xfId="0" applyFont="1" applyFill="1" applyBorder="1" applyAlignment="1">
      <alignment wrapText="1"/>
    </xf>
    <xf numFmtId="42" fontId="77" fillId="21" borderId="34" xfId="0" applyNumberFormat="1" applyFont="1" applyFill="1" applyBorder="1"/>
    <xf numFmtId="0" fontId="0" fillId="21" borderId="35" xfId="0" applyFont="1" applyFill="1" applyBorder="1" applyAlignment="1">
      <alignment wrapText="1"/>
    </xf>
    <xf numFmtId="42" fontId="77" fillId="21" borderId="36" xfId="0" applyNumberFormat="1" applyFont="1" applyFill="1" applyBorder="1"/>
    <xf numFmtId="44" fontId="77" fillId="21" borderId="36" xfId="0" applyNumberFormat="1" applyFont="1" applyFill="1" applyBorder="1"/>
    <xf numFmtId="0" fontId="115" fillId="0" borderId="0" xfId="0" applyFont="1" applyFill="1" applyBorder="1" applyAlignment="1">
      <alignment wrapText="1"/>
    </xf>
    <xf numFmtId="0" fontId="0" fillId="20" borderId="0" xfId="0" applyFont="1" applyFill="1"/>
    <xf numFmtId="14" fontId="29" fillId="20" borderId="0" xfId="0" applyNumberFormat="1" applyFont="1" applyFill="1" applyAlignment="1" applyProtection="1">
      <alignment horizontal="left"/>
    </xf>
    <xf numFmtId="2" fontId="77" fillId="21" borderId="29" xfId="0" applyNumberFormat="1" applyFont="1" applyFill="1" applyBorder="1"/>
    <xf numFmtId="0" fontId="0" fillId="21" borderId="35" xfId="0" applyFont="1" applyFill="1" applyBorder="1" applyAlignment="1"/>
    <xf numFmtId="0" fontId="0" fillId="0" borderId="50" xfId="0" applyFont="1" applyBorder="1"/>
    <xf numFmtId="8" fontId="40" fillId="0" borderId="60" xfId="0" applyNumberFormat="1" applyFont="1" applyBorder="1" applyAlignment="1">
      <alignment horizontal="center" vertical="center"/>
    </xf>
    <xf numFmtId="9" fontId="77" fillId="0" borderId="50" xfId="0" applyNumberFormat="1" applyFont="1" applyFill="1" applyBorder="1" applyAlignment="1">
      <alignment horizontal="center"/>
    </xf>
    <xf numFmtId="7" fontId="77" fillId="0" borderId="50" xfId="0" applyNumberFormat="1" applyFont="1" applyFill="1" applyBorder="1" applyAlignment="1">
      <alignment horizontal="center" vertical="center"/>
    </xf>
    <xf numFmtId="7" fontId="77" fillId="23" borderId="50" xfId="0" applyNumberFormat="1" applyFont="1" applyFill="1" applyBorder="1" applyAlignment="1">
      <alignment horizontal="center" vertical="center"/>
    </xf>
    <xf numFmtId="0" fontId="0" fillId="0" borderId="33" xfId="0" applyFont="1" applyBorder="1"/>
    <xf numFmtId="0" fontId="99" fillId="0" borderId="50" xfId="0" applyFont="1" applyFill="1" applyBorder="1" applyAlignment="1">
      <alignment horizontal="center" vertical="center"/>
    </xf>
    <xf numFmtId="0" fontId="84" fillId="0" borderId="30" xfId="0" applyFont="1" applyFill="1" applyBorder="1" applyAlignment="1">
      <alignment horizontal="center"/>
    </xf>
    <xf numFmtId="0" fontId="77" fillId="0" borderId="0" xfId="0" applyFont="1" applyBorder="1" applyAlignment="1">
      <alignment horizontal="left"/>
    </xf>
    <xf numFmtId="0" fontId="116" fillId="0" borderId="0" xfId="0" applyFont="1" applyBorder="1" applyAlignment="1">
      <alignment horizontal="left"/>
    </xf>
    <xf numFmtId="0" fontId="77" fillId="0" borderId="0" xfId="0" applyFont="1" applyBorder="1" applyAlignment="1">
      <alignment horizontal="left" vertical="center"/>
    </xf>
    <xf numFmtId="0" fontId="77" fillId="0" borderId="0" xfId="0" applyFont="1" applyAlignment="1">
      <alignment horizontal="left"/>
    </xf>
    <xf numFmtId="176" fontId="84" fillId="0" borderId="0" xfId="0" applyNumberFormat="1" applyFont="1" applyBorder="1" applyAlignment="1">
      <alignment horizontal="left" vertical="center"/>
    </xf>
    <xf numFmtId="0" fontId="106" fillId="0" borderId="0" xfId="0" applyFont="1" applyFill="1"/>
    <xf numFmtId="0" fontId="89" fillId="0" borderId="0" xfId="0" applyFont="1" applyFill="1"/>
    <xf numFmtId="0" fontId="0" fillId="0" borderId="0" xfId="0" applyFont="1" applyAlignment="1">
      <alignment horizontal="center"/>
    </xf>
    <xf numFmtId="164" fontId="77" fillId="0" borderId="33" xfId="0" applyNumberFormat="1" applyFont="1" applyBorder="1" applyAlignment="1">
      <alignment horizontal="center" vertical="center"/>
    </xf>
    <xf numFmtId="44" fontId="77" fillId="14" borderId="32" xfId="0" applyNumberFormat="1" applyFont="1" applyFill="1" applyBorder="1" applyProtection="1"/>
    <xf numFmtId="44" fontId="77" fillId="0" borderId="61" xfId="0" applyNumberFormat="1" applyFont="1" applyFill="1" applyBorder="1" applyProtection="1"/>
    <xf numFmtId="44" fontId="77" fillId="14" borderId="31" xfId="0" applyNumberFormat="1" applyFont="1" applyFill="1" applyBorder="1" applyProtection="1"/>
    <xf numFmtId="44" fontId="77" fillId="0" borderId="62" xfId="0" applyNumberFormat="1" applyFont="1" applyFill="1" applyBorder="1" applyProtection="1"/>
    <xf numFmtId="0" fontId="77" fillId="18" borderId="63" xfId="0" applyFont="1" applyFill="1" applyBorder="1" applyProtection="1"/>
    <xf numFmtId="44" fontId="77" fillId="14" borderId="64" xfId="0" applyNumberFormat="1" applyFont="1" applyFill="1" applyBorder="1" applyProtection="1"/>
    <xf numFmtId="0" fontId="77" fillId="14" borderId="35" xfId="0" applyFont="1" applyFill="1" applyBorder="1" applyProtection="1"/>
    <xf numFmtId="0" fontId="77" fillId="18" borderId="36" xfId="0" applyFont="1" applyFill="1" applyBorder="1" applyProtection="1"/>
    <xf numFmtId="3" fontId="77" fillId="0" borderId="65" xfId="0" applyNumberFormat="1" applyFont="1" applyBorder="1" applyProtection="1"/>
    <xf numFmtId="0" fontId="38" fillId="0" borderId="0" xfId="0" applyFont="1" applyFill="1" applyBorder="1" applyAlignment="1" applyProtection="1">
      <alignment wrapText="1"/>
    </xf>
    <xf numFmtId="0" fontId="37" fillId="0" borderId="0" xfId="0" applyFont="1" applyFill="1" applyBorder="1" applyAlignment="1" applyProtection="1">
      <alignment wrapText="1"/>
    </xf>
    <xf numFmtId="44" fontId="63" fillId="0" borderId="0" xfId="0" applyNumberFormat="1" applyFont="1" applyFill="1" applyBorder="1"/>
    <xf numFmtId="0" fontId="99" fillId="0" borderId="32" xfId="0" applyFont="1" applyFill="1" applyBorder="1" applyAlignment="1" applyProtection="1">
      <alignment wrapText="1"/>
    </xf>
    <xf numFmtId="0" fontId="99" fillId="0" borderId="31" xfId="0" applyFont="1" applyFill="1" applyBorder="1" applyAlignment="1" applyProtection="1">
      <alignment wrapText="1"/>
    </xf>
    <xf numFmtId="0" fontId="54" fillId="0" borderId="0" xfId="0" applyFont="1" applyBorder="1" applyAlignment="1" applyProtection="1">
      <alignment horizontal="left"/>
    </xf>
    <xf numFmtId="44" fontId="0" fillId="0" borderId="34" xfId="0" applyNumberFormat="1" applyFont="1" applyBorder="1" applyProtection="1"/>
    <xf numFmtId="0" fontId="77" fillId="0" borderId="34" xfId="0" applyFont="1" applyBorder="1" applyProtection="1"/>
    <xf numFmtId="44" fontId="77" fillId="0" borderId="37" xfId="0" applyNumberFormat="1" applyFont="1" applyBorder="1" applyProtection="1"/>
    <xf numFmtId="44" fontId="77" fillId="0" borderId="63" xfId="0" applyNumberFormat="1" applyFont="1" applyBorder="1" applyProtection="1"/>
    <xf numFmtId="3" fontId="77" fillId="0" borderId="36" xfId="0" applyNumberFormat="1" applyFont="1" applyBorder="1" applyProtection="1"/>
    <xf numFmtId="0" fontId="34" fillId="0" borderId="0" xfId="0" applyFont="1" applyAlignment="1" applyProtection="1">
      <alignment horizontal="left" vertical="center"/>
    </xf>
    <xf numFmtId="14" fontId="0" fillId="0" borderId="0" xfId="0" applyNumberFormat="1" applyFont="1" applyAlignment="1" applyProtection="1">
      <alignment horizontal="left"/>
    </xf>
    <xf numFmtId="0" fontId="0" fillId="0" borderId="0" xfId="0" applyFont="1" applyBorder="1" applyAlignment="1" applyProtection="1">
      <alignment horizontal="right"/>
    </xf>
    <xf numFmtId="0" fontId="0" fillId="0" borderId="35" xfId="0" applyFont="1" applyFill="1" applyBorder="1" applyAlignment="1" applyProtection="1">
      <alignment wrapText="1"/>
    </xf>
    <xf numFmtId="0" fontId="0" fillId="0" borderId="0" xfId="0" applyFont="1" applyFill="1" applyBorder="1" applyAlignment="1" applyProtection="1">
      <alignment wrapText="1"/>
    </xf>
    <xf numFmtId="0" fontId="0" fillId="0" borderId="38" xfId="0" applyFont="1" applyBorder="1" applyProtection="1"/>
    <xf numFmtId="0" fontId="0" fillId="0" borderId="38" xfId="0" applyFont="1" applyFill="1" applyBorder="1" applyProtection="1"/>
    <xf numFmtId="44" fontId="0" fillId="0" borderId="32" xfId="0" applyNumberFormat="1" applyFont="1" applyBorder="1" applyProtection="1"/>
    <xf numFmtId="44" fontId="0" fillId="0" borderId="42" xfId="0" applyNumberFormat="1" applyFont="1" applyBorder="1" applyProtection="1"/>
    <xf numFmtId="44" fontId="0" fillId="0" borderId="35" xfId="0" applyNumberFormat="1" applyFont="1" applyBorder="1" applyProtection="1"/>
    <xf numFmtId="0" fontId="15" fillId="0" borderId="66" xfId="0" applyFont="1" applyBorder="1" applyAlignment="1" applyProtection="1">
      <alignment horizontal="center"/>
    </xf>
    <xf numFmtId="0" fontId="15" fillId="0" borderId="31" xfId="0" applyFont="1" applyBorder="1" applyAlignment="1" applyProtection="1">
      <alignment horizontal="center"/>
    </xf>
    <xf numFmtId="0" fontId="15" fillId="0" borderId="34" xfId="0" applyFont="1" applyBorder="1" applyAlignment="1" applyProtection="1">
      <alignment horizontal="center" wrapText="1"/>
    </xf>
    <xf numFmtId="0" fontId="117" fillId="0" borderId="31" xfId="0" applyFont="1" applyBorder="1" applyAlignment="1" applyProtection="1">
      <alignment horizontal="left"/>
    </xf>
    <xf numFmtId="0" fontId="55" fillId="0" borderId="0" xfId="0" applyFont="1" applyBorder="1" applyProtection="1"/>
    <xf numFmtId="0" fontId="117" fillId="0" borderId="0" xfId="0" applyFont="1" applyBorder="1" applyProtection="1"/>
    <xf numFmtId="0" fontId="15" fillId="0" borderId="32" xfId="0" applyFont="1" applyFill="1" applyBorder="1" applyAlignment="1" applyProtection="1">
      <alignment wrapText="1"/>
    </xf>
    <xf numFmtId="0" fontId="15" fillId="0" borderId="31" xfId="0" applyFont="1" applyFill="1" applyBorder="1" applyAlignment="1" applyProtection="1">
      <alignment wrapText="1"/>
    </xf>
    <xf numFmtId="0" fontId="15" fillId="0" borderId="64" xfId="0" applyFont="1" applyFill="1" applyBorder="1" applyAlignment="1" applyProtection="1">
      <alignment wrapText="1"/>
    </xf>
    <xf numFmtId="0" fontId="15" fillId="0" borderId="32" xfId="0" applyFont="1" applyBorder="1" applyAlignment="1" applyProtection="1">
      <alignment horizontal="right"/>
    </xf>
    <xf numFmtId="0" fontId="15" fillId="0" borderId="34" xfId="0" applyFont="1" applyBorder="1" applyAlignment="1" applyProtection="1">
      <alignment horizontal="right"/>
    </xf>
    <xf numFmtId="0" fontId="15" fillId="0" borderId="0" xfId="0" applyFont="1" applyBorder="1" applyAlignment="1" applyProtection="1">
      <alignment horizontal="right"/>
    </xf>
    <xf numFmtId="0" fontId="13" fillId="0" borderId="32" xfId="0" applyFont="1" applyBorder="1" applyAlignment="1" applyProtection="1">
      <alignment horizontal="right"/>
    </xf>
    <xf numFmtId="0" fontId="56" fillId="0" borderId="39" xfId="0" applyFont="1" applyBorder="1" applyAlignment="1" applyProtection="1">
      <alignment horizontal="right"/>
    </xf>
    <xf numFmtId="0" fontId="56" fillId="0" borderId="31" xfId="0" applyFont="1" applyBorder="1" applyAlignment="1" applyProtection="1">
      <alignment horizontal="right"/>
    </xf>
    <xf numFmtId="44" fontId="118" fillId="18" borderId="37" xfId="0" applyNumberFormat="1" applyFont="1" applyFill="1" applyBorder="1" applyProtection="1"/>
    <xf numFmtId="44" fontId="91" fillId="0" borderId="34" xfId="0" applyNumberFormat="1" applyFont="1" applyBorder="1" applyProtection="1"/>
    <xf numFmtId="0" fontId="53" fillId="0" borderId="32" xfId="0" applyFont="1" applyBorder="1" applyAlignment="1" applyProtection="1">
      <alignment horizontal="right"/>
    </xf>
    <xf numFmtId="9" fontId="67" fillId="0" borderId="34" xfId="0" applyNumberFormat="1" applyFont="1" applyBorder="1" applyProtection="1"/>
    <xf numFmtId="0" fontId="15" fillId="0" borderId="67" xfId="0" applyFont="1" applyBorder="1" applyAlignment="1" applyProtection="1">
      <alignment horizontal="right"/>
    </xf>
    <xf numFmtId="0" fontId="15" fillId="0" borderId="42" xfId="0" applyFont="1" applyBorder="1" applyAlignment="1" applyProtection="1">
      <alignment horizontal="right"/>
    </xf>
    <xf numFmtId="44" fontId="91" fillId="0" borderId="43" xfId="0" applyNumberFormat="1" applyFont="1" applyBorder="1" applyProtection="1"/>
    <xf numFmtId="0" fontId="15" fillId="0" borderId="29" xfId="0" applyFont="1" applyBorder="1" applyAlignment="1" applyProtection="1">
      <alignment horizontal="right"/>
    </xf>
    <xf numFmtId="0" fontId="53" fillId="0" borderId="35" xfId="0" applyFont="1" applyBorder="1" applyAlignment="1" applyProtection="1">
      <alignment horizontal="right"/>
    </xf>
    <xf numFmtId="9" fontId="67" fillId="0" borderId="36" xfId="0" applyNumberFormat="1" applyFont="1" applyBorder="1" applyProtection="1"/>
    <xf numFmtId="0" fontId="27" fillId="27" borderId="68" xfId="0" applyFont="1" applyFill="1" applyBorder="1" applyAlignment="1" applyProtection="1">
      <alignment horizontal="center" vertical="center"/>
    </xf>
    <xf numFmtId="14" fontId="40" fillId="0" borderId="50" xfId="0" applyNumberFormat="1" applyFont="1" applyBorder="1" applyAlignment="1" applyProtection="1">
      <alignment horizontal="left"/>
    </xf>
    <xf numFmtId="173" fontId="40" fillId="0" borderId="33" xfId="0" applyNumberFormat="1" applyFont="1" applyBorder="1" applyAlignment="1">
      <alignment horizontal="center" vertical="center"/>
    </xf>
    <xf numFmtId="164" fontId="40" fillId="0" borderId="60" xfId="0" applyNumberFormat="1" applyFont="1" applyBorder="1" applyAlignment="1">
      <alignment horizontal="center" vertical="center"/>
    </xf>
    <xf numFmtId="173" fontId="40" fillId="0" borderId="60" xfId="0" applyNumberFormat="1" applyFont="1" applyBorder="1" applyAlignment="1">
      <alignment horizontal="center" vertical="center"/>
    </xf>
    <xf numFmtId="0" fontId="0" fillId="0" borderId="69" xfId="0" applyFont="1" applyBorder="1"/>
    <xf numFmtId="164" fontId="40" fillId="0" borderId="33" xfId="0" applyNumberFormat="1" applyFont="1" applyBorder="1" applyAlignment="1">
      <alignment horizontal="center" vertical="center"/>
    </xf>
    <xf numFmtId="0" fontId="0" fillId="0" borderId="0" xfId="0" applyFont="1" applyAlignment="1">
      <alignment horizontal="left"/>
    </xf>
    <xf numFmtId="0" fontId="0" fillId="0" borderId="0" xfId="0" applyAlignment="1">
      <alignment horizontal="left"/>
    </xf>
    <xf numFmtId="0" fontId="12" fillId="0" borderId="0" xfId="0" applyFont="1" applyAlignment="1">
      <alignment horizontal="left"/>
    </xf>
    <xf numFmtId="0" fontId="0" fillId="0" borderId="52" xfId="0" applyFont="1" applyFill="1" applyBorder="1" applyAlignment="1">
      <alignment horizontal="center" vertical="center"/>
    </xf>
    <xf numFmtId="0" fontId="91" fillId="0" borderId="8" xfId="0" applyFont="1" applyBorder="1" applyAlignment="1">
      <alignment horizontal="left" vertical="top" wrapText="1"/>
    </xf>
    <xf numFmtId="0" fontId="0" fillId="0" borderId="8" xfId="0" applyBorder="1" applyAlignment="1">
      <alignment horizontal="left" vertical="top" wrapText="1"/>
    </xf>
    <xf numFmtId="9" fontId="77" fillId="0" borderId="34" xfId="0" applyNumberFormat="1" applyFont="1" applyBorder="1" applyAlignment="1" applyProtection="1">
      <alignment horizontal="center" vertical="center"/>
    </xf>
    <xf numFmtId="44" fontId="77" fillId="0" borderId="34" xfId="0" applyNumberFormat="1" applyFont="1" applyBorder="1" applyAlignment="1" applyProtection="1">
      <alignment horizontal="center"/>
    </xf>
    <xf numFmtId="9" fontId="77" fillId="0" borderId="37" xfId="0" applyNumberFormat="1" applyFont="1" applyBorder="1" applyAlignment="1" applyProtection="1">
      <alignment horizontal="center" vertical="center"/>
    </xf>
    <xf numFmtId="44" fontId="77" fillId="0" borderId="37" xfId="0" applyNumberFormat="1" applyFont="1" applyBorder="1" applyAlignment="1" applyProtection="1">
      <alignment horizontal="center"/>
    </xf>
    <xf numFmtId="9" fontId="77" fillId="0" borderId="34" xfId="0" applyNumberFormat="1" applyFont="1" applyBorder="1" applyAlignment="1" applyProtection="1">
      <alignment horizontal="center" vertical="center" wrapText="1"/>
    </xf>
    <xf numFmtId="9" fontId="77" fillId="0" borderId="37" xfId="0" applyNumberFormat="1" applyFont="1" applyBorder="1" applyAlignment="1" applyProtection="1">
      <alignment horizontal="center" vertical="center" wrapText="1"/>
    </xf>
    <xf numFmtId="0" fontId="34" fillId="0" borderId="0" xfId="0" applyFont="1" applyBorder="1" applyAlignment="1" applyProtection="1">
      <alignment horizontal="left" vertical="center"/>
    </xf>
    <xf numFmtId="0" fontId="0" fillId="0" borderId="35" xfId="0" applyBorder="1"/>
    <xf numFmtId="164" fontId="40" fillId="0" borderId="0" xfId="0" applyNumberFormat="1" applyFont="1" applyAlignment="1">
      <alignment horizontal="center" vertical="center"/>
    </xf>
    <xf numFmtId="43" fontId="0" fillId="0" borderId="0" xfId="0" applyNumberFormat="1" applyFont="1"/>
    <xf numFmtId="14" fontId="0" fillId="0" borderId="0" xfId="0" applyNumberFormat="1"/>
    <xf numFmtId="173" fontId="0" fillId="0" borderId="0" xfId="0" applyNumberFormat="1"/>
    <xf numFmtId="10" fontId="0" fillId="0" borderId="0" xfId="0" applyNumberFormat="1"/>
    <xf numFmtId="0" fontId="0" fillId="21" borderId="0" xfId="0" applyFont="1" applyFill="1" applyAlignment="1"/>
    <xf numFmtId="7" fontId="71" fillId="21" borderId="29" xfId="0" applyNumberFormat="1" applyFont="1" applyFill="1" applyBorder="1"/>
    <xf numFmtId="0" fontId="12" fillId="0" borderId="32" xfId="0" applyFont="1" applyBorder="1" applyAlignment="1">
      <alignment horizontal="center"/>
    </xf>
    <xf numFmtId="0" fontId="12" fillId="0" borderId="0" xfId="0" applyFont="1" applyAlignment="1"/>
    <xf numFmtId="165" fontId="7" fillId="0" borderId="0" xfId="0" applyNumberFormat="1" applyFont="1"/>
    <xf numFmtId="172" fontId="12" fillId="0" borderId="0" xfId="0" applyNumberFormat="1" applyFont="1" applyAlignment="1">
      <alignment horizontal="right"/>
    </xf>
    <xf numFmtId="2" fontId="58" fillId="0" borderId="0" xfId="0" applyNumberFormat="1" applyFont="1"/>
    <xf numFmtId="2" fontId="7" fillId="0" borderId="0" xfId="0" applyNumberFormat="1" applyFont="1"/>
    <xf numFmtId="172" fontId="67" fillId="25" borderId="0" xfId="0" applyNumberFormat="1" applyFont="1" applyFill="1" applyAlignment="1">
      <alignment horizontal="left"/>
    </xf>
    <xf numFmtId="0" fontId="0" fillId="25" borderId="0" xfId="0" applyFill="1"/>
    <xf numFmtId="2" fontId="7" fillId="25" borderId="0" xfId="0" applyNumberFormat="1" applyFont="1" applyFill="1"/>
    <xf numFmtId="0" fontId="75" fillId="21" borderId="32" xfId="0" applyFont="1" applyFill="1" applyBorder="1" applyProtection="1">
      <protection locked="0"/>
    </xf>
    <xf numFmtId="0" fontId="75" fillId="0" borderId="32" xfId="0" applyFont="1" applyBorder="1" applyProtection="1">
      <protection locked="0"/>
    </xf>
    <xf numFmtId="0" fontId="75" fillId="21" borderId="35" xfId="0" applyFont="1" applyFill="1" applyBorder="1" applyProtection="1">
      <protection locked="0"/>
    </xf>
    <xf numFmtId="0" fontId="75" fillId="0" borderId="32" xfId="0" applyFont="1" applyFill="1" applyBorder="1" applyProtection="1">
      <protection locked="0"/>
    </xf>
    <xf numFmtId="0" fontId="75" fillId="21" borderId="32" xfId="0" applyFont="1" applyFill="1" applyBorder="1" applyAlignment="1">
      <alignment horizontal="right"/>
    </xf>
    <xf numFmtId="0" fontId="75" fillId="0" borderId="32" xfId="0" applyFont="1" applyBorder="1" applyAlignment="1">
      <alignment horizontal="right"/>
    </xf>
    <xf numFmtId="0" fontId="75" fillId="0" borderId="35" xfId="0" applyFont="1" applyBorder="1" applyAlignment="1">
      <alignment horizontal="right"/>
    </xf>
    <xf numFmtId="2" fontId="74" fillId="0" borderId="0" xfId="0" applyNumberFormat="1" applyFont="1" applyFill="1" applyAlignment="1">
      <alignment horizontal="center"/>
    </xf>
    <xf numFmtId="0" fontId="12" fillId="0" borderId="34" xfId="0" applyFont="1" applyBorder="1" applyAlignment="1">
      <alignment horizontal="center"/>
    </xf>
    <xf numFmtId="0" fontId="31" fillId="0" borderId="0" xfId="0" applyFont="1" applyFill="1" applyBorder="1" applyAlignment="1" applyProtection="1">
      <alignment horizontal="right"/>
      <protection locked="0"/>
    </xf>
    <xf numFmtId="2" fontId="77" fillId="21" borderId="32" xfId="0" applyNumberFormat="1" applyFont="1" applyFill="1" applyBorder="1" applyAlignment="1">
      <alignment horizontal="center"/>
    </xf>
    <xf numFmtId="2" fontId="77" fillId="0" borderId="32" xfId="0" applyNumberFormat="1" applyFont="1" applyBorder="1" applyAlignment="1">
      <alignment horizontal="center"/>
    </xf>
    <xf numFmtId="2" fontId="77" fillId="0" borderId="35" xfId="0" applyNumberFormat="1" applyFont="1" applyBorder="1" applyAlignment="1">
      <alignment horizontal="center"/>
    </xf>
    <xf numFmtId="4" fontId="77" fillId="0" borderId="33" xfId="0" applyNumberFormat="1" applyFont="1" applyBorder="1" applyAlignment="1">
      <alignment horizontal="center" vertical="center"/>
    </xf>
    <xf numFmtId="4" fontId="77" fillId="0" borderId="50" xfId="0" applyNumberFormat="1" applyFont="1" applyBorder="1" applyAlignment="1">
      <alignment horizontal="center" vertical="center"/>
    </xf>
    <xf numFmtId="0" fontId="39" fillId="0" borderId="0" xfId="0" applyFont="1" applyFill="1" applyBorder="1" applyAlignment="1"/>
    <xf numFmtId="0" fontId="39" fillId="0" borderId="0" xfId="0" applyFont="1" applyFill="1" applyBorder="1" applyAlignment="1">
      <alignment wrapText="1"/>
    </xf>
    <xf numFmtId="0" fontId="39" fillId="21" borderId="35" xfId="0" applyFont="1" applyFill="1" applyBorder="1" applyAlignment="1">
      <alignment wrapText="1"/>
    </xf>
    <xf numFmtId="0" fontId="119" fillId="24" borderId="13" xfId="0" applyFont="1" applyFill="1" applyBorder="1" applyAlignment="1"/>
    <xf numFmtId="44" fontId="39" fillId="0" borderId="34" xfId="0" applyNumberFormat="1" applyFont="1" applyFill="1" applyBorder="1" applyAlignment="1">
      <alignment horizontal="right"/>
    </xf>
    <xf numFmtId="178" fontId="39" fillId="0" borderId="34" xfId="0" applyNumberFormat="1" applyFont="1" applyFill="1" applyBorder="1" applyAlignment="1">
      <alignment horizontal="right"/>
    </xf>
    <xf numFmtId="165" fontId="27" fillId="27" borderId="34" xfId="0" applyNumberFormat="1" applyFont="1" applyFill="1" applyBorder="1" applyAlignment="1">
      <alignment horizontal="right"/>
    </xf>
    <xf numFmtId="165" fontId="39" fillId="27" borderId="34" xfId="0" applyNumberFormat="1" applyFont="1" applyFill="1" applyBorder="1" applyAlignment="1">
      <alignment horizontal="right"/>
    </xf>
    <xf numFmtId="44" fontId="39" fillId="27" borderId="34" xfId="0" applyNumberFormat="1" applyFont="1" applyFill="1" applyBorder="1" applyAlignment="1">
      <alignment horizontal="right"/>
    </xf>
    <xf numFmtId="44" fontId="39" fillId="21" borderId="34" xfId="0" applyNumberFormat="1" applyFont="1" applyFill="1" applyBorder="1" applyAlignment="1">
      <alignment horizontal="right"/>
    </xf>
    <xf numFmtId="0" fontId="12" fillId="0" borderId="0" xfId="1" applyFill="1" applyBorder="1" applyAlignment="1" applyProtection="1">
      <alignment horizontal="right"/>
    </xf>
    <xf numFmtId="0" fontId="12" fillId="0" borderId="0" xfId="1" applyNumberFormat="1" applyBorder="1" applyAlignment="1">
      <alignment horizontal="right"/>
    </xf>
    <xf numFmtId="0" fontId="12" fillId="24" borderId="13" xfId="1" applyFill="1" applyBorder="1" applyAlignment="1"/>
    <xf numFmtId="0" fontId="12" fillId="0" borderId="0" xfId="1" applyFill="1" applyBorder="1" applyAlignment="1"/>
    <xf numFmtId="164" fontId="12" fillId="0" borderId="38" xfId="1" applyNumberFormat="1" applyFill="1" applyBorder="1" applyAlignment="1">
      <alignment horizontal="right"/>
    </xf>
    <xf numFmtId="0" fontId="12" fillId="0" borderId="0" xfId="1" applyNumberFormat="1" applyFill="1" applyBorder="1" applyAlignment="1">
      <alignment horizontal="right"/>
    </xf>
    <xf numFmtId="0" fontId="12" fillId="24" borderId="0" xfId="1" applyFill="1" applyBorder="1" applyAlignment="1"/>
    <xf numFmtId="165" fontId="12" fillId="0" borderId="0" xfId="1" applyNumberFormat="1" applyFill="1" applyBorder="1" applyAlignment="1">
      <alignment horizontal="right"/>
    </xf>
    <xf numFmtId="0" fontId="12" fillId="0" borderId="0" xfId="1" applyBorder="1" applyAlignment="1"/>
    <xf numFmtId="165" fontId="12" fillId="23" borderId="36" xfId="1" applyNumberFormat="1" applyFill="1" applyBorder="1" applyAlignment="1">
      <alignment horizontal="right"/>
    </xf>
    <xf numFmtId="0" fontId="12" fillId="0" borderId="0" xfId="1" applyBorder="1"/>
    <xf numFmtId="0" fontId="12" fillId="0" borderId="0" xfId="1" applyBorder="1" applyAlignment="1">
      <alignment horizontal="right"/>
    </xf>
    <xf numFmtId="0" fontId="12" fillId="0" borderId="0" xfId="0" applyFont="1" applyBorder="1" applyAlignment="1"/>
    <xf numFmtId="165" fontId="112" fillId="0" borderId="1" xfId="0" applyNumberFormat="1" applyFont="1" applyFill="1" applyBorder="1" applyAlignment="1">
      <alignment horizontal="right"/>
    </xf>
    <xf numFmtId="178" fontId="39" fillId="21" borderId="36" xfId="0" applyNumberFormat="1" applyFont="1" applyFill="1" applyBorder="1" applyAlignment="1">
      <alignment horizontal="right"/>
    </xf>
    <xf numFmtId="178" fontId="39" fillId="27" borderId="36" xfId="0" applyNumberFormat="1" applyFont="1" applyFill="1" applyBorder="1" applyAlignment="1">
      <alignment horizontal="right"/>
    </xf>
    <xf numFmtId="0" fontId="95" fillId="0" borderId="0" xfId="0" applyFont="1" applyBorder="1" applyAlignment="1"/>
    <xf numFmtId="0" fontId="120" fillId="0" borderId="0" xfId="0" applyFont="1" applyBorder="1" applyAlignment="1"/>
    <xf numFmtId="0" fontId="121" fillId="0" borderId="0" xfId="0" applyFont="1" applyBorder="1" applyAlignment="1"/>
    <xf numFmtId="0" fontId="95" fillId="0" borderId="1" xfId="0" applyFont="1" applyBorder="1"/>
    <xf numFmtId="0" fontId="122" fillId="24" borderId="13" xfId="0" applyFont="1" applyFill="1" applyBorder="1" applyAlignment="1">
      <alignment horizontal="right"/>
    </xf>
    <xf numFmtId="0" fontId="123" fillId="0" borderId="32" xfId="0" applyFont="1" applyFill="1" applyBorder="1" applyAlignment="1">
      <alignment wrapText="1"/>
    </xf>
    <xf numFmtId="0" fontId="123" fillId="0" borderId="32" xfId="0" applyFont="1" applyFill="1" applyBorder="1" applyAlignment="1">
      <alignment horizontal="right" wrapText="1"/>
    </xf>
    <xf numFmtId="0" fontId="124" fillId="0" borderId="32" xfId="0" applyFont="1" applyFill="1" applyBorder="1" applyAlignment="1">
      <alignment wrapText="1"/>
    </xf>
    <xf numFmtId="0" fontId="124" fillId="0" borderId="32" xfId="0" applyFont="1" applyFill="1" applyBorder="1" applyAlignment="1">
      <alignment horizontal="right" wrapText="1"/>
    </xf>
    <xf numFmtId="0" fontId="122" fillId="21" borderId="32" xfId="0" applyFont="1" applyFill="1" applyBorder="1" applyAlignment="1">
      <alignment wrapText="1"/>
    </xf>
    <xf numFmtId="0" fontId="122" fillId="21" borderId="32" xfId="0" applyFont="1" applyFill="1" applyBorder="1" applyAlignment="1">
      <alignment horizontal="right" wrapText="1"/>
    </xf>
    <xf numFmtId="0" fontId="125" fillId="0" borderId="31" xfId="0" applyFont="1" applyFill="1" applyBorder="1" applyAlignment="1">
      <alignment wrapText="1"/>
    </xf>
    <xf numFmtId="0" fontId="125" fillId="0" borderId="31" xfId="0" applyFont="1" applyFill="1" applyBorder="1" applyAlignment="1">
      <alignment horizontal="right" wrapText="1"/>
    </xf>
    <xf numFmtId="0" fontId="123" fillId="21" borderId="32" xfId="0" applyFont="1" applyFill="1" applyBorder="1" applyAlignment="1">
      <alignment wrapText="1"/>
    </xf>
    <xf numFmtId="0" fontId="123" fillId="21" borderId="32" xfId="0" applyFont="1" applyFill="1" applyBorder="1" applyAlignment="1">
      <alignment horizontal="right" wrapText="1"/>
    </xf>
    <xf numFmtId="0" fontId="126" fillId="0" borderId="35" xfId="0" applyFont="1" applyFill="1" applyBorder="1" applyAlignment="1">
      <alignment wrapText="1"/>
    </xf>
    <xf numFmtId="0" fontId="126" fillId="0" borderId="35" xfId="0" applyFont="1" applyFill="1" applyBorder="1" applyAlignment="1">
      <alignment horizontal="right" wrapText="1"/>
    </xf>
    <xf numFmtId="0" fontId="127" fillId="0" borderId="0" xfId="0" applyFont="1" applyFill="1" applyBorder="1" applyAlignment="1"/>
    <xf numFmtId="0" fontId="127" fillId="0" borderId="0" xfId="0" applyFont="1" applyFill="1" applyBorder="1" applyAlignment="1">
      <alignment horizontal="right"/>
    </xf>
    <xf numFmtId="0" fontId="122" fillId="0" borderId="32" xfId="0" applyFont="1" applyFill="1" applyBorder="1" applyAlignment="1">
      <alignment horizontal="right" wrapText="1"/>
    </xf>
    <xf numFmtId="0" fontId="125" fillId="0" borderId="32" xfId="0" applyFont="1" applyFill="1" applyBorder="1" applyAlignment="1">
      <alignment horizontal="right" wrapText="1"/>
    </xf>
    <xf numFmtId="0" fontId="122" fillId="0" borderId="0" xfId="0" applyFont="1" applyFill="1" applyBorder="1" applyAlignment="1"/>
    <xf numFmtId="0" fontId="122" fillId="0" borderId="0" xfId="0" applyFont="1" applyFill="1" applyBorder="1" applyAlignment="1">
      <alignment horizontal="right"/>
    </xf>
    <xf numFmtId="0" fontId="122" fillId="0" borderId="0" xfId="0" applyFont="1" applyFill="1" applyBorder="1" applyAlignment="1">
      <alignment wrapText="1"/>
    </xf>
    <xf numFmtId="0" fontId="122" fillId="0" borderId="0" xfId="0" applyFont="1" applyFill="1" applyBorder="1" applyAlignment="1">
      <alignment horizontal="right" wrapText="1"/>
    </xf>
    <xf numFmtId="0" fontId="122" fillId="0" borderId="32" xfId="0" applyFont="1" applyFill="1" applyBorder="1" applyAlignment="1">
      <alignment wrapText="1"/>
    </xf>
    <xf numFmtId="0" fontId="122" fillId="21" borderId="35" xfId="0" applyFont="1" applyFill="1" applyBorder="1" applyAlignment="1">
      <alignment wrapText="1"/>
    </xf>
    <xf numFmtId="0" fontId="123" fillId="21" borderId="35" xfId="0" applyFont="1" applyFill="1" applyBorder="1" applyAlignment="1">
      <alignment horizontal="right" wrapText="1"/>
    </xf>
    <xf numFmtId="0" fontId="95" fillId="0" borderId="0" xfId="0" applyFont="1" applyFill="1" applyBorder="1" applyAlignment="1">
      <alignment wrapText="1"/>
    </xf>
    <xf numFmtId="0" fontId="128" fillId="24" borderId="0" xfId="0" applyFont="1" applyFill="1" applyBorder="1" applyAlignment="1"/>
    <xf numFmtId="0" fontId="123" fillId="21" borderId="31" xfId="0" applyFont="1" applyFill="1" applyBorder="1" applyAlignment="1">
      <alignment wrapText="1"/>
    </xf>
    <xf numFmtId="0" fontId="122" fillId="0" borderId="31" xfId="0" applyFont="1" applyFill="1" applyBorder="1" applyAlignment="1">
      <alignment wrapText="1"/>
    </xf>
    <xf numFmtId="0" fontId="123" fillId="21" borderId="35" xfId="0" applyFont="1" applyFill="1" applyBorder="1" applyAlignment="1">
      <alignment wrapText="1"/>
    </xf>
    <xf numFmtId="0" fontId="122" fillId="21" borderId="31" xfId="0" applyFont="1" applyFill="1" applyBorder="1" applyAlignment="1">
      <alignment wrapText="1"/>
    </xf>
    <xf numFmtId="0" fontId="123" fillId="0" borderId="40" xfId="0" applyFont="1" applyFill="1" applyBorder="1" applyAlignment="1">
      <alignment wrapText="1"/>
    </xf>
    <xf numFmtId="0" fontId="123" fillId="0" borderId="0" xfId="0" applyFont="1" applyFill="1" applyBorder="1" applyAlignment="1">
      <alignment wrapText="1"/>
    </xf>
    <xf numFmtId="0" fontId="129" fillId="24" borderId="0" xfId="0" applyFont="1" applyFill="1" applyBorder="1" applyAlignment="1"/>
    <xf numFmtId="0" fontId="129" fillId="0" borderId="0" xfId="0" applyFont="1" applyBorder="1" applyAlignment="1"/>
    <xf numFmtId="0" fontId="129" fillId="0" borderId="0" xfId="0" applyFont="1" applyFill="1" applyBorder="1" applyAlignment="1"/>
    <xf numFmtId="0" fontId="123" fillId="21" borderId="42" xfId="0" applyFont="1" applyFill="1" applyBorder="1" applyAlignment="1">
      <alignment wrapText="1"/>
    </xf>
    <xf numFmtId="0" fontId="126" fillId="23" borderId="35" xfId="0" applyFont="1" applyFill="1" applyBorder="1" applyAlignment="1">
      <alignment horizontal="right" wrapText="1"/>
    </xf>
    <xf numFmtId="0" fontId="95" fillId="0" borderId="0" xfId="0" applyFont="1" applyBorder="1"/>
    <xf numFmtId="165" fontId="95" fillId="0" borderId="0" xfId="0" applyNumberFormat="1" applyFont="1" applyBorder="1"/>
    <xf numFmtId="0" fontId="12" fillId="0" borderId="0" xfId="0" applyFont="1" applyProtection="1"/>
    <xf numFmtId="44" fontId="7" fillId="0" borderId="0" xfId="0" applyNumberFormat="1" applyFont="1" applyAlignment="1">
      <alignment horizontal="right"/>
    </xf>
    <xf numFmtId="178" fontId="0" fillId="0" borderId="0" xfId="0" applyNumberFormat="1"/>
    <xf numFmtId="39" fontId="0" fillId="0" borderId="0" xfId="0" applyNumberFormat="1"/>
    <xf numFmtId="174" fontId="77" fillId="0" borderId="52" xfId="0" applyNumberFormat="1" applyFont="1" applyFill="1" applyBorder="1" applyAlignment="1">
      <alignment horizontal="center" vertical="center"/>
    </xf>
    <xf numFmtId="164" fontId="77" fillId="0" borderId="52" xfId="0" applyNumberFormat="1" applyFont="1" applyFill="1" applyBorder="1" applyAlignment="1">
      <alignment horizontal="center" vertical="center"/>
    </xf>
    <xf numFmtId="0" fontId="67" fillId="28" borderId="52" xfId="0" applyFont="1" applyFill="1" applyBorder="1" applyAlignment="1">
      <alignment horizontal="center" vertical="center"/>
    </xf>
    <xf numFmtId="0" fontId="102" fillId="0" borderId="32" xfId="0" applyFont="1" applyFill="1" applyBorder="1" applyAlignment="1" applyProtection="1">
      <alignment horizontal="right" vertical="center"/>
    </xf>
    <xf numFmtId="0" fontId="102" fillId="0" borderId="35" xfId="0" applyFont="1" applyFill="1" applyBorder="1" applyAlignment="1" applyProtection="1">
      <alignment horizontal="right" vertical="center"/>
    </xf>
    <xf numFmtId="0" fontId="102" fillId="0" borderId="0" xfId="0" applyFont="1" applyFill="1" applyAlignment="1" applyProtection="1">
      <alignment horizontal="right" vertical="center"/>
    </xf>
    <xf numFmtId="0" fontId="101" fillId="0" borderId="0" xfId="0" applyFont="1" applyFill="1" applyBorder="1" applyAlignment="1" applyProtection="1">
      <alignment horizontal="left" vertical="center"/>
    </xf>
    <xf numFmtId="0" fontId="100" fillId="0" borderId="0" xfId="0" applyFont="1" applyFill="1" applyAlignment="1" applyProtection="1">
      <alignment horizontal="right" vertical="center"/>
    </xf>
    <xf numFmtId="0" fontId="43" fillId="0" borderId="0" xfId="0"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28" fillId="0" borderId="0" xfId="0" applyFont="1" applyFill="1"/>
    <xf numFmtId="173" fontId="77" fillId="0" borderId="52" xfId="0" applyNumberFormat="1" applyFont="1" applyFill="1" applyBorder="1" applyAlignment="1">
      <alignment horizontal="center" vertical="center"/>
    </xf>
    <xf numFmtId="0" fontId="31" fillId="29" borderId="52" xfId="0" applyFont="1" applyFill="1" applyBorder="1" applyAlignment="1">
      <alignment horizontal="center" vertical="center"/>
    </xf>
    <xf numFmtId="0" fontId="31" fillId="0" borderId="52" xfId="0" applyFont="1" applyFill="1" applyBorder="1" applyAlignment="1">
      <alignment horizontal="center" vertical="center"/>
    </xf>
    <xf numFmtId="14" fontId="12" fillId="0" borderId="0" xfId="0" applyNumberFormat="1" applyFont="1" applyAlignment="1">
      <alignment horizontal="right"/>
    </xf>
    <xf numFmtId="2" fontId="71" fillId="21" borderId="29" xfId="0" applyNumberFormat="1" applyFont="1" applyFill="1" applyBorder="1" applyAlignment="1">
      <alignment horizontal="right"/>
    </xf>
    <xf numFmtId="2" fontId="71" fillId="0" borderId="0" xfId="0" applyNumberFormat="1" applyFont="1"/>
    <xf numFmtId="7" fontId="130" fillId="0" borderId="33" xfId="0" applyNumberFormat="1" applyFont="1" applyBorder="1" applyAlignment="1">
      <alignment horizontal="center" vertical="center"/>
    </xf>
    <xf numFmtId="7" fontId="68" fillId="0" borderId="33" xfId="0" applyNumberFormat="1" applyFont="1" applyBorder="1" applyAlignment="1">
      <alignment horizontal="center" vertical="center"/>
    </xf>
    <xf numFmtId="7" fontId="94" fillId="0" borderId="60" xfId="0" applyNumberFormat="1" applyFont="1" applyBorder="1" applyAlignment="1">
      <alignment horizontal="center" vertical="center"/>
    </xf>
    <xf numFmtId="7" fontId="94" fillId="0" borderId="33" xfId="0" applyNumberFormat="1" applyFont="1" applyBorder="1" applyAlignment="1">
      <alignment horizontal="center" vertical="center"/>
    </xf>
    <xf numFmtId="8" fontId="130" fillId="0" borderId="60" xfId="0" applyNumberFormat="1" applyFont="1" applyBorder="1" applyAlignment="1">
      <alignment horizontal="center" vertical="center"/>
    </xf>
    <xf numFmtId="8" fontId="94" fillId="0" borderId="60" xfId="0" applyNumberFormat="1" applyFont="1" applyBorder="1" applyAlignment="1">
      <alignment horizontal="center" vertical="center"/>
    </xf>
    <xf numFmtId="0" fontId="77" fillId="0" borderId="0" xfId="0" applyFont="1" applyAlignment="1">
      <alignment vertical="top" wrapText="1"/>
    </xf>
    <xf numFmtId="0" fontId="49" fillId="0" borderId="0" xfId="0" applyFont="1" applyAlignment="1" applyProtection="1">
      <alignment vertical="top" wrapText="1"/>
      <protection locked="0"/>
    </xf>
    <xf numFmtId="0" fontId="131" fillId="0" borderId="0" xfId="0" applyFont="1" applyAlignment="1" applyProtection="1">
      <alignment vertical="top" wrapText="1"/>
      <protection locked="0"/>
    </xf>
    <xf numFmtId="0" fontId="0" fillId="0" borderId="0" xfId="0" applyFont="1" applyFill="1" applyBorder="1" applyAlignment="1" applyProtection="1">
      <alignment vertical="top" wrapText="1"/>
      <protection locked="0"/>
    </xf>
    <xf numFmtId="0" fontId="132" fillId="0" borderId="0" xfId="0" applyFont="1" applyBorder="1" applyAlignment="1" applyProtection="1">
      <alignment vertical="center" wrapText="1"/>
      <protection locked="0"/>
    </xf>
    <xf numFmtId="0" fontId="133" fillId="0" borderId="0" xfId="0" applyFont="1" applyBorder="1" applyAlignment="1" applyProtection="1">
      <alignment wrapText="1"/>
      <protection locked="0"/>
    </xf>
    <xf numFmtId="0" fontId="104" fillId="0" borderId="0" xfId="0" applyFont="1" applyBorder="1" applyAlignment="1" applyProtection="1">
      <protection locked="0"/>
    </xf>
    <xf numFmtId="0" fontId="0" fillId="23" borderId="52" xfId="0" applyFont="1" applyFill="1" applyBorder="1" applyAlignment="1">
      <alignment horizontal="center"/>
    </xf>
    <xf numFmtId="0" fontId="3" fillId="0" borderId="0" xfId="0" applyFont="1" applyAlignment="1">
      <alignment horizontal="left" vertical="center"/>
    </xf>
    <xf numFmtId="0" fontId="3" fillId="0" borderId="0" xfId="0" applyFont="1" applyAlignment="1">
      <alignment horizontal="left" vertical="center" wrapText="1"/>
    </xf>
    <xf numFmtId="0" fontId="3" fillId="0" borderId="0" xfId="0" applyNumberFormat="1" applyFont="1" applyAlignment="1">
      <alignment horizontal="left" vertical="center" wrapText="1"/>
    </xf>
    <xf numFmtId="0" fontId="3" fillId="0" borderId="0" xfId="0" applyNumberFormat="1" applyFont="1" applyAlignment="1">
      <alignment horizontal="left" vertical="center"/>
    </xf>
    <xf numFmtId="0" fontId="3" fillId="0" borderId="0" xfId="0" applyNumberFormat="1" applyFont="1" applyAlignment="1">
      <alignment horizontal="left" vertical="top" wrapText="1"/>
    </xf>
    <xf numFmtId="0" fontId="22" fillId="0" borderId="0" xfId="0" applyFont="1" applyAlignment="1">
      <alignment horizontal="center" vertical="center"/>
    </xf>
    <xf numFmtId="0" fontId="5" fillId="0" borderId="0" xfId="0" applyFont="1" applyAlignment="1">
      <alignment horizontal="center"/>
    </xf>
    <xf numFmtId="0" fontId="71" fillId="0" borderId="0" xfId="0" applyFont="1" applyAlignment="1">
      <alignment horizontal="left" vertical="top" wrapText="1"/>
    </xf>
    <xf numFmtId="0" fontId="12" fillId="0" borderId="0" xfId="0" applyFont="1" applyBorder="1" applyAlignment="1">
      <alignment horizontal="left" vertical="center" wrapText="1"/>
    </xf>
    <xf numFmtId="0" fontId="0" fillId="0" borderId="0" xfId="0" applyFont="1" applyBorder="1" applyAlignment="1">
      <alignment horizontal="right"/>
    </xf>
    <xf numFmtId="0" fontId="12" fillId="0" borderId="0" xfId="0" applyFont="1" applyBorder="1" applyAlignment="1">
      <alignment horizontal="center" vertical="center" wrapText="1"/>
    </xf>
    <xf numFmtId="9" fontId="84" fillId="0" borderId="29" xfId="0" applyNumberFormat="1" applyFont="1" applyFill="1" applyBorder="1" applyAlignment="1" applyProtection="1">
      <alignment horizontal="right"/>
    </xf>
    <xf numFmtId="174" fontId="77" fillId="23" borderId="60" xfId="0" applyNumberFormat="1" applyFont="1" applyFill="1" applyBorder="1" applyAlignment="1">
      <alignment horizontal="center" vertical="center"/>
    </xf>
    <xf numFmtId="174" fontId="77" fillId="23" borderId="33" xfId="0" applyNumberFormat="1" applyFont="1" applyFill="1" applyBorder="1" applyAlignment="1">
      <alignment horizontal="center" vertical="center"/>
    </xf>
    <xf numFmtId="164" fontId="77" fillId="0" borderId="60" xfId="0" applyNumberFormat="1" applyFont="1" applyBorder="1" applyAlignment="1">
      <alignment horizontal="center" vertical="center"/>
    </xf>
    <xf numFmtId="164" fontId="77" fillId="0" borderId="33" xfId="0" applyNumberFormat="1" applyFont="1" applyBorder="1" applyAlignment="1">
      <alignment horizontal="center" vertical="center"/>
    </xf>
    <xf numFmtId="9" fontId="77" fillId="0" borderId="60" xfId="0" applyNumberFormat="1" applyFont="1" applyBorder="1" applyAlignment="1">
      <alignment horizontal="center" vertical="center"/>
    </xf>
    <xf numFmtId="9" fontId="77" fillId="0" borderId="33" xfId="0" applyNumberFormat="1" applyFont="1" applyBorder="1" applyAlignment="1">
      <alignment horizontal="center" vertical="center"/>
    </xf>
    <xf numFmtId="9" fontId="77" fillId="21" borderId="0" xfId="0" applyNumberFormat="1" applyFont="1" applyFill="1" applyBorder="1" applyAlignment="1" applyProtection="1">
      <alignment horizontal="right"/>
    </xf>
    <xf numFmtId="44" fontId="84" fillId="0" borderId="0" xfId="0" applyNumberFormat="1" applyFont="1" applyFill="1" applyBorder="1" applyAlignment="1" applyProtection="1">
      <alignment horizontal="center"/>
    </xf>
    <xf numFmtId="44" fontId="77" fillId="21" borderId="0" xfId="0" applyNumberFormat="1" applyFont="1" applyFill="1" applyBorder="1" applyAlignment="1" applyProtection="1">
      <alignment horizontal="center"/>
    </xf>
    <xf numFmtId="0" fontId="77" fillId="0" borderId="60" xfId="0" applyFont="1" applyFill="1" applyBorder="1" applyAlignment="1">
      <alignment horizontal="center" vertical="center"/>
    </xf>
    <xf numFmtId="0" fontId="77" fillId="0" borderId="33" xfId="0" applyFont="1" applyFill="1" applyBorder="1" applyAlignment="1">
      <alignment horizontal="center" vertical="center"/>
    </xf>
    <xf numFmtId="0" fontId="0" fillId="0" borderId="0" xfId="0" applyFont="1" applyAlignment="1" applyProtection="1">
      <alignment horizontal="right"/>
    </xf>
    <xf numFmtId="0" fontId="0" fillId="21" borderId="0" xfId="0" applyNumberFormat="1" applyFont="1" applyFill="1" applyBorder="1" applyAlignment="1" applyProtection="1">
      <alignment horizontal="right"/>
    </xf>
    <xf numFmtId="0" fontId="0" fillId="21" borderId="0" xfId="0" applyFont="1" applyFill="1" applyBorder="1"/>
    <xf numFmtId="44" fontId="0" fillId="0" borderId="0" xfId="0" applyNumberFormat="1" applyFont="1" applyFill="1" applyBorder="1" applyAlignment="1" applyProtection="1">
      <alignment horizontal="center"/>
    </xf>
    <xf numFmtId="42" fontId="0" fillId="0" borderId="0" xfId="0" applyNumberFormat="1" applyFont="1" applyFill="1" applyBorder="1" applyAlignment="1" applyProtection="1">
      <alignment horizontal="center"/>
    </xf>
    <xf numFmtId="0" fontId="87" fillId="25" borderId="0" xfId="0" applyFont="1" applyFill="1" applyAlignment="1" applyProtection="1">
      <alignment horizontal="center"/>
    </xf>
    <xf numFmtId="0" fontId="88" fillId="25" borderId="0" xfId="0" applyFont="1" applyFill="1" applyAlignment="1" applyProtection="1">
      <alignment horizontal="center"/>
    </xf>
    <xf numFmtId="0" fontId="12" fillId="0" borderId="49" xfId="0" applyFont="1" applyBorder="1" applyAlignment="1">
      <alignment horizontal="center"/>
    </xf>
    <xf numFmtId="0" fontId="12" fillId="0" borderId="32" xfId="0" applyFont="1" applyBorder="1" applyAlignment="1">
      <alignment horizontal="center"/>
    </xf>
    <xf numFmtId="164" fontId="77" fillId="21" borderId="55" xfId="0" applyNumberFormat="1" applyFont="1" applyFill="1" applyBorder="1" applyAlignment="1">
      <alignment horizontal="center"/>
    </xf>
    <xf numFmtId="164" fontId="77" fillId="21" borderId="35" xfId="0" applyNumberFormat="1" applyFont="1" applyFill="1" applyBorder="1" applyAlignment="1">
      <alignment horizontal="center"/>
    </xf>
    <xf numFmtId="0" fontId="106" fillId="0" borderId="0" xfId="0" applyFont="1" applyFill="1" applyBorder="1" applyAlignment="1">
      <alignment horizontal="left"/>
    </xf>
    <xf numFmtId="0" fontId="0" fillId="0" borderId="0" xfId="0" applyFont="1" applyAlignment="1">
      <alignment horizontal="right"/>
    </xf>
    <xf numFmtId="0" fontId="34" fillId="0" borderId="0" xfId="0" applyFont="1" applyAlignment="1" applyProtection="1">
      <alignment horizontal="right"/>
      <protection locked="0"/>
    </xf>
    <xf numFmtId="4" fontId="77" fillId="0" borderId="60" xfId="0" applyNumberFormat="1" applyFont="1" applyBorder="1" applyAlignment="1">
      <alignment horizontal="center" vertical="center"/>
    </xf>
    <xf numFmtId="4" fontId="77" fillId="0" borderId="33" xfId="0" applyNumberFormat="1" applyFont="1" applyBorder="1" applyAlignment="1">
      <alignment horizontal="center" vertical="center"/>
    </xf>
    <xf numFmtId="0" fontId="77" fillId="0" borderId="60" xfId="0" applyFont="1" applyBorder="1" applyAlignment="1">
      <alignment horizontal="center" vertical="center" wrapText="1"/>
    </xf>
    <xf numFmtId="0" fontId="77" fillId="0" borderId="33" xfId="0" applyFont="1" applyBorder="1" applyAlignment="1">
      <alignment horizontal="center" vertical="center" wrapText="1"/>
    </xf>
    <xf numFmtId="0" fontId="34" fillId="0" borderId="0" xfId="0" applyFont="1" applyAlignment="1" applyProtection="1">
      <alignment horizontal="left"/>
    </xf>
    <xf numFmtId="165" fontId="99" fillId="0" borderId="0" xfId="0" applyNumberFormat="1" applyFont="1" applyFill="1" applyBorder="1" applyAlignment="1">
      <alignment horizontal="center" vertical="center" wrapText="1"/>
    </xf>
    <xf numFmtId="1" fontId="77" fillId="0" borderId="60" xfId="0" applyNumberFormat="1" applyFont="1" applyFill="1" applyBorder="1" applyAlignment="1">
      <alignment horizontal="center" vertical="center"/>
    </xf>
    <xf numFmtId="1" fontId="77" fillId="0" borderId="33" xfId="0" applyNumberFormat="1" applyFont="1" applyFill="1" applyBorder="1" applyAlignment="1">
      <alignment horizontal="center" vertical="center"/>
    </xf>
    <xf numFmtId="0" fontId="12" fillId="18" borderId="2" xfId="0" applyFont="1" applyFill="1" applyBorder="1" applyAlignment="1">
      <alignment horizontal="left" vertical="center" wrapText="1"/>
    </xf>
    <xf numFmtId="164" fontId="29" fillId="0" borderId="0" xfId="0" applyNumberFormat="1" applyFont="1" applyAlignment="1">
      <alignment horizontal="center" vertical="top"/>
    </xf>
    <xf numFmtId="0" fontId="12" fillId="0" borderId="0" xfId="0" applyFont="1" applyAlignment="1">
      <alignment horizontal="center" vertical="center" textRotation="180"/>
    </xf>
    <xf numFmtId="0" fontId="110" fillId="25" borderId="0" xfId="0" applyFont="1" applyFill="1" applyAlignment="1">
      <alignment horizontal="left" wrapText="1"/>
    </xf>
    <xf numFmtId="165" fontId="0" fillId="0" borderId="18" xfId="0" applyNumberFormat="1" applyFill="1" applyBorder="1" applyAlignment="1">
      <alignment horizontal="center" vertical="center"/>
    </xf>
    <xf numFmtId="0" fontId="134" fillId="16" borderId="0" xfId="0" applyFont="1" applyFill="1" applyBorder="1" applyAlignment="1">
      <alignment horizontal="center"/>
    </xf>
    <xf numFmtId="0" fontId="134" fillId="16" borderId="28" xfId="0" applyFont="1" applyFill="1" applyBorder="1" applyAlignment="1">
      <alignment horizontal="center"/>
    </xf>
    <xf numFmtId="0" fontId="134" fillId="16" borderId="0" xfId="0" applyFont="1" applyFill="1" applyAlignment="1">
      <alignment horizontal="center"/>
    </xf>
    <xf numFmtId="0" fontId="137" fillId="0" borderId="0" xfId="0" applyFont="1" applyAlignment="1">
      <alignment horizontal="left" vertical="top" wrapText="1"/>
    </xf>
    <xf numFmtId="0" fontId="138" fillId="0" borderId="0" xfId="0" applyFont="1" applyAlignment="1">
      <alignment horizontal="left" vertical="top" wrapText="1"/>
    </xf>
    <xf numFmtId="0" fontId="108" fillId="0" borderId="0" xfId="0" applyFont="1" applyBorder="1" applyAlignment="1">
      <alignment horizontal="center" vertical="center"/>
    </xf>
    <xf numFmtId="44" fontId="77" fillId="23" borderId="55" xfId="0" applyNumberFormat="1" applyFont="1" applyFill="1" applyBorder="1" applyAlignment="1">
      <alignment horizontal="center"/>
    </xf>
    <xf numFmtId="44" fontId="77" fillId="23" borderId="74" xfId="0" applyNumberFormat="1" applyFont="1" applyFill="1" applyBorder="1" applyAlignment="1">
      <alignment horizontal="center"/>
    </xf>
    <xf numFmtId="0" fontId="108" fillId="0" borderId="0" xfId="0" applyFont="1" applyAlignment="1">
      <alignment horizontal="center" vertical="center"/>
    </xf>
    <xf numFmtId="2" fontId="136" fillId="0" borderId="70" xfId="0" applyNumberFormat="1" applyFont="1" applyBorder="1" applyAlignment="1">
      <alignment horizontal="center" vertical="center"/>
    </xf>
    <xf numFmtId="2" fontId="136" fillId="0" borderId="71" xfId="0" applyNumberFormat="1" applyFont="1" applyBorder="1" applyAlignment="1">
      <alignment horizontal="center" vertical="center"/>
    </xf>
    <xf numFmtId="2" fontId="136" fillId="0" borderId="69" xfId="0" applyNumberFormat="1" applyFont="1" applyBorder="1" applyAlignment="1">
      <alignment horizontal="center" vertical="center"/>
    </xf>
    <xf numFmtId="2" fontId="136" fillId="0" borderId="50" xfId="0" applyNumberFormat="1" applyFont="1" applyBorder="1" applyAlignment="1">
      <alignment horizontal="center" vertical="center"/>
    </xf>
    <xf numFmtId="2" fontId="136" fillId="0" borderId="72" xfId="0" applyNumberFormat="1" applyFont="1" applyBorder="1" applyAlignment="1">
      <alignment horizontal="center" vertical="center"/>
    </xf>
    <xf numFmtId="2" fontId="136" fillId="0" borderId="73" xfId="0" applyNumberFormat="1" applyFont="1" applyBorder="1" applyAlignment="1">
      <alignment horizontal="center" vertical="center"/>
    </xf>
    <xf numFmtId="44" fontId="77" fillId="23" borderId="49" xfId="0" applyNumberFormat="1" applyFont="1" applyFill="1" applyBorder="1" applyAlignment="1">
      <alignment horizontal="center"/>
    </xf>
    <xf numFmtId="44" fontId="77" fillId="23" borderId="50" xfId="0" applyNumberFormat="1" applyFont="1" applyFill="1" applyBorder="1" applyAlignment="1">
      <alignment horizontal="center"/>
    </xf>
    <xf numFmtId="44" fontId="77" fillId="23" borderId="0" xfId="0" applyNumberFormat="1" applyFont="1" applyFill="1" applyAlignment="1">
      <alignment horizontal="center"/>
    </xf>
    <xf numFmtId="0" fontId="113" fillId="0" borderId="0" xfId="0" applyFont="1" applyBorder="1" applyAlignment="1">
      <alignment horizontal="center"/>
    </xf>
    <xf numFmtId="0" fontId="0" fillId="0" borderId="69" xfId="0" applyFont="1" applyFill="1" applyBorder="1" applyAlignment="1" applyProtection="1">
      <alignment horizontal="left" vertical="top" wrapText="1"/>
      <protection locked="0"/>
    </xf>
    <xf numFmtId="0" fontId="0" fillId="0" borderId="0" xfId="0" applyFont="1" applyFill="1" applyBorder="1" applyAlignment="1" applyProtection="1">
      <alignment horizontal="left" vertical="top" wrapText="1"/>
      <protection locked="0"/>
    </xf>
    <xf numFmtId="0" fontId="0" fillId="0" borderId="50" xfId="0" applyFont="1" applyFill="1" applyBorder="1" applyAlignment="1" applyProtection="1">
      <alignment horizontal="left" vertical="top" wrapText="1"/>
      <protection locked="0"/>
    </xf>
    <xf numFmtId="0" fontId="132" fillId="0" borderId="69" xfId="0" applyFont="1" applyBorder="1" applyAlignment="1" applyProtection="1">
      <alignment horizontal="left" vertical="center" wrapText="1"/>
      <protection locked="0"/>
    </xf>
    <xf numFmtId="0" fontId="132" fillId="0" borderId="0" xfId="0" applyFont="1" applyBorder="1" applyAlignment="1" applyProtection="1">
      <alignment horizontal="left" vertical="center" wrapText="1"/>
      <protection locked="0"/>
    </xf>
    <xf numFmtId="0" fontId="132" fillId="0" borderId="50" xfId="0" applyFont="1" applyBorder="1" applyAlignment="1" applyProtection="1">
      <alignment horizontal="left" vertical="center" wrapText="1"/>
      <protection locked="0"/>
    </xf>
    <xf numFmtId="0" fontId="133" fillId="0" borderId="69" xfId="0" applyFont="1" applyBorder="1" applyAlignment="1" applyProtection="1">
      <alignment horizontal="left" wrapText="1"/>
      <protection locked="0"/>
    </xf>
    <xf numFmtId="0" fontId="133" fillId="0" borderId="0" xfId="0" applyFont="1" applyBorder="1" applyAlignment="1" applyProtection="1">
      <alignment horizontal="left" wrapText="1"/>
      <protection locked="0"/>
    </xf>
    <xf numFmtId="0" fontId="133" fillId="0" borderId="50" xfId="0" applyFont="1" applyBorder="1" applyAlignment="1" applyProtection="1">
      <alignment horizontal="left" wrapText="1"/>
      <protection locked="0"/>
    </xf>
    <xf numFmtId="0" fontId="91" fillId="0" borderId="69" xfId="0" applyFont="1" applyBorder="1" applyAlignment="1" applyProtection="1">
      <alignment horizontal="left"/>
      <protection locked="0"/>
    </xf>
    <xf numFmtId="0" fontId="91" fillId="0" borderId="0" xfId="0" applyFont="1" applyBorder="1" applyAlignment="1" applyProtection="1">
      <alignment horizontal="left"/>
      <protection locked="0"/>
    </xf>
    <xf numFmtId="0" fontId="91" fillId="0" borderId="50" xfId="0" applyFont="1" applyBorder="1" applyAlignment="1" applyProtection="1">
      <alignment horizontal="left"/>
      <protection locked="0"/>
    </xf>
    <xf numFmtId="0" fontId="106" fillId="0" borderId="70" xfId="0" applyFont="1" applyBorder="1" applyAlignment="1">
      <alignment horizontal="center"/>
    </xf>
    <xf numFmtId="0" fontId="106" fillId="0" borderId="67" xfId="0" applyFont="1" applyBorder="1" applyAlignment="1">
      <alignment horizontal="center"/>
    </xf>
    <xf numFmtId="0" fontId="106" fillId="0" borderId="71" xfId="0" applyFont="1" applyBorder="1" applyAlignment="1">
      <alignment horizontal="center"/>
    </xf>
    <xf numFmtId="2" fontId="136" fillId="0" borderId="52" xfId="0" applyNumberFormat="1" applyFont="1" applyBorder="1" applyAlignment="1">
      <alignment horizontal="center" vertical="center"/>
    </xf>
    <xf numFmtId="0" fontId="49" fillId="0" borderId="0" xfId="0" applyFont="1" applyAlignment="1" applyProtection="1">
      <alignment horizontal="left" vertical="top" wrapText="1"/>
      <protection locked="0"/>
    </xf>
    <xf numFmtId="0" fontId="131" fillId="0" borderId="0" xfId="0" applyFont="1" applyAlignment="1" applyProtection="1">
      <alignment horizontal="left" vertical="top" wrapText="1"/>
      <protection locked="0"/>
    </xf>
    <xf numFmtId="0" fontId="91" fillId="0" borderId="72" xfId="0" applyFont="1" applyBorder="1" applyAlignment="1" applyProtection="1">
      <alignment horizontal="left"/>
      <protection locked="0"/>
    </xf>
    <xf numFmtId="0" fontId="91" fillId="0" borderId="39" xfId="0" applyFont="1" applyBorder="1" applyAlignment="1" applyProtection="1">
      <alignment horizontal="left"/>
      <protection locked="0"/>
    </xf>
    <xf numFmtId="0" fontId="91" fillId="0" borderId="73" xfId="0" applyFont="1" applyBorder="1" applyAlignment="1" applyProtection="1">
      <alignment horizontal="left"/>
      <protection locked="0"/>
    </xf>
    <xf numFmtId="0" fontId="104" fillId="0" borderId="70" xfId="0" applyFont="1" applyBorder="1" applyAlignment="1" applyProtection="1">
      <alignment horizontal="center"/>
      <protection locked="0"/>
    </xf>
    <xf numFmtId="0" fontId="104" fillId="0" borderId="67" xfId="0" applyFont="1" applyBorder="1" applyAlignment="1" applyProtection="1">
      <alignment horizontal="center"/>
      <protection locked="0"/>
    </xf>
    <xf numFmtId="0" fontId="104" fillId="0" borderId="71" xfId="0" applyFont="1" applyBorder="1" applyAlignment="1" applyProtection="1">
      <alignment horizontal="center"/>
      <protection locked="0"/>
    </xf>
    <xf numFmtId="0" fontId="0" fillId="0" borderId="69"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50" xfId="0" applyBorder="1" applyAlignment="1" applyProtection="1">
      <alignment horizontal="left" vertical="top" wrapText="1"/>
      <protection locked="0"/>
    </xf>
    <xf numFmtId="0" fontId="0" fillId="0" borderId="72" xfId="0" applyBorder="1" applyAlignment="1" applyProtection="1">
      <alignment horizontal="left" vertical="top" wrapText="1"/>
      <protection locked="0"/>
    </xf>
    <xf numFmtId="0" fontId="0" fillId="0" borderId="39" xfId="0" applyBorder="1" applyAlignment="1" applyProtection="1">
      <alignment horizontal="left" vertical="top" wrapText="1"/>
      <protection locked="0"/>
    </xf>
    <xf numFmtId="0" fontId="0" fillId="0" borderId="73" xfId="0" applyBorder="1" applyAlignment="1" applyProtection="1">
      <alignment horizontal="left" vertical="top" wrapText="1"/>
      <protection locked="0"/>
    </xf>
    <xf numFmtId="0" fontId="0" fillId="0" borderId="72" xfId="0" applyFont="1" applyBorder="1" applyAlignment="1">
      <alignment horizontal="left" vertical="top" wrapText="1"/>
    </xf>
    <xf numFmtId="0" fontId="0" fillId="0" borderId="39" xfId="0" applyFont="1" applyBorder="1" applyAlignment="1">
      <alignment horizontal="left" vertical="top" wrapText="1"/>
    </xf>
    <xf numFmtId="0" fontId="0" fillId="0" borderId="73" xfId="0" applyFont="1" applyBorder="1" applyAlignment="1">
      <alignment horizontal="left" vertical="top" wrapText="1"/>
    </xf>
    <xf numFmtId="0" fontId="108" fillId="0" borderId="0" xfId="0" applyFont="1" applyAlignment="1" applyProtection="1">
      <alignment horizontal="left" vertical="top" wrapText="1"/>
      <protection locked="0"/>
    </xf>
    <xf numFmtId="0" fontId="135" fillId="0" borderId="0" xfId="0" applyFont="1" applyAlignment="1" applyProtection="1">
      <alignment horizontal="left" vertical="top" wrapText="1"/>
      <protection locked="0"/>
    </xf>
    <xf numFmtId="0" fontId="77" fillId="0" borderId="0" xfId="0" applyFont="1" applyAlignment="1">
      <alignment horizontal="left" vertical="top" wrapText="1"/>
    </xf>
    <xf numFmtId="0" fontId="0" fillId="0" borderId="0" xfId="0" applyAlignment="1">
      <alignment horizontal="center"/>
    </xf>
    <xf numFmtId="0" fontId="0" fillId="0" borderId="0" xfId="0" applyAlignment="1">
      <alignment horizontal="center" wrapText="1"/>
    </xf>
    <xf numFmtId="0" fontId="12" fillId="0" borderId="52" xfId="0" applyFont="1" applyBorder="1" applyAlignment="1">
      <alignment horizontal="center"/>
    </xf>
    <xf numFmtId="0" fontId="107" fillId="27" borderId="75" xfId="23" applyFont="1" applyFill="1" applyBorder="1" applyAlignment="1">
      <alignment horizontal="center" vertical="center"/>
    </xf>
    <xf numFmtId="0" fontId="107" fillId="27" borderId="76" xfId="23" applyFont="1" applyFill="1" applyBorder="1" applyAlignment="1">
      <alignment horizontal="center" vertical="center"/>
    </xf>
    <xf numFmtId="0" fontId="34" fillId="0" borderId="0" xfId="0" applyFont="1" applyAlignment="1" applyProtection="1">
      <alignment horizontal="right"/>
    </xf>
    <xf numFmtId="0" fontId="27" fillId="0" borderId="39" xfId="0" applyFont="1" applyBorder="1" applyAlignment="1" applyProtection="1">
      <alignment horizontal="center" vertical="center"/>
    </xf>
    <xf numFmtId="0" fontId="12" fillId="0" borderId="77" xfId="0" applyFont="1" applyBorder="1" applyAlignment="1">
      <alignment horizontal="center"/>
    </xf>
    <xf numFmtId="0" fontId="12" fillId="0" borderId="53" xfId="0" applyFont="1" applyBorder="1" applyAlignment="1">
      <alignment horizontal="center"/>
    </xf>
    <xf numFmtId="0" fontId="139" fillId="0" borderId="0" xfId="0" applyFont="1" applyFill="1" applyAlignment="1" applyProtection="1">
      <alignment horizontal="left" vertical="center"/>
      <protection locked="0"/>
    </xf>
    <xf numFmtId="14" fontId="40" fillId="0" borderId="0" xfId="0" applyNumberFormat="1" applyFont="1" applyAlignment="1" applyProtection="1">
      <alignment horizontal="left"/>
    </xf>
    <xf numFmtId="0" fontId="3" fillId="18" borderId="0" xfId="0" applyFont="1" applyFill="1" applyAlignment="1">
      <alignment horizontal="left" vertical="top" wrapText="1"/>
    </xf>
    <xf numFmtId="0" fontId="3" fillId="18" borderId="27" xfId="0" applyFont="1" applyFill="1" applyBorder="1" applyAlignment="1" applyProtection="1">
      <alignment horizontal="center"/>
      <protection locked="0"/>
    </xf>
    <xf numFmtId="0" fontId="3" fillId="18" borderId="2" xfId="0" applyFont="1" applyFill="1" applyBorder="1" applyAlignment="1" applyProtection="1">
      <alignment horizontal="center"/>
      <protection locked="0"/>
    </xf>
    <xf numFmtId="0" fontId="3" fillId="0" borderId="0" xfId="0" applyFont="1" applyAlignment="1">
      <alignment horizontal="left" vertical="top" wrapText="1"/>
    </xf>
    <xf numFmtId="0" fontId="3" fillId="0" borderId="27" xfId="0" applyFont="1" applyBorder="1" applyAlignment="1" applyProtection="1">
      <alignment horizontal="center"/>
      <protection locked="0"/>
    </xf>
    <xf numFmtId="0" fontId="3" fillId="0" borderId="2" xfId="0" applyFont="1" applyBorder="1" applyAlignment="1" applyProtection="1">
      <alignment horizontal="center"/>
      <protection locked="0"/>
    </xf>
    <xf numFmtId="0" fontId="66" fillId="19" borderId="3" xfId="0" applyFont="1" applyFill="1" applyBorder="1" applyAlignment="1">
      <alignment horizontal="left"/>
    </xf>
    <xf numFmtId="0" fontId="66" fillId="19" borderId="26" xfId="0" applyFont="1" applyFill="1" applyBorder="1" applyAlignment="1">
      <alignment horizontal="left"/>
    </xf>
    <xf numFmtId="0" fontId="3" fillId="0" borderId="24" xfId="0" applyFont="1" applyBorder="1" applyAlignment="1">
      <alignment horizontal="left" vertical="center"/>
    </xf>
    <xf numFmtId="0" fontId="3" fillId="0" borderId="25" xfId="0" applyFont="1" applyBorder="1" applyAlignment="1">
      <alignment horizontal="left" vertical="center"/>
    </xf>
    <xf numFmtId="0" fontId="3" fillId="18" borderId="0" xfId="0" applyFont="1" applyFill="1" applyBorder="1" applyAlignment="1">
      <alignment horizontal="left" vertical="top" wrapText="1"/>
    </xf>
    <xf numFmtId="0" fontId="3" fillId="18" borderId="2" xfId="0" applyFont="1" applyFill="1" applyBorder="1" applyAlignment="1">
      <alignment horizontal="left" vertical="top" wrapText="1"/>
    </xf>
    <xf numFmtId="0" fontId="3" fillId="18" borderId="0" xfId="0" applyFont="1" applyFill="1" applyBorder="1" applyAlignment="1" applyProtection="1">
      <alignment horizontal="center"/>
      <protection locked="0"/>
    </xf>
    <xf numFmtId="0" fontId="3" fillId="20" borderId="0" xfId="0" applyFont="1" applyFill="1" applyBorder="1" applyAlignment="1">
      <alignment horizontal="left" vertical="center"/>
    </xf>
    <xf numFmtId="0" fontId="3" fillId="20" borderId="2" xfId="0" applyFont="1" applyFill="1" applyBorder="1" applyAlignment="1">
      <alignment horizontal="left" vertical="center"/>
    </xf>
    <xf numFmtId="0" fontId="3" fillId="0" borderId="0" xfId="0" applyFont="1" applyBorder="1" applyAlignment="1">
      <alignment horizontal="left" vertical="center"/>
    </xf>
    <xf numFmtId="0" fontId="3" fillId="0" borderId="2" xfId="0" applyFont="1" applyBorder="1" applyAlignment="1">
      <alignment horizontal="left" vertical="center"/>
    </xf>
    <xf numFmtId="0" fontId="66" fillId="19" borderId="0" xfId="0" applyFont="1" applyFill="1" applyBorder="1" applyAlignment="1">
      <alignment horizontal="left" vertical="center"/>
    </xf>
    <xf numFmtId="0" fontId="66" fillId="19" borderId="10" xfId="0" applyFont="1" applyFill="1" applyBorder="1" applyAlignment="1">
      <alignment horizontal="center"/>
    </xf>
    <xf numFmtId="0" fontId="66" fillId="19" borderId="16" xfId="0" applyFont="1" applyFill="1" applyBorder="1" applyAlignment="1">
      <alignment horizontal="center"/>
    </xf>
    <xf numFmtId="0" fontId="3" fillId="18" borderId="0" xfId="0" applyFont="1" applyFill="1" applyBorder="1" applyAlignment="1">
      <alignment horizontal="left" vertical="center"/>
    </xf>
    <xf numFmtId="0" fontId="3" fillId="0" borderId="0" xfId="0" applyFont="1" applyAlignment="1">
      <alignment horizontal="center"/>
    </xf>
    <xf numFmtId="0" fontId="66" fillId="19" borderId="0" xfId="0" applyFont="1" applyFill="1" applyAlignment="1">
      <alignment horizontal="left" vertical="center"/>
    </xf>
    <xf numFmtId="0" fontId="3" fillId="18" borderId="0" xfId="0" applyFont="1" applyFill="1" applyBorder="1" applyAlignment="1">
      <alignment horizontal="left" vertical="center" wrapText="1"/>
    </xf>
    <xf numFmtId="0" fontId="3" fillId="18" borderId="2" xfId="0" applyFont="1" applyFill="1" applyBorder="1" applyAlignment="1">
      <alignment horizontal="left" vertical="center"/>
    </xf>
    <xf numFmtId="0" fontId="3" fillId="0" borderId="0" xfId="0" applyFont="1" applyBorder="1" applyAlignment="1">
      <alignment horizontal="left" vertical="center" wrapText="1"/>
    </xf>
    <xf numFmtId="0" fontId="66" fillId="19" borderId="0" xfId="0" applyFont="1" applyFill="1" applyBorder="1" applyAlignment="1">
      <alignment horizontal="left" vertical="center" wrapText="1"/>
    </xf>
    <xf numFmtId="0" fontId="66" fillId="19" borderId="1" xfId="0" applyFont="1" applyFill="1" applyBorder="1" applyAlignment="1">
      <alignment horizontal="left" vertical="center" wrapText="1"/>
    </xf>
    <xf numFmtId="0" fontId="66" fillId="19" borderId="1" xfId="0" applyFont="1" applyFill="1" applyBorder="1" applyAlignment="1">
      <alignment horizontal="left" vertical="center"/>
    </xf>
    <xf numFmtId="0" fontId="3" fillId="0" borderId="14" xfId="0" applyFont="1" applyBorder="1" applyAlignment="1" applyProtection="1">
      <alignment horizontal="left" vertical="center" wrapText="1"/>
      <protection locked="0"/>
    </xf>
    <xf numFmtId="0" fontId="3" fillId="0" borderId="12" xfId="0" applyFont="1" applyBorder="1" applyAlignment="1" applyProtection="1">
      <alignment horizontal="left" vertical="center"/>
      <protection locked="0"/>
    </xf>
    <xf numFmtId="0" fontId="3" fillId="0" borderId="0" xfId="0" applyFont="1" applyFill="1" applyBorder="1" applyAlignment="1">
      <alignment horizontal="left" vertical="center"/>
    </xf>
    <xf numFmtId="0" fontId="3" fillId="0" borderId="2" xfId="0" applyFont="1" applyFill="1" applyBorder="1" applyAlignment="1">
      <alignment horizontal="left" vertical="center"/>
    </xf>
    <xf numFmtId="0" fontId="11" fillId="0" borderId="0" xfId="0" applyFont="1" applyAlignment="1">
      <alignment horizontal="center"/>
    </xf>
    <xf numFmtId="0" fontId="66" fillId="19" borderId="8" xfId="0" applyFont="1" applyFill="1" applyBorder="1" applyAlignment="1">
      <alignment horizontal="left" vertical="center"/>
    </xf>
    <xf numFmtId="0" fontId="66" fillId="16" borderId="3" xfId="0" applyFont="1" applyFill="1" applyBorder="1" applyAlignment="1">
      <alignment horizontal="left" vertical="center"/>
    </xf>
    <xf numFmtId="0" fontId="66" fillId="16" borderId="26" xfId="0" applyFont="1" applyFill="1" applyBorder="1" applyAlignment="1">
      <alignment horizontal="left" vertical="center"/>
    </xf>
    <xf numFmtId="0" fontId="3" fillId="0" borderId="0" xfId="0" applyFont="1" applyAlignment="1">
      <alignment horizontal="left"/>
    </xf>
    <xf numFmtId="0" fontId="3" fillId="0" borderId="0" xfId="0" applyFont="1" applyAlignment="1">
      <alignment horizontal="right"/>
    </xf>
    <xf numFmtId="0" fontId="4" fillId="0" borderId="0" xfId="0" applyFont="1" applyAlignment="1">
      <alignment horizontal="right"/>
    </xf>
    <xf numFmtId="0" fontId="4" fillId="0" borderId="0" xfId="0" applyFont="1" applyAlignment="1">
      <alignment horizontal="left"/>
    </xf>
    <xf numFmtId="0" fontId="66" fillId="16" borderId="3" xfId="0" applyFont="1" applyFill="1" applyBorder="1" applyAlignment="1">
      <alignment horizontal="left"/>
    </xf>
    <xf numFmtId="0" fontId="66" fillId="16" borderId="26" xfId="0" applyFont="1" applyFill="1" applyBorder="1" applyAlignment="1">
      <alignment horizontal="left"/>
    </xf>
    <xf numFmtId="0" fontId="3" fillId="0" borderId="24" xfId="0" applyFont="1" applyFill="1" applyBorder="1" applyAlignment="1">
      <alignment horizontal="left" vertical="center"/>
    </xf>
    <xf numFmtId="0" fontId="5" fillId="0" borderId="24" xfId="0" applyFont="1" applyFill="1" applyBorder="1" applyAlignment="1">
      <alignment horizontal="left" vertical="center"/>
    </xf>
    <xf numFmtId="0" fontId="5" fillId="0" borderId="25" xfId="0" applyFont="1" applyFill="1" applyBorder="1" applyAlignment="1">
      <alignment horizontal="left" vertical="center"/>
    </xf>
    <xf numFmtId="0" fontId="5" fillId="18" borderId="0" xfId="0" applyFont="1" applyFill="1" applyBorder="1" applyAlignment="1">
      <alignment horizontal="left" vertical="center"/>
    </xf>
    <xf numFmtId="0" fontId="5" fillId="18" borderId="2" xfId="0" applyFont="1" applyFill="1" applyBorder="1" applyAlignment="1">
      <alignment horizontal="left" vertical="center"/>
    </xf>
    <xf numFmtId="0" fontId="5" fillId="0" borderId="0" xfId="0" applyFont="1" applyFill="1" applyAlignment="1">
      <alignment horizontal="left" vertical="center"/>
    </xf>
    <xf numFmtId="0" fontId="140" fillId="16" borderId="1" xfId="0" applyFont="1" applyFill="1" applyBorder="1" applyAlignment="1">
      <alignment horizontal="center" vertical="center"/>
    </xf>
    <xf numFmtId="0" fontId="3" fillId="0" borderId="0" xfId="0" applyFont="1" applyBorder="1" applyAlignment="1" applyProtection="1">
      <alignment horizontal="right"/>
    </xf>
    <xf numFmtId="0" fontId="4" fillId="0" borderId="0" xfId="0" applyFont="1" applyBorder="1" applyAlignment="1" applyProtection="1">
      <alignment horizontal="right"/>
    </xf>
    <xf numFmtId="14" fontId="3" fillId="0" borderId="0" xfId="0" applyNumberFormat="1" applyFont="1" applyBorder="1" applyAlignment="1" applyProtection="1">
      <alignment horizontal="left"/>
    </xf>
  </cellXfs>
  <cellStyles count="27">
    <cellStyle name="Accent1 - 20%" xfId="2"/>
    <cellStyle name="Accent1 - 40%" xfId="3"/>
    <cellStyle name="Accent1 - 60%" xfId="4"/>
    <cellStyle name="Accent2 - 20%" xfId="5"/>
    <cellStyle name="Accent2 - 40%" xfId="6"/>
    <cellStyle name="Accent2 - 60%" xfId="7"/>
    <cellStyle name="Accent3 - 20%" xfId="8"/>
    <cellStyle name="Accent3 - 40%" xfId="9"/>
    <cellStyle name="Accent3 - 60%" xfId="10"/>
    <cellStyle name="Accent4 - 20%" xfId="11"/>
    <cellStyle name="Accent4 - 40%" xfId="12"/>
    <cellStyle name="Accent4 - 60%" xfId="13"/>
    <cellStyle name="Accent5 - 20%" xfId="14"/>
    <cellStyle name="Accent5 - 40%" xfId="15"/>
    <cellStyle name="Accent5 - 60%" xfId="16"/>
    <cellStyle name="Accent6 - 20%" xfId="17"/>
    <cellStyle name="Accent6 - 40%" xfId="18"/>
    <cellStyle name="Accent6 - 60%" xfId="19"/>
    <cellStyle name="ColLevel_1" xfId="1" builtinId="2" iLevel="0"/>
    <cellStyle name="Emphasis 1" xfId="20"/>
    <cellStyle name="Emphasis 2" xfId="21"/>
    <cellStyle name="Emphasis 3" xfId="22"/>
    <cellStyle name="Normal" xfId="0" builtinId="0"/>
    <cellStyle name="Normal 2" xfId="23"/>
    <cellStyle name="Percent" xfId="24" builtinId="5"/>
    <cellStyle name="Sheet Title" xfId="25"/>
    <cellStyle name="표준 2" xfId="26"/>
  </cellStyles>
  <dxfs count="137">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b/>
        <i val="0"/>
        <color theme="0"/>
      </font>
      <fill>
        <patternFill>
          <bgColor rgb="FFC00000"/>
        </patternFill>
      </fill>
    </dxf>
    <dxf>
      <font>
        <b/>
        <i val="0"/>
        <color theme="0"/>
      </font>
      <fill>
        <patternFill>
          <bgColor rgb="FFC00000"/>
        </patternFill>
      </fill>
    </dxf>
    <dxf>
      <font>
        <b/>
        <i val="0"/>
        <color theme="0"/>
      </font>
      <fill>
        <patternFill>
          <bgColor rgb="FFC00000"/>
        </patternFill>
      </fill>
    </dxf>
    <dxf>
      <font>
        <color theme="0"/>
      </font>
    </dxf>
    <dxf>
      <font>
        <b/>
        <i/>
        <color theme="0"/>
      </font>
      <fill>
        <patternFill>
          <bgColor rgb="FFC00000"/>
        </patternFill>
      </fill>
    </dxf>
    <dxf>
      <font>
        <color theme="0"/>
      </font>
    </dxf>
    <dxf>
      <font>
        <b/>
        <i/>
        <color theme="0"/>
      </font>
      <fill>
        <patternFill>
          <bgColor rgb="FFC00000"/>
        </patternFill>
      </fill>
    </dxf>
    <dxf>
      <font>
        <b/>
        <i val="0"/>
        <color rgb="FFC00000"/>
      </font>
    </dxf>
    <dxf>
      <font>
        <b/>
        <i/>
        <color theme="0"/>
      </font>
      <fill>
        <patternFill>
          <bgColor rgb="FFC00000"/>
        </patternFill>
      </fill>
    </dxf>
    <dxf>
      <font>
        <b/>
        <i val="0"/>
        <color rgb="FF00B050"/>
      </font>
    </dxf>
    <dxf>
      <font>
        <b/>
        <i val="0"/>
        <color rgb="FFFF0000"/>
      </font>
    </dxf>
    <dxf>
      <font>
        <b/>
        <i val="0"/>
        <color rgb="FF00B050"/>
      </font>
    </dxf>
    <dxf>
      <font>
        <b/>
        <i val="0"/>
        <color theme="1" tint="0.499984740745262"/>
      </font>
    </dxf>
    <dxf>
      <font>
        <b/>
        <i val="0"/>
        <color rgb="FFFF0000"/>
      </font>
    </dxf>
    <dxf>
      <font>
        <b/>
        <i val="0"/>
        <color rgb="FF00B050"/>
      </font>
    </dxf>
    <dxf>
      <font>
        <b/>
        <i val="0"/>
        <color theme="1" tint="0.499984740745262"/>
      </font>
    </dxf>
    <dxf>
      <font>
        <b/>
        <i val="0"/>
        <color rgb="FFFF0000"/>
      </font>
    </dxf>
    <dxf>
      <font>
        <b/>
        <i val="0"/>
        <color rgb="FF00B050"/>
      </font>
    </dxf>
    <dxf>
      <font>
        <b/>
        <i val="0"/>
        <color rgb="FFFF0000"/>
      </font>
    </dxf>
    <dxf>
      <font>
        <b/>
        <i val="0"/>
        <color rgb="FF00B050"/>
      </font>
    </dxf>
    <dxf>
      <font>
        <b/>
        <i val="0"/>
        <color theme="1" tint="0.499984740745262"/>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theme="1" tint="0.499984740745262"/>
      </font>
    </dxf>
    <dxf>
      <font>
        <b/>
        <i val="0"/>
        <color rgb="FF00B050"/>
      </font>
    </dxf>
    <dxf>
      <font>
        <b/>
        <i val="0"/>
        <color theme="9"/>
      </font>
    </dxf>
    <dxf>
      <font>
        <b/>
        <i val="0"/>
        <color rgb="FFFF0000"/>
      </font>
    </dxf>
    <dxf>
      <font>
        <b/>
        <i val="0"/>
        <color rgb="FF92D050"/>
      </font>
    </dxf>
    <dxf>
      <font>
        <b/>
        <i val="0"/>
        <color theme="9"/>
      </font>
    </dxf>
    <dxf>
      <font>
        <b/>
        <i val="0"/>
        <color rgb="FFFF0000"/>
      </font>
    </dxf>
    <dxf>
      <font>
        <color rgb="FF00B050"/>
      </font>
    </dxf>
    <dxf>
      <font>
        <color rgb="FFFF0000"/>
      </font>
    </dxf>
    <dxf>
      <font>
        <color rgb="FF00B050"/>
      </font>
    </dxf>
    <dxf>
      <font>
        <color rgb="FFFF0000"/>
      </font>
    </dxf>
    <dxf>
      <font>
        <color theme="0"/>
      </font>
    </dxf>
    <dxf>
      <font>
        <b/>
        <i val="0"/>
        <color rgb="FFFF0000"/>
      </font>
    </dxf>
    <dxf>
      <font>
        <b/>
        <i val="0"/>
        <color rgb="FF00B050"/>
      </font>
    </dxf>
    <dxf>
      <font>
        <b/>
        <i val="0"/>
        <color rgb="FFFF0000"/>
      </font>
    </dxf>
    <dxf>
      <font>
        <b/>
        <i val="0"/>
        <color rgb="FF00B050"/>
      </font>
    </dxf>
    <dxf>
      <font>
        <b/>
        <i val="0"/>
      </font>
      <fill>
        <patternFill>
          <bgColor rgb="FF00B050"/>
        </patternFill>
      </fill>
    </dxf>
    <dxf>
      <font>
        <condense val="0"/>
        <extend val="0"/>
        <color rgb="FF9C0006"/>
      </font>
      <fill>
        <patternFill>
          <bgColor rgb="FFFFC7CE"/>
        </patternFill>
      </fill>
    </dxf>
    <dxf>
      <font>
        <b/>
        <i val="0"/>
        <color rgb="FF00B050"/>
      </font>
    </dxf>
    <dxf>
      <font>
        <b/>
        <i val="0"/>
        <color rgb="FFFF0000"/>
      </font>
    </dxf>
    <dxf>
      <font>
        <b/>
        <i val="0"/>
        <color rgb="FFFF0000"/>
      </font>
    </dxf>
    <dxf>
      <font>
        <b/>
        <i val="0"/>
        <color rgb="FF00B050"/>
      </font>
    </dxf>
    <dxf>
      <font>
        <b val="0"/>
        <i val="0"/>
        <color theme="0"/>
      </font>
      <fill>
        <patternFill>
          <bgColor rgb="FFFF0000"/>
        </patternFill>
      </fill>
    </dxf>
    <dxf>
      <font>
        <b val="0"/>
        <i val="0"/>
        <color theme="0"/>
      </font>
      <fill>
        <patternFill>
          <bgColor rgb="FFFF0000"/>
        </patternFill>
      </fill>
    </dxf>
    <dxf>
      <font>
        <b/>
        <i val="0"/>
        <color rgb="FF00B050"/>
        <name val="Cambria"/>
        <scheme val="none"/>
      </font>
      <fill>
        <patternFill patternType="none">
          <bgColor indexed="65"/>
        </patternFill>
      </fill>
    </dxf>
    <dxf>
      <font>
        <b/>
        <i val="0"/>
        <color rgb="FFFF0000"/>
        <name val="Cambria"/>
        <scheme val="none"/>
      </font>
      <fill>
        <patternFill patternType="none">
          <bgColor indexed="65"/>
        </patternFill>
      </fill>
    </dxf>
    <dxf>
      <font>
        <b/>
        <i val="0"/>
        <color rgb="FFFF0000"/>
        <name val="Cambria"/>
        <scheme val="none"/>
      </font>
    </dxf>
    <dxf>
      <font>
        <b/>
        <i val="0"/>
        <color rgb="FF00B050"/>
        <name val="Cambria"/>
        <scheme val="none"/>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b val="0"/>
        <i val="0"/>
        <color theme="0"/>
      </font>
      <fill>
        <patternFill>
          <bgColor rgb="FFFF0000"/>
        </patternFill>
      </fill>
    </dxf>
    <dxf>
      <font>
        <color theme="0"/>
      </font>
      <fill>
        <patternFill>
          <bgColor rgb="FFFF0000"/>
        </patternFill>
      </fill>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color rgb="FFFF0000"/>
      </font>
    </dxf>
    <dxf>
      <font>
        <color rgb="FF00B050"/>
      </font>
    </dxf>
    <dxf>
      <font>
        <color rgb="FFFF0000"/>
      </font>
    </dxf>
    <dxf>
      <font>
        <color rgb="FFFF0000"/>
      </font>
    </dxf>
    <dxf>
      <font>
        <color rgb="FFFF0000"/>
      </font>
    </dxf>
    <dxf>
      <font>
        <color rgb="FF00B050"/>
      </font>
    </dxf>
    <dxf>
      <font>
        <b/>
        <i val="0"/>
        <color rgb="FFFF0000"/>
        <name val="Cambria"/>
        <scheme val="none"/>
      </font>
    </dxf>
    <dxf>
      <font>
        <b/>
        <i val="0"/>
        <color rgb="FF00B050"/>
        <name val="Cambria"/>
        <scheme val="none"/>
      </font>
    </dxf>
    <dxf>
      <font>
        <b/>
        <i val="0"/>
        <color rgb="FF00B050"/>
        <name val="Cambria"/>
        <scheme val="none"/>
      </font>
      <fill>
        <patternFill patternType="none">
          <bgColor indexed="65"/>
        </patternFill>
      </fill>
    </dxf>
    <dxf>
      <font>
        <b/>
        <i val="0"/>
        <color rgb="FFFF0000"/>
        <name val="Cambria"/>
        <scheme val="none"/>
      </font>
      <fill>
        <patternFill patternType="none">
          <bgColor indexed="65"/>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b="1"/>
              <a:t>5 Year Historical Price vs DCF</a:t>
            </a:r>
            <a:r>
              <a:rPr lang="en-US" b="1" baseline="0"/>
              <a:t> Intrinsic Value</a:t>
            </a:r>
            <a:endParaRPr lang="en-US" b="1"/>
          </a:p>
        </c:rich>
      </c:tx>
      <c:layout>
        <c:manualLayout>
          <c:xMode val="edge"/>
          <c:yMode val="edge"/>
          <c:x val="0.18101514962999829"/>
          <c:y val="1.4935674024353512E-2"/>
        </c:manualLayout>
      </c:layout>
    </c:title>
    <c:plotArea>
      <c:layout>
        <c:manualLayout>
          <c:layoutTarget val="inner"/>
          <c:xMode val="edge"/>
          <c:yMode val="edge"/>
          <c:x val="9.2592592592592712E-2"/>
          <c:y val="0.10457836185190007"/>
          <c:w val="0.87037037037037079"/>
          <c:h val="0.64293018473897801"/>
        </c:manualLayout>
      </c:layout>
      <c:lineChart>
        <c:grouping val="standard"/>
        <c:ser>
          <c:idx val="0"/>
          <c:order val="0"/>
          <c:tx>
            <c:strRef>
              <c:f>PriceValueGraph!$G$37</c:f>
              <c:strCache>
                <c:ptCount val="1"/>
                <c:pt idx="0">
                  <c:v>Historical Price</c:v>
                </c:pt>
              </c:strCache>
            </c:strRef>
          </c:tx>
          <c:spPr>
            <a:ln w="25400">
              <a:solidFill>
                <a:srgbClr val="0070C0"/>
              </a:solidFill>
            </a:ln>
          </c:spPr>
          <c:marker>
            <c:symbol val="none"/>
          </c:marker>
          <c:cat>
            <c:numRef>
              <c:f>PriceValueGraph!$E$38:$E$387</c:f>
              <c:numCache>
                <c:formatCode>m/d/yyyy</c:formatCode>
                <c:ptCount val="350"/>
                <c:pt idx="0" formatCode="m/d/yyyy;@">
                  <c:v>40365</c:v>
                </c:pt>
                <c:pt idx="1">
                  <c:v>40357</c:v>
                </c:pt>
                <c:pt idx="2">
                  <c:v>40350</c:v>
                </c:pt>
                <c:pt idx="3">
                  <c:v>40343</c:v>
                </c:pt>
                <c:pt idx="4">
                  <c:v>40336</c:v>
                </c:pt>
                <c:pt idx="5">
                  <c:v>40330</c:v>
                </c:pt>
                <c:pt idx="6">
                  <c:v>40322</c:v>
                </c:pt>
                <c:pt idx="7">
                  <c:v>40315</c:v>
                </c:pt>
                <c:pt idx="8">
                  <c:v>40308</c:v>
                </c:pt>
                <c:pt idx="9">
                  <c:v>40301</c:v>
                </c:pt>
                <c:pt idx="10">
                  <c:v>40294</c:v>
                </c:pt>
                <c:pt idx="11">
                  <c:v>40287</c:v>
                </c:pt>
                <c:pt idx="12">
                  <c:v>40280</c:v>
                </c:pt>
                <c:pt idx="13">
                  <c:v>40273</c:v>
                </c:pt>
                <c:pt idx="14">
                  <c:v>40266</c:v>
                </c:pt>
                <c:pt idx="15">
                  <c:v>40259</c:v>
                </c:pt>
                <c:pt idx="16">
                  <c:v>40252</c:v>
                </c:pt>
                <c:pt idx="17">
                  <c:v>40245</c:v>
                </c:pt>
                <c:pt idx="18">
                  <c:v>40238</c:v>
                </c:pt>
                <c:pt idx="19">
                  <c:v>40231</c:v>
                </c:pt>
                <c:pt idx="20">
                  <c:v>40225</c:v>
                </c:pt>
                <c:pt idx="21">
                  <c:v>40217</c:v>
                </c:pt>
                <c:pt idx="22">
                  <c:v>40210</c:v>
                </c:pt>
                <c:pt idx="23">
                  <c:v>40203</c:v>
                </c:pt>
                <c:pt idx="24">
                  <c:v>40197</c:v>
                </c:pt>
                <c:pt idx="25">
                  <c:v>40189</c:v>
                </c:pt>
                <c:pt idx="26">
                  <c:v>40182</c:v>
                </c:pt>
                <c:pt idx="27">
                  <c:v>40175</c:v>
                </c:pt>
                <c:pt idx="28">
                  <c:v>40168</c:v>
                </c:pt>
                <c:pt idx="29">
                  <c:v>40161</c:v>
                </c:pt>
                <c:pt idx="30">
                  <c:v>40154</c:v>
                </c:pt>
                <c:pt idx="31">
                  <c:v>40147</c:v>
                </c:pt>
                <c:pt idx="32">
                  <c:v>40140</c:v>
                </c:pt>
                <c:pt idx="33">
                  <c:v>40133</c:v>
                </c:pt>
                <c:pt idx="34">
                  <c:v>40126</c:v>
                </c:pt>
                <c:pt idx="35">
                  <c:v>40119</c:v>
                </c:pt>
                <c:pt idx="36">
                  <c:v>40112</c:v>
                </c:pt>
                <c:pt idx="37">
                  <c:v>40105</c:v>
                </c:pt>
                <c:pt idx="38">
                  <c:v>40098</c:v>
                </c:pt>
                <c:pt idx="39">
                  <c:v>40091</c:v>
                </c:pt>
                <c:pt idx="40">
                  <c:v>40084</c:v>
                </c:pt>
                <c:pt idx="41">
                  <c:v>40077</c:v>
                </c:pt>
                <c:pt idx="42">
                  <c:v>40070</c:v>
                </c:pt>
                <c:pt idx="43">
                  <c:v>40064</c:v>
                </c:pt>
                <c:pt idx="44">
                  <c:v>40056</c:v>
                </c:pt>
                <c:pt idx="45">
                  <c:v>40049</c:v>
                </c:pt>
                <c:pt idx="46">
                  <c:v>40042</c:v>
                </c:pt>
                <c:pt idx="47">
                  <c:v>40035</c:v>
                </c:pt>
                <c:pt idx="48">
                  <c:v>40028</c:v>
                </c:pt>
                <c:pt idx="49">
                  <c:v>40021</c:v>
                </c:pt>
                <c:pt idx="50">
                  <c:v>40014</c:v>
                </c:pt>
                <c:pt idx="51">
                  <c:v>40007</c:v>
                </c:pt>
                <c:pt idx="52">
                  <c:v>40000</c:v>
                </c:pt>
                <c:pt idx="53">
                  <c:v>39993</c:v>
                </c:pt>
                <c:pt idx="54">
                  <c:v>39986</c:v>
                </c:pt>
                <c:pt idx="55">
                  <c:v>39979</c:v>
                </c:pt>
                <c:pt idx="56">
                  <c:v>39972</c:v>
                </c:pt>
                <c:pt idx="57">
                  <c:v>39965</c:v>
                </c:pt>
                <c:pt idx="58">
                  <c:v>39959</c:v>
                </c:pt>
                <c:pt idx="59">
                  <c:v>39951</c:v>
                </c:pt>
                <c:pt idx="60">
                  <c:v>39944</c:v>
                </c:pt>
                <c:pt idx="61">
                  <c:v>39937</c:v>
                </c:pt>
                <c:pt idx="62">
                  <c:v>39930</c:v>
                </c:pt>
                <c:pt idx="63">
                  <c:v>39923</c:v>
                </c:pt>
                <c:pt idx="64">
                  <c:v>39916</c:v>
                </c:pt>
                <c:pt idx="65">
                  <c:v>39909</c:v>
                </c:pt>
                <c:pt idx="66">
                  <c:v>39902</c:v>
                </c:pt>
                <c:pt idx="67">
                  <c:v>39895</c:v>
                </c:pt>
                <c:pt idx="68">
                  <c:v>39888</c:v>
                </c:pt>
                <c:pt idx="69">
                  <c:v>39881</c:v>
                </c:pt>
                <c:pt idx="70">
                  <c:v>39874</c:v>
                </c:pt>
                <c:pt idx="71">
                  <c:v>39867</c:v>
                </c:pt>
                <c:pt idx="72">
                  <c:v>39861</c:v>
                </c:pt>
                <c:pt idx="73">
                  <c:v>39853</c:v>
                </c:pt>
                <c:pt idx="74">
                  <c:v>39846</c:v>
                </c:pt>
                <c:pt idx="75">
                  <c:v>39839</c:v>
                </c:pt>
                <c:pt idx="76">
                  <c:v>39833</c:v>
                </c:pt>
                <c:pt idx="77">
                  <c:v>39825</c:v>
                </c:pt>
                <c:pt idx="78">
                  <c:v>39818</c:v>
                </c:pt>
                <c:pt idx="79">
                  <c:v>39811</c:v>
                </c:pt>
                <c:pt idx="80">
                  <c:v>39804</c:v>
                </c:pt>
                <c:pt idx="81">
                  <c:v>39797</c:v>
                </c:pt>
                <c:pt idx="82">
                  <c:v>39790</c:v>
                </c:pt>
                <c:pt idx="83">
                  <c:v>39783</c:v>
                </c:pt>
                <c:pt idx="84">
                  <c:v>39776</c:v>
                </c:pt>
                <c:pt idx="85">
                  <c:v>39769</c:v>
                </c:pt>
                <c:pt idx="86">
                  <c:v>39762</c:v>
                </c:pt>
                <c:pt idx="87">
                  <c:v>39755</c:v>
                </c:pt>
                <c:pt idx="88">
                  <c:v>39748</c:v>
                </c:pt>
                <c:pt idx="89">
                  <c:v>39741</c:v>
                </c:pt>
                <c:pt idx="90">
                  <c:v>39734</c:v>
                </c:pt>
                <c:pt idx="91">
                  <c:v>39727</c:v>
                </c:pt>
                <c:pt idx="92">
                  <c:v>39720</c:v>
                </c:pt>
                <c:pt idx="93">
                  <c:v>39713</c:v>
                </c:pt>
                <c:pt idx="94">
                  <c:v>39706</c:v>
                </c:pt>
                <c:pt idx="95">
                  <c:v>39699</c:v>
                </c:pt>
                <c:pt idx="96">
                  <c:v>39693</c:v>
                </c:pt>
                <c:pt idx="97">
                  <c:v>39685</c:v>
                </c:pt>
                <c:pt idx="98">
                  <c:v>39678</c:v>
                </c:pt>
                <c:pt idx="99">
                  <c:v>39671</c:v>
                </c:pt>
                <c:pt idx="100">
                  <c:v>39664</c:v>
                </c:pt>
                <c:pt idx="101">
                  <c:v>39657</c:v>
                </c:pt>
                <c:pt idx="102">
                  <c:v>39650</c:v>
                </c:pt>
                <c:pt idx="103">
                  <c:v>39643</c:v>
                </c:pt>
                <c:pt idx="104">
                  <c:v>39636</c:v>
                </c:pt>
                <c:pt idx="105">
                  <c:v>39629</c:v>
                </c:pt>
                <c:pt idx="106">
                  <c:v>39622</c:v>
                </c:pt>
                <c:pt idx="107">
                  <c:v>39615</c:v>
                </c:pt>
                <c:pt idx="108">
                  <c:v>39608</c:v>
                </c:pt>
                <c:pt idx="109">
                  <c:v>39601</c:v>
                </c:pt>
                <c:pt idx="110">
                  <c:v>39595</c:v>
                </c:pt>
                <c:pt idx="111">
                  <c:v>39587</c:v>
                </c:pt>
                <c:pt idx="112">
                  <c:v>39580</c:v>
                </c:pt>
                <c:pt idx="113">
                  <c:v>39573</c:v>
                </c:pt>
                <c:pt idx="114">
                  <c:v>39566</c:v>
                </c:pt>
                <c:pt idx="115">
                  <c:v>39559</c:v>
                </c:pt>
                <c:pt idx="116">
                  <c:v>39552</c:v>
                </c:pt>
                <c:pt idx="117">
                  <c:v>39545</c:v>
                </c:pt>
                <c:pt idx="118">
                  <c:v>39538</c:v>
                </c:pt>
                <c:pt idx="119">
                  <c:v>39531</c:v>
                </c:pt>
                <c:pt idx="120">
                  <c:v>39524</c:v>
                </c:pt>
                <c:pt idx="121">
                  <c:v>39517</c:v>
                </c:pt>
                <c:pt idx="122">
                  <c:v>39510</c:v>
                </c:pt>
                <c:pt idx="123">
                  <c:v>39503</c:v>
                </c:pt>
                <c:pt idx="124">
                  <c:v>39497</c:v>
                </c:pt>
                <c:pt idx="125">
                  <c:v>39489</c:v>
                </c:pt>
                <c:pt idx="126">
                  <c:v>39482</c:v>
                </c:pt>
                <c:pt idx="127">
                  <c:v>39475</c:v>
                </c:pt>
                <c:pt idx="128">
                  <c:v>39469</c:v>
                </c:pt>
                <c:pt idx="129">
                  <c:v>39461</c:v>
                </c:pt>
                <c:pt idx="130">
                  <c:v>39454</c:v>
                </c:pt>
                <c:pt idx="131">
                  <c:v>39447</c:v>
                </c:pt>
                <c:pt idx="132">
                  <c:v>39440</c:v>
                </c:pt>
                <c:pt idx="133">
                  <c:v>39433</c:v>
                </c:pt>
                <c:pt idx="134">
                  <c:v>39426</c:v>
                </c:pt>
                <c:pt idx="135">
                  <c:v>39419</c:v>
                </c:pt>
                <c:pt idx="136">
                  <c:v>39412</c:v>
                </c:pt>
                <c:pt idx="137">
                  <c:v>39405</c:v>
                </c:pt>
                <c:pt idx="138">
                  <c:v>39398</c:v>
                </c:pt>
                <c:pt idx="139">
                  <c:v>39391</c:v>
                </c:pt>
                <c:pt idx="140">
                  <c:v>39384</c:v>
                </c:pt>
                <c:pt idx="141">
                  <c:v>39377</c:v>
                </c:pt>
                <c:pt idx="142">
                  <c:v>39370</c:v>
                </c:pt>
                <c:pt idx="143">
                  <c:v>39363</c:v>
                </c:pt>
                <c:pt idx="144">
                  <c:v>39356</c:v>
                </c:pt>
                <c:pt idx="145">
                  <c:v>39349</c:v>
                </c:pt>
                <c:pt idx="146">
                  <c:v>39342</c:v>
                </c:pt>
                <c:pt idx="147">
                  <c:v>39335</c:v>
                </c:pt>
                <c:pt idx="148">
                  <c:v>39329</c:v>
                </c:pt>
                <c:pt idx="149">
                  <c:v>39321</c:v>
                </c:pt>
                <c:pt idx="150">
                  <c:v>39314</c:v>
                </c:pt>
                <c:pt idx="151">
                  <c:v>39307</c:v>
                </c:pt>
                <c:pt idx="152">
                  <c:v>39300</c:v>
                </c:pt>
                <c:pt idx="153">
                  <c:v>39293</c:v>
                </c:pt>
                <c:pt idx="154">
                  <c:v>39286</c:v>
                </c:pt>
                <c:pt idx="155">
                  <c:v>39279</c:v>
                </c:pt>
                <c:pt idx="156">
                  <c:v>39272</c:v>
                </c:pt>
                <c:pt idx="157">
                  <c:v>39265</c:v>
                </c:pt>
                <c:pt idx="158">
                  <c:v>39258</c:v>
                </c:pt>
                <c:pt idx="159">
                  <c:v>39251</c:v>
                </c:pt>
                <c:pt idx="160">
                  <c:v>39244</c:v>
                </c:pt>
                <c:pt idx="161">
                  <c:v>39237</c:v>
                </c:pt>
                <c:pt idx="162">
                  <c:v>39231</c:v>
                </c:pt>
                <c:pt idx="163">
                  <c:v>39223</c:v>
                </c:pt>
                <c:pt idx="164">
                  <c:v>39216</c:v>
                </c:pt>
                <c:pt idx="165">
                  <c:v>39209</c:v>
                </c:pt>
                <c:pt idx="166">
                  <c:v>39202</c:v>
                </c:pt>
                <c:pt idx="167">
                  <c:v>39195</c:v>
                </c:pt>
                <c:pt idx="168">
                  <c:v>39188</c:v>
                </c:pt>
                <c:pt idx="169">
                  <c:v>39181</c:v>
                </c:pt>
                <c:pt idx="170">
                  <c:v>39174</c:v>
                </c:pt>
                <c:pt idx="171">
                  <c:v>39167</c:v>
                </c:pt>
                <c:pt idx="172">
                  <c:v>39160</c:v>
                </c:pt>
                <c:pt idx="173">
                  <c:v>39153</c:v>
                </c:pt>
                <c:pt idx="174">
                  <c:v>39146</c:v>
                </c:pt>
                <c:pt idx="175">
                  <c:v>39139</c:v>
                </c:pt>
                <c:pt idx="176">
                  <c:v>39133</c:v>
                </c:pt>
                <c:pt idx="177">
                  <c:v>39125</c:v>
                </c:pt>
                <c:pt idx="178">
                  <c:v>39118</c:v>
                </c:pt>
                <c:pt idx="179">
                  <c:v>39111</c:v>
                </c:pt>
                <c:pt idx="180">
                  <c:v>39104</c:v>
                </c:pt>
                <c:pt idx="181">
                  <c:v>39098</c:v>
                </c:pt>
                <c:pt idx="182">
                  <c:v>39090</c:v>
                </c:pt>
                <c:pt idx="183">
                  <c:v>39085</c:v>
                </c:pt>
                <c:pt idx="184">
                  <c:v>39077</c:v>
                </c:pt>
                <c:pt idx="185">
                  <c:v>39069</c:v>
                </c:pt>
                <c:pt idx="186">
                  <c:v>39062</c:v>
                </c:pt>
                <c:pt idx="187">
                  <c:v>39055</c:v>
                </c:pt>
                <c:pt idx="188">
                  <c:v>39048</c:v>
                </c:pt>
                <c:pt idx="189">
                  <c:v>39041</c:v>
                </c:pt>
                <c:pt idx="190">
                  <c:v>39034</c:v>
                </c:pt>
                <c:pt idx="191">
                  <c:v>39027</c:v>
                </c:pt>
                <c:pt idx="192">
                  <c:v>39020</c:v>
                </c:pt>
                <c:pt idx="193">
                  <c:v>39013</c:v>
                </c:pt>
                <c:pt idx="194">
                  <c:v>39006</c:v>
                </c:pt>
                <c:pt idx="195">
                  <c:v>38999</c:v>
                </c:pt>
                <c:pt idx="196">
                  <c:v>38992</c:v>
                </c:pt>
                <c:pt idx="197">
                  <c:v>38985</c:v>
                </c:pt>
                <c:pt idx="198">
                  <c:v>38978</c:v>
                </c:pt>
                <c:pt idx="199">
                  <c:v>38971</c:v>
                </c:pt>
                <c:pt idx="200">
                  <c:v>38965</c:v>
                </c:pt>
                <c:pt idx="201">
                  <c:v>38957</c:v>
                </c:pt>
                <c:pt idx="202">
                  <c:v>38950</c:v>
                </c:pt>
                <c:pt idx="203">
                  <c:v>38943</c:v>
                </c:pt>
                <c:pt idx="204">
                  <c:v>38936</c:v>
                </c:pt>
                <c:pt idx="205">
                  <c:v>38929</c:v>
                </c:pt>
                <c:pt idx="206">
                  <c:v>38922</c:v>
                </c:pt>
                <c:pt idx="207">
                  <c:v>38915</c:v>
                </c:pt>
                <c:pt idx="208">
                  <c:v>38908</c:v>
                </c:pt>
                <c:pt idx="209">
                  <c:v>38901</c:v>
                </c:pt>
                <c:pt idx="210">
                  <c:v>38894</c:v>
                </c:pt>
                <c:pt idx="211">
                  <c:v>38887</c:v>
                </c:pt>
                <c:pt idx="212">
                  <c:v>38880</c:v>
                </c:pt>
                <c:pt idx="213">
                  <c:v>38873</c:v>
                </c:pt>
                <c:pt idx="214">
                  <c:v>38867</c:v>
                </c:pt>
                <c:pt idx="215">
                  <c:v>38859</c:v>
                </c:pt>
                <c:pt idx="216">
                  <c:v>38852</c:v>
                </c:pt>
                <c:pt idx="217">
                  <c:v>38845</c:v>
                </c:pt>
                <c:pt idx="218">
                  <c:v>38838</c:v>
                </c:pt>
                <c:pt idx="219">
                  <c:v>38831</c:v>
                </c:pt>
                <c:pt idx="220">
                  <c:v>38824</c:v>
                </c:pt>
                <c:pt idx="221">
                  <c:v>38817</c:v>
                </c:pt>
                <c:pt idx="222">
                  <c:v>38810</c:v>
                </c:pt>
                <c:pt idx="223">
                  <c:v>38803</c:v>
                </c:pt>
                <c:pt idx="224">
                  <c:v>38796</c:v>
                </c:pt>
                <c:pt idx="225">
                  <c:v>38789</c:v>
                </c:pt>
                <c:pt idx="226">
                  <c:v>38782</c:v>
                </c:pt>
                <c:pt idx="227">
                  <c:v>38775</c:v>
                </c:pt>
                <c:pt idx="228">
                  <c:v>38769</c:v>
                </c:pt>
                <c:pt idx="229">
                  <c:v>38761</c:v>
                </c:pt>
                <c:pt idx="230">
                  <c:v>38754</c:v>
                </c:pt>
                <c:pt idx="231">
                  <c:v>38747</c:v>
                </c:pt>
                <c:pt idx="232">
                  <c:v>38740</c:v>
                </c:pt>
                <c:pt idx="233">
                  <c:v>38734</c:v>
                </c:pt>
                <c:pt idx="234">
                  <c:v>38726</c:v>
                </c:pt>
                <c:pt idx="235">
                  <c:v>38720</c:v>
                </c:pt>
                <c:pt idx="236">
                  <c:v>38713</c:v>
                </c:pt>
                <c:pt idx="237">
                  <c:v>38705</c:v>
                </c:pt>
                <c:pt idx="238">
                  <c:v>38698</c:v>
                </c:pt>
                <c:pt idx="239">
                  <c:v>38691</c:v>
                </c:pt>
                <c:pt idx="240">
                  <c:v>38684</c:v>
                </c:pt>
                <c:pt idx="241">
                  <c:v>38677</c:v>
                </c:pt>
                <c:pt idx="242">
                  <c:v>38670</c:v>
                </c:pt>
                <c:pt idx="243">
                  <c:v>38663</c:v>
                </c:pt>
                <c:pt idx="244">
                  <c:v>38656</c:v>
                </c:pt>
                <c:pt idx="245">
                  <c:v>38649</c:v>
                </c:pt>
                <c:pt idx="246">
                  <c:v>38642</c:v>
                </c:pt>
                <c:pt idx="247">
                  <c:v>38635</c:v>
                </c:pt>
                <c:pt idx="248">
                  <c:v>38628</c:v>
                </c:pt>
                <c:pt idx="249">
                  <c:v>38621</c:v>
                </c:pt>
                <c:pt idx="250">
                  <c:v>38614</c:v>
                </c:pt>
                <c:pt idx="251">
                  <c:v>38607</c:v>
                </c:pt>
                <c:pt idx="252">
                  <c:v>38601</c:v>
                </c:pt>
                <c:pt idx="253">
                  <c:v>38593</c:v>
                </c:pt>
                <c:pt idx="254">
                  <c:v>38586</c:v>
                </c:pt>
                <c:pt idx="255">
                  <c:v>38579</c:v>
                </c:pt>
                <c:pt idx="256">
                  <c:v>38572</c:v>
                </c:pt>
                <c:pt idx="257">
                  <c:v>38565</c:v>
                </c:pt>
                <c:pt idx="258">
                  <c:v>38558</c:v>
                </c:pt>
                <c:pt idx="259">
                  <c:v>38551</c:v>
                </c:pt>
                <c:pt idx="260">
                  <c:v>38544</c:v>
                </c:pt>
                <c:pt idx="261">
                  <c:v>38538</c:v>
                </c:pt>
                <c:pt idx="262">
                  <c:v>38530</c:v>
                </c:pt>
                <c:pt idx="263">
                  <c:v>38523</c:v>
                </c:pt>
                <c:pt idx="264">
                  <c:v>38516</c:v>
                </c:pt>
                <c:pt idx="265">
                  <c:v>38509</c:v>
                </c:pt>
                <c:pt idx="266">
                  <c:v>38503</c:v>
                </c:pt>
                <c:pt idx="267">
                  <c:v>38495</c:v>
                </c:pt>
                <c:pt idx="268">
                  <c:v>38488</c:v>
                </c:pt>
                <c:pt idx="269">
                  <c:v>38481</c:v>
                </c:pt>
                <c:pt idx="270">
                  <c:v>38474</c:v>
                </c:pt>
                <c:pt idx="271">
                  <c:v>38467</c:v>
                </c:pt>
                <c:pt idx="272">
                  <c:v>38460</c:v>
                </c:pt>
                <c:pt idx="273">
                  <c:v>38453</c:v>
                </c:pt>
                <c:pt idx="274">
                  <c:v>38446</c:v>
                </c:pt>
                <c:pt idx="275">
                  <c:v>38439</c:v>
                </c:pt>
                <c:pt idx="276">
                  <c:v>38432</c:v>
                </c:pt>
                <c:pt idx="277">
                  <c:v>38425</c:v>
                </c:pt>
                <c:pt idx="278">
                  <c:v>38418</c:v>
                </c:pt>
                <c:pt idx="279">
                  <c:v>38411</c:v>
                </c:pt>
                <c:pt idx="280">
                  <c:v>38405</c:v>
                </c:pt>
                <c:pt idx="281">
                  <c:v>38397</c:v>
                </c:pt>
                <c:pt idx="282">
                  <c:v>38390</c:v>
                </c:pt>
                <c:pt idx="283">
                  <c:v>38383</c:v>
                </c:pt>
                <c:pt idx="284">
                  <c:v>38376</c:v>
                </c:pt>
                <c:pt idx="285">
                  <c:v>38370</c:v>
                </c:pt>
                <c:pt idx="286">
                  <c:v>38362</c:v>
                </c:pt>
                <c:pt idx="287">
                  <c:v>38355</c:v>
                </c:pt>
                <c:pt idx="288">
                  <c:v>38348</c:v>
                </c:pt>
                <c:pt idx="289">
                  <c:v>38341</c:v>
                </c:pt>
                <c:pt idx="290">
                  <c:v>38334</c:v>
                </c:pt>
                <c:pt idx="291">
                  <c:v>38327</c:v>
                </c:pt>
                <c:pt idx="292">
                  <c:v>38320</c:v>
                </c:pt>
                <c:pt idx="293">
                  <c:v>38313</c:v>
                </c:pt>
                <c:pt idx="294">
                  <c:v>38306</c:v>
                </c:pt>
                <c:pt idx="295">
                  <c:v>38299</c:v>
                </c:pt>
                <c:pt idx="296">
                  <c:v>38292</c:v>
                </c:pt>
                <c:pt idx="297">
                  <c:v>38285</c:v>
                </c:pt>
                <c:pt idx="298">
                  <c:v>38278</c:v>
                </c:pt>
                <c:pt idx="299">
                  <c:v>38271</c:v>
                </c:pt>
                <c:pt idx="300">
                  <c:v>38264</c:v>
                </c:pt>
                <c:pt idx="301">
                  <c:v>38257</c:v>
                </c:pt>
                <c:pt idx="302">
                  <c:v>38250</c:v>
                </c:pt>
                <c:pt idx="303">
                  <c:v>38243</c:v>
                </c:pt>
                <c:pt idx="304">
                  <c:v>38237</c:v>
                </c:pt>
                <c:pt idx="305">
                  <c:v>38229</c:v>
                </c:pt>
                <c:pt idx="306">
                  <c:v>38222</c:v>
                </c:pt>
                <c:pt idx="307">
                  <c:v>38215</c:v>
                </c:pt>
                <c:pt idx="308">
                  <c:v>38208</c:v>
                </c:pt>
                <c:pt idx="309">
                  <c:v>38201</c:v>
                </c:pt>
                <c:pt idx="310">
                  <c:v>38194</c:v>
                </c:pt>
                <c:pt idx="311">
                  <c:v>38187</c:v>
                </c:pt>
                <c:pt idx="312">
                  <c:v>38180</c:v>
                </c:pt>
                <c:pt idx="313">
                  <c:v>38174</c:v>
                </c:pt>
                <c:pt idx="314">
                  <c:v>38166</c:v>
                </c:pt>
                <c:pt idx="315">
                  <c:v>38159</c:v>
                </c:pt>
                <c:pt idx="316">
                  <c:v>38152</c:v>
                </c:pt>
                <c:pt idx="317">
                  <c:v>38145</c:v>
                </c:pt>
                <c:pt idx="318">
                  <c:v>38139</c:v>
                </c:pt>
                <c:pt idx="319">
                  <c:v>38131</c:v>
                </c:pt>
                <c:pt idx="320">
                  <c:v>38124</c:v>
                </c:pt>
                <c:pt idx="321">
                  <c:v>38117</c:v>
                </c:pt>
                <c:pt idx="322">
                  <c:v>38110</c:v>
                </c:pt>
                <c:pt idx="323">
                  <c:v>38103</c:v>
                </c:pt>
                <c:pt idx="324">
                  <c:v>38096</c:v>
                </c:pt>
                <c:pt idx="325">
                  <c:v>38089</c:v>
                </c:pt>
                <c:pt idx="326">
                  <c:v>38082</c:v>
                </c:pt>
                <c:pt idx="327">
                  <c:v>38075</c:v>
                </c:pt>
                <c:pt idx="328">
                  <c:v>38068</c:v>
                </c:pt>
                <c:pt idx="329">
                  <c:v>38061</c:v>
                </c:pt>
                <c:pt idx="330">
                  <c:v>38054</c:v>
                </c:pt>
                <c:pt idx="331">
                  <c:v>38047</c:v>
                </c:pt>
                <c:pt idx="332">
                  <c:v>38040</c:v>
                </c:pt>
                <c:pt idx="333">
                  <c:v>38034</c:v>
                </c:pt>
                <c:pt idx="334">
                  <c:v>38026</c:v>
                </c:pt>
                <c:pt idx="335">
                  <c:v>38019</c:v>
                </c:pt>
                <c:pt idx="336">
                  <c:v>38012</c:v>
                </c:pt>
                <c:pt idx="337">
                  <c:v>38006</c:v>
                </c:pt>
                <c:pt idx="338">
                  <c:v>37998</c:v>
                </c:pt>
                <c:pt idx="339">
                  <c:v>37991</c:v>
                </c:pt>
                <c:pt idx="340">
                  <c:v>37984</c:v>
                </c:pt>
                <c:pt idx="341">
                  <c:v>37977</c:v>
                </c:pt>
                <c:pt idx="342">
                  <c:v>37970</c:v>
                </c:pt>
                <c:pt idx="343">
                  <c:v>37963</c:v>
                </c:pt>
                <c:pt idx="344">
                  <c:v>37956</c:v>
                </c:pt>
                <c:pt idx="345">
                  <c:v>37949</c:v>
                </c:pt>
                <c:pt idx="346">
                  <c:v>37942</c:v>
                </c:pt>
                <c:pt idx="347">
                  <c:v>37935</c:v>
                </c:pt>
                <c:pt idx="348">
                  <c:v>37928</c:v>
                </c:pt>
                <c:pt idx="349">
                  <c:v>37921</c:v>
                </c:pt>
              </c:numCache>
            </c:numRef>
          </c:cat>
          <c:val>
            <c:numRef>
              <c:f>PriceValueGraph!$G$38:$G$609</c:f>
              <c:numCache>
                <c:formatCode>General</c:formatCode>
                <c:ptCount val="572"/>
                <c:pt idx="0">
                  <c:v>52.4</c:v>
                </c:pt>
                <c:pt idx="1">
                  <c:v>50.05</c:v>
                </c:pt>
                <c:pt idx="2">
                  <c:v>50.26</c:v>
                </c:pt>
                <c:pt idx="3">
                  <c:v>52.31</c:v>
                </c:pt>
                <c:pt idx="4">
                  <c:v>51.65</c:v>
                </c:pt>
                <c:pt idx="5">
                  <c:v>50.84</c:v>
                </c:pt>
                <c:pt idx="6">
                  <c:v>50.97</c:v>
                </c:pt>
                <c:pt idx="7">
                  <c:v>51.16</c:v>
                </c:pt>
                <c:pt idx="8">
                  <c:v>52.89</c:v>
                </c:pt>
                <c:pt idx="9">
                  <c:v>52.23</c:v>
                </c:pt>
                <c:pt idx="10">
                  <c:v>53</c:v>
                </c:pt>
                <c:pt idx="11">
                  <c:v>53.43</c:v>
                </c:pt>
                <c:pt idx="12">
                  <c:v>54.51</c:v>
                </c:pt>
                <c:pt idx="13">
                  <c:v>54.13</c:v>
                </c:pt>
                <c:pt idx="14">
                  <c:v>54.84</c:v>
                </c:pt>
                <c:pt idx="15">
                  <c:v>54.19</c:v>
                </c:pt>
                <c:pt idx="16">
                  <c:v>54.29</c:v>
                </c:pt>
                <c:pt idx="17">
                  <c:v>52.9</c:v>
                </c:pt>
                <c:pt idx="18">
                  <c:v>53.8</c:v>
                </c:pt>
                <c:pt idx="19">
                  <c:v>51.85</c:v>
                </c:pt>
                <c:pt idx="20">
                  <c:v>54.8</c:v>
                </c:pt>
                <c:pt idx="21">
                  <c:v>53.09</c:v>
                </c:pt>
                <c:pt idx="22">
                  <c:v>52.22</c:v>
                </c:pt>
                <c:pt idx="23">
                  <c:v>53.36</c:v>
                </c:pt>
                <c:pt idx="24">
                  <c:v>53.35</c:v>
                </c:pt>
                <c:pt idx="25">
                  <c:v>55.36</c:v>
                </c:pt>
                <c:pt idx="26">
                  <c:v>54.24</c:v>
                </c:pt>
                <c:pt idx="27">
                  <c:v>56.06</c:v>
                </c:pt>
                <c:pt idx="28">
                  <c:v>56.5</c:v>
                </c:pt>
                <c:pt idx="29">
                  <c:v>55.98</c:v>
                </c:pt>
                <c:pt idx="30">
                  <c:v>58.14</c:v>
                </c:pt>
                <c:pt idx="31">
                  <c:v>56.54</c:v>
                </c:pt>
                <c:pt idx="32">
                  <c:v>56.24</c:v>
                </c:pt>
                <c:pt idx="33">
                  <c:v>56.14</c:v>
                </c:pt>
                <c:pt idx="34">
                  <c:v>55.14</c:v>
                </c:pt>
                <c:pt idx="35">
                  <c:v>53.22</c:v>
                </c:pt>
                <c:pt idx="36">
                  <c:v>52.06</c:v>
                </c:pt>
                <c:pt idx="37">
                  <c:v>52</c:v>
                </c:pt>
                <c:pt idx="38">
                  <c:v>53.72</c:v>
                </c:pt>
                <c:pt idx="39">
                  <c:v>53.37</c:v>
                </c:pt>
                <c:pt idx="40">
                  <c:v>52.61</c:v>
                </c:pt>
                <c:pt idx="41">
                  <c:v>51.73</c:v>
                </c:pt>
                <c:pt idx="42">
                  <c:v>52.5</c:v>
                </c:pt>
                <c:pt idx="43">
                  <c:v>50.31</c:v>
                </c:pt>
                <c:pt idx="44">
                  <c:v>48.39</c:v>
                </c:pt>
                <c:pt idx="45">
                  <c:v>47.52</c:v>
                </c:pt>
                <c:pt idx="46">
                  <c:v>48.35</c:v>
                </c:pt>
                <c:pt idx="47">
                  <c:v>46.95</c:v>
                </c:pt>
                <c:pt idx="48">
                  <c:v>47.8</c:v>
                </c:pt>
                <c:pt idx="49">
                  <c:v>48.28</c:v>
                </c:pt>
                <c:pt idx="50">
                  <c:v>47.82</c:v>
                </c:pt>
                <c:pt idx="51">
                  <c:v>48.75</c:v>
                </c:pt>
                <c:pt idx="52">
                  <c:v>46.8</c:v>
                </c:pt>
                <c:pt idx="53">
                  <c:v>47.35</c:v>
                </c:pt>
                <c:pt idx="54">
                  <c:v>46.62</c:v>
                </c:pt>
                <c:pt idx="55">
                  <c:v>47.28</c:v>
                </c:pt>
                <c:pt idx="56">
                  <c:v>47.36</c:v>
                </c:pt>
                <c:pt idx="57">
                  <c:v>47.49</c:v>
                </c:pt>
                <c:pt idx="58">
                  <c:v>47.22</c:v>
                </c:pt>
                <c:pt idx="59">
                  <c:v>45.43</c:v>
                </c:pt>
                <c:pt idx="60">
                  <c:v>43.18</c:v>
                </c:pt>
                <c:pt idx="61">
                  <c:v>41.22</c:v>
                </c:pt>
                <c:pt idx="62">
                  <c:v>40.79</c:v>
                </c:pt>
                <c:pt idx="63">
                  <c:v>41.1</c:v>
                </c:pt>
                <c:pt idx="64">
                  <c:v>43.24</c:v>
                </c:pt>
                <c:pt idx="65">
                  <c:v>43.21</c:v>
                </c:pt>
                <c:pt idx="66">
                  <c:v>43.19</c:v>
                </c:pt>
                <c:pt idx="67">
                  <c:v>43.32</c:v>
                </c:pt>
                <c:pt idx="68">
                  <c:v>40.96</c:v>
                </c:pt>
                <c:pt idx="69">
                  <c:v>39.590000000000003</c:v>
                </c:pt>
                <c:pt idx="70">
                  <c:v>37.159999999999997</c:v>
                </c:pt>
                <c:pt idx="71">
                  <c:v>38.83</c:v>
                </c:pt>
                <c:pt idx="72">
                  <c:v>40.72</c:v>
                </c:pt>
                <c:pt idx="73">
                  <c:v>41.68</c:v>
                </c:pt>
                <c:pt idx="74">
                  <c:v>41.39</c:v>
                </c:pt>
                <c:pt idx="75">
                  <c:v>40.6</c:v>
                </c:pt>
                <c:pt idx="76">
                  <c:v>40.11</c:v>
                </c:pt>
                <c:pt idx="77">
                  <c:v>41.67</c:v>
                </c:pt>
                <c:pt idx="78">
                  <c:v>42.39</c:v>
                </c:pt>
                <c:pt idx="79">
                  <c:v>43.63</c:v>
                </c:pt>
                <c:pt idx="80">
                  <c:v>42.37</c:v>
                </c:pt>
                <c:pt idx="81">
                  <c:v>42.23</c:v>
                </c:pt>
                <c:pt idx="82">
                  <c:v>42.36</c:v>
                </c:pt>
                <c:pt idx="83">
                  <c:v>43.7</c:v>
                </c:pt>
                <c:pt idx="84">
                  <c:v>44.55</c:v>
                </c:pt>
                <c:pt idx="85">
                  <c:v>41.47</c:v>
                </c:pt>
                <c:pt idx="86">
                  <c:v>42.43</c:v>
                </c:pt>
                <c:pt idx="87">
                  <c:v>43.59</c:v>
                </c:pt>
                <c:pt idx="88">
                  <c:v>41.52</c:v>
                </c:pt>
                <c:pt idx="89">
                  <c:v>39.21</c:v>
                </c:pt>
                <c:pt idx="90">
                  <c:v>41.66</c:v>
                </c:pt>
                <c:pt idx="91">
                  <c:v>39.11</c:v>
                </c:pt>
                <c:pt idx="92">
                  <c:v>49.54</c:v>
                </c:pt>
                <c:pt idx="93">
                  <c:v>49.46</c:v>
                </c:pt>
                <c:pt idx="94">
                  <c:v>49.68</c:v>
                </c:pt>
                <c:pt idx="95">
                  <c:v>51.36</c:v>
                </c:pt>
                <c:pt idx="96">
                  <c:v>48.59</c:v>
                </c:pt>
                <c:pt idx="97">
                  <c:v>48.73</c:v>
                </c:pt>
                <c:pt idx="98">
                  <c:v>50.88</c:v>
                </c:pt>
                <c:pt idx="99">
                  <c:v>51.52</c:v>
                </c:pt>
                <c:pt idx="100">
                  <c:v>51.85</c:v>
                </c:pt>
                <c:pt idx="101">
                  <c:v>49.73</c:v>
                </c:pt>
                <c:pt idx="102">
                  <c:v>48.72</c:v>
                </c:pt>
                <c:pt idx="103">
                  <c:v>46.82</c:v>
                </c:pt>
                <c:pt idx="104">
                  <c:v>47.04</c:v>
                </c:pt>
                <c:pt idx="105">
                  <c:v>48.17</c:v>
                </c:pt>
                <c:pt idx="106">
                  <c:v>48.51</c:v>
                </c:pt>
                <c:pt idx="107">
                  <c:v>50.21</c:v>
                </c:pt>
                <c:pt idx="108">
                  <c:v>51.86</c:v>
                </c:pt>
                <c:pt idx="109">
                  <c:v>51.87</c:v>
                </c:pt>
                <c:pt idx="110">
                  <c:v>53.23</c:v>
                </c:pt>
                <c:pt idx="111">
                  <c:v>54.51</c:v>
                </c:pt>
                <c:pt idx="112">
                  <c:v>53.05</c:v>
                </c:pt>
                <c:pt idx="113">
                  <c:v>52.2</c:v>
                </c:pt>
                <c:pt idx="114">
                  <c:v>54.64</c:v>
                </c:pt>
                <c:pt idx="115">
                  <c:v>55.16</c:v>
                </c:pt>
                <c:pt idx="116">
                  <c:v>55.88</c:v>
                </c:pt>
                <c:pt idx="117">
                  <c:v>56.05</c:v>
                </c:pt>
                <c:pt idx="118">
                  <c:v>56.01</c:v>
                </c:pt>
                <c:pt idx="119">
                  <c:v>56.65</c:v>
                </c:pt>
                <c:pt idx="120">
                  <c:v>56.75</c:v>
                </c:pt>
                <c:pt idx="121">
                  <c:v>53.48</c:v>
                </c:pt>
                <c:pt idx="122">
                  <c:v>54.36</c:v>
                </c:pt>
                <c:pt idx="123">
                  <c:v>54</c:v>
                </c:pt>
                <c:pt idx="124">
                  <c:v>53.82</c:v>
                </c:pt>
                <c:pt idx="125">
                  <c:v>54.28</c:v>
                </c:pt>
                <c:pt idx="126">
                  <c:v>54.73</c:v>
                </c:pt>
                <c:pt idx="127">
                  <c:v>54.74</c:v>
                </c:pt>
                <c:pt idx="128">
                  <c:v>53.95</c:v>
                </c:pt>
                <c:pt idx="129">
                  <c:v>56.11</c:v>
                </c:pt>
                <c:pt idx="130">
                  <c:v>58.9</c:v>
                </c:pt>
                <c:pt idx="131">
                  <c:v>57.13</c:v>
                </c:pt>
                <c:pt idx="132">
                  <c:v>57.52</c:v>
                </c:pt>
                <c:pt idx="133">
                  <c:v>58.26</c:v>
                </c:pt>
                <c:pt idx="134">
                  <c:v>58.94</c:v>
                </c:pt>
                <c:pt idx="135">
                  <c:v>58.33</c:v>
                </c:pt>
                <c:pt idx="136">
                  <c:v>57.36</c:v>
                </c:pt>
                <c:pt idx="137">
                  <c:v>57.24</c:v>
                </c:pt>
                <c:pt idx="138">
                  <c:v>57.53</c:v>
                </c:pt>
                <c:pt idx="139">
                  <c:v>55.89</c:v>
                </c:pt>
                <c:pt idx="140">
                  <c:v>55.59</c:v>
                </c:pt>
                <c:pt idx="141">
                  <c:v>56.57</c:v>
                </c:pt>
                <c:pt idx="142">
                  <c:v>53.98</c:v>
                </c:pt>
                <c:pt idx="143">
                  <c:v>53.1</c:v>
                </c:pt>
                <c:pt idx="144">
                  <c:v>53.35</c:v>
                </c:pt>
                <c:pt idx="145">
                  <c:v>52.8</c:v>
                </c:pt>
                <c:pt idx="146">
                  <c:v>51.95</c:v>
                </c:pt>
                <c:pt idx="147">
                  <c:v>51.82</c:v>
                </c:pt>
                <c:pt idx="148">
                  <c:v>49.85</c:v>
                </c:pt>
                <c:pt idx="149">
                  <c:v>49.11</c:v>
                </c:pt>
                <c:pt idx="150">
                  <c:v>49.31</c:v>
                </c:pt>
                <c:pt idx="151">
                  <c:v>49.72</c:v>
                </c:pt>
                <c:pt idx="152">
                  <c:v>50.2</c:v>
                </c:pt>
                <c:pt idx="153">
                  <c:v>48.65</c:v>
                </c:pt>
                <c:pt idx="154">
                  <c:v>47.74</c:v>
                </c:pt>
                <c:pt idx="155">
                  <c:v>48.59</c:v>
                </c:pt>
                <c:pt idx="156">
                  <c:v>48.5</c:v>
                </c:pt>
                <c:pt idx="157">
                  <c:v>48.03</c:v>
                </c:pt>
                <c:pt idx="158">
                  <c:v>47.76</c:v>
                </c:pt>
                <c:pt idx="159">
                  <c:v>47.13</c:v>
                </c:pt>
                <c:pt idx="160">
                  <c:v>47.1</c:v>
                </c:pt>
                <c:pt idx="161">
                  <c:v>46.87</c:v>
                </c:pt>
                <c:pt idx="162">
                  <c:v>47.89</c:v>
                </c:pt>
                <c:pt idx="163">
                  <c:v>47.07</c:v>
                </c:pt>
                <c:pt idx="164">
                  <c:v>47.74</c:v>
                </c:pt>
                <c:pt idx="165">
                  <c:v>47.79</c:v>
                </c:pt>
                <c:pt idx="166">
                  <c:v>48.26</c:v>
                </c:pt>
                <c:pt idx="167">
                  <c:v>47.22</c:v>
                </c:pt>
                <c:pt idx="168">
                  <c:v>47.25</c:v>
                </c:pt>
                <c:pt idx="169">
                  <c:v>45.24</c:v>
                </c:pt>
                <c:pt idx="170">
                  <c:v>44.92</c:v>
                </c:pt>
                <c:pt idx="171">
                  <c:v>43.54</c:v>
                </c:pt>
                <c:pt idx="172">
                  <c:v>43.58</c:v>
                </c:pt>
                <c:pt idx="173">
                  <c:v>42.82</c:v>
                </c:pt>
                <c:pt idx="174">
                  <c:v>42.84</c:v>
                </c:pt>
                <c:pt idx="175">
                  <c:v>41.33</c:v>
                </c:pt>
                <c:pt idx="176">
                  <c:v>42.56</c:v>
                </c:pt>
                <c:pt idx="177">
                  <c:v>43.11</c:v>
                </c:pt>
                <c:pt idx="178">
                  <c:v>43.01</c:v>
                </c:pt>
                <c:pt idx="179">
                  <c:v>43.45</c:v>
                </c:pt>
                <c:pt idx="180">
                  <c:v>43.08</c:v>
                </c:pt>
                <c:pt idx="181">
                  <c:v>43.46</c:v>
                </c:pt>
                <c:pt idx="182">
                  <c:v>43.72</c:v>
                </c:pt>
                <c:pt idx="183">
                  <c:v>43.46</c:v>
                </c:pt>
                <c:pt idx="184">
                  <c:v>43.45</c:v>
                </c:pt>
                <c:pt idx="185">
                  <c:v>43.57</c:v>
                </c:pt>
                <c:pt idx="186">
                  <c:v>44.07</c:v>
                </c:pt>
                <c:pt idx="187">
                  <c:v>44.05</c:v>
                </c:pt>
                <c:pt idx="188">
                  <c:v>41.94</c:v>
                </c:pt>
                <c:pt idx="189">
                  <c:v>41.98</c:v>
                </c:pt>
                <c:pt idx="190">
                  <c:v>42.28</c:v>
                </c:pt>
                <c:pt idx="191">
                  <c:v>41.57</c:v>
                </c:pt>
                <c:pt idx="192">
                  <c:v>41.6</c:v>
                </c:pt>
                <c:pt idx="193">
                  <c:v>41.93</c:v>
                </c:pt>
                <c:pt idx="194">
                  <c:v>41.82</c:v>
                </c:pt>
                <c:pt idx="195">
                  <c:v>39.380000000000003</c:v>
                </c:pt>
                <c:pt idx="196">
                  <c:v>40.04</c:v>
                </c:pt>
                <c:pt idx="197">
                  <c:v>39.97</c:v>
                </c:pt>
                <c:pt idx="198">
                  <c:v>39.35</c:v>
                </c:pt>
                <c:pt idx="199">
                  <c:v>39.9</c:v>
                </c:pt>
                <c:pt idx="200">
                  <c:v>39.619999999999997</c:v>
                </c:pt>
                <c:pt idx="201">
                  <c:v>40.04</c:v>
                </c:pt>
                <c:pt idx="202">
                  <c:v>39.549999999999997</c:v>
                </c:pt>
                <c:pt idx="203">
                  <c:v>39.369999999999997</c:v>
                </c:pt>
                <c:pt idx="204">
                  <c:v>38.880000000000003</c:v>
                </c:pt>
                <c:pt idx="205">
                  <c:v>38.96</c:v>
                </c:pt>
                <c:pt idx="206">
                  <c:v>39.549999999999997</c:v>
                </c:pt>
                <c:pt idx="207">
                  <c:v>39</c:v>
                </c:pt>
                <c:pt idx="208">
                  <c:v>37.89</c:v>
                </c:pt>
                <c:pt idx="209">
                  <c:v>38.36</c:v>
                </c:pt>
                <c:pt idx="210">
                  <c:v>38.22</c:v>
                </c:pt>
                <c:pt idx="211">
                  <c:v>37.979999999999997</c:v>
                </c:pt>
                <c:pt idx="212">
                  <c:v>38.39</c:v>
                </c:pt>
                <c:pt idx="213">
                  <c:v>38.409999999999997</c:v>
                </c:pt>
                <c:pt idx="214">
                  <c:v>38.71</c:v>
                </c:pt>
                <c:pt idx="215">
                  <c:v>39.24</c:v>
                </c:pt>
                <c:pt idx="216">
                  <c:v>38.5</c:v>
                </c:pt>
                <c:pt idx="217">
                  <c:v>38.090000000000003</c:v>
                </c:pt>
                <c:pt idx="218">
                  <c:v>37.67</c:v>
                </c:pt>
                <c:pt idx="219">
                  <c:v>37.01</c:v>
                </c:pt>
                <c:pt idx="220">
                  <c:v>36.909999999999997</c:v>
                </c:pt>
                <c:pt idx="221">
                  <c:v>36.39</c:v>
                </c:pt>
                <c:pt idx="222">
                  <c:v>36.47</c:v>
                </c:pt>
                <c:pt idx="223">
                  <c:v>36.93</c:v>
                </c:pt>
                <c:pt idx="224">
                  <c:v>37.630000000000003</c:v>
                </c:pt>
                <c:pt idx="225">
                  <c:v>37.74</c:v>
                </c:pt>
                <c:pt idx="226">
                  <c:v>37.450000000000003</c:v>
                </c:pt>
                <c:pt idx="227">
                  <c:v>36.6</c:v>
                </c:pt>
                <c:pt idx="228">
                  <c:v>36.979999999999997</c:v>
                </c:pt>
                <c:pt idx="229">
                  <c:v>36.590000000000003</c:v>
                </c:pt>
                <c:pt idx="230">
                  <c:v>36.04</c:v>
                </c:pt>
                <c:pt idx="231">
                  <c:v>35.799999999999997</c:v>
                </c:pt>
                <c:pt idx="232">
                  <c:v>36.75</c:v>
                </c:pt>
                <c:pt idx="233">
                  <c:v>35.11</c:v>
                </c:pt>
                <c:pt idx="234">
                  <c:v>36.17</c:v>
                </c:pt>
                <c:pt idx="235">
                  <c:v>36.26</c:v>
                </c:pt>
                <c:pt idx="236">
                  <c:v>35.299999999999997</c:v>
                </c:pt>
                <c:pt idx="237">
                  <c:v>36.03</c:v>
                </c:pt>
                <c:pt idx="238">
                  <c:v>36.090000000000003</c:v>
                </c:pt>
                <c:pt idx="239">
                  <c:v>36.35</c:v>
                </c:pt>
                <c:pt idx="240">
                  <c:v>37.5</c:v>
                </c:pt>
                <c:pt idx="241">
                  <c:v>37.229999999999997</c:v>
                </c:pt>
                <c:pt idx="242">
                  <c:v>36.71</c:v>
                </c:pt>
                <c:pt idx="243">
                  <c:v>37.200000000000003</c:v>
                </c:pt>
                <c:pt idx="244">
                  <c:v>36.799999999999997</c:v>
                </c:pt>
                <c:pt idx="245">
                  <c:v>37.26</c:v>
                </c:pt>
                <c:pt idx="246">
                  <c:v>36.479999999999997</c:v>
                </c:pt>
                <c:pt idx="247">
                  <c:v>36.6</c:v>
                </c:pt>
                <c:pt idx="248">
                  <c:v>36.71</c:v>
                </c:pt>
                <c:pt idx="249">
                  <c:v>37.57</c:v>
                </c:pt>
                <c:pt idx="250">
                  <c:v>36.840000000000003</c:v>
                </c:pt>
                <c:pt idx="251">
                  <c:v>37.76</c:v>
                </c:pt>
                <c:pt idx="252">
                  <c:v>38.08</c:v>
                </c:pt>
                <c:pt idx="253">
                  <c:v>37.950000000000003</c:v>
                </c:pt>
                <c:pt idx="254">
                  <c:v>37.659999999999997</c:v>
                </c:pt>
                <c:pt idx="255">
                  <c:v>38.369999999999997</c:v>
                </c:pt>
                <c:pt idx="256">
                  <c:v>37.67</c:v>
                </c:pt>
                <c:pt idx="257">
                  <c:v>38.090000000000003</c:v>
                </c:pt>
                <c:pt idx="258">
                  <c:v>37.83</c:v>
                </c:pt>
                <c:pt idx="259">
                  <c:v>38.06</c:v>
                </c:pt>
                <c:pt idx="260">
                  <c:v>37.24</c:v>
                </c:pt>
                <c:pt idx="261">
                  <c:v>36.94</c:v>
                </c:pt>
                <c:pt idx="262">
                  <c:v>36.49</c:v>
                </c:pt>
                <c:pt idx="263">
                  <c:v>36.479999999999997</c:v>
                </c:pt>
                <c:pt idx="264">
                  <c:v>38.08</c:v>
                </c:pt>
                <c:pt idx="265">
                  <c:v>37.75</c:v>
                </c:pt>
                <c:pt idx="266">
                  <c:v>37.99</c:v>
                </c:pt>
                <c:pt idx="267">
                  <c:v>38.590000000000003</c:v>
                </c:pt>
                <c:pt idx="268">
                  <c:v>38.700000000000003</c:v>
                </c:pt>
                <c:pt idx="269">
                  <c:v>37.89</c:v>
                </c:pt>
                <c:pt idx="270">
                  <c:v>37.96</c:v>
                </c:pt>
                <c:pt idx="271">
                  <c:v>37.31</c:v>
                </c:pt>
                <c:pt idx="272">
                  <c:v>36.19</c:v>
                </c:pt>
                <c:pt idx="273">
                  <c:v>35.47</c:v>
                </c:pt>
                <c:pt idx="274">
                  <c:v>36.159999999999997</c:v>
                </c:pt>
                <c:pt idx="275">
                  <c:v>35.54</c:v>
                </c:pt>
                <c:pt idx="276">
                  <c:v>35.39</c:v>
                </c:pt>
                <c:pt idx="277">
                  <c:v>35.61</c:v>
                </c:pt>
                <c:pt idx="278">
                  <c:v>36.49</c:v>
                </c:pt>
                <c:pt idx="279">
                  <c:v>37.24</c:v>
                </c:pt>
                <c:pt idx="280">
                  <c:v>36.71</c:v>
                </c:pt>
                <c:pt idx="281">
                  <c:v>36.659999999999997</c:v>
                </c:pt>
                <c:pt idx="282">
                  <c:v>36.49</c:v>
                </c:pt>
                <c:pt idx="283">
                  <c:v>36.24</c:v>
                </c:pt>
                <c:pt idx="284">
                  <c:v>35.409999999999997</c:v>
                </c:pt>
                <c:pt idx="285">
                  <c:v>34.909999999999997</c:v>
                </c:pt>
                <c:pt idx="286">
                  <c:v>34.96</c:v>
                </c:pt>
                <c:pt idx="287">
                  <c:v>35.119999999999997</c:v>
                </c:pt>
                <c:pt idx="288">
                  <c:v>35.53</c:v>
                </c:pt>
                <c:pt idx="289">
                  <c:v>35.42</c:v>
                </c:pt>
                <c:pt idx="290">
                  <c:v>34.94</c:v>
                </c:pt>
                <c:pt idx="291">
                  <c:v>34.590000000000003</c:v>
                </c:pt>
                <c:pt idx="292">
                  <c:v>34.74</c:v>
                </c:pt>
                <c:pt idx="293">
                  <c:v>33.799999999999997</c:v>
                </c:pt>
                <c:pt idx="294">
                  <c:v>33.69</c:v>
                </c:pt>
                <c:pt idx="295">
                  <c:v>34.590000000000003</c:v>
                </c:pt>
                <c:pt idx="296">
                  <c:v>35.11</c:v>
                </c:pt>
                <c:pt idx="297">
                  <c:v>34.479999999999997</c:v>
                </c:pt>
                <c:pt idx="298">
                  <c:v>32.99</c:v>
                </c:pt>
                <c:pt idx="299">
                  <c:v>33.24</c:v>
                </c:pt>
                <c:pt idx="300">
                  <c:v>33.92</c:v>
                </c:pt>
                <c:pt idx="301">
                  <c:v>34.18</c:v>
                </c:pt>
                <c:pt idx="302">
                  <c:v>33.909999999999997</c:v>
                </c:pt>
                <c:pt idx="303">
                  <c:v>34.17</c:v>
                </c:pt>
                <c:pt idx="304">
                  <c:v>36.22</c:v>
                </c:pt>
                <c:pt idx="305">
                  <c:v>38.35</c:v>
                </c:pt>
                <c:pt idx="306">
                  <c:v>37.700000000000003</c:v>
                </c:pt>
                <c:pt idx="307">
                  <c:v>37.270000000000003</c:v>
                </c:pt>
                <c:pt idx="308">
                  <c:v>37.409999999999997</c:v>
                </c:pt>
                <c:pt idx="309">
                  <c:v>36.67</c:v>
                </c:pt>
                <c:pt idx="310">
                  <c:v>36.979999999999997</c:v>
                </c:pt>
                <c:pt idx="311">
                  <c:v>38.08</c:v>
                </c:pt>
                <c:pt idx="312">
                  <c:v>42.64</c:v>
                </c:pt>
                <c:pt idx="313">
                  <c:v>43.01</c:v>
                </c:pt>
                <c:pt idx="314">
                  <c:v>42.6</c:v>
                </c:pt>
                <c:pt idx="315">
                  <c:v>42.24</c:v>
                </c:pt>
                <c:pt idx="316">
                  <c:v>43.33</c:v>
                </c:pt>
                <c:pt idx="317">
                  <c:v>43.32</c:v>
                </c:pt>
                <c:pt idx="318">
                  <c:v>43.85</c:v>
                </c:pt>
                <c:pt idx="319">
                  <c:v>43.08</c:v>
                </c:pt>
                <c:pt idx="320">
                  <c:v>41.43</c:v>
                </c:pt>
                <c:pt idx="321">
                  <c:v>41.95</c:v>
                </c:pt>
                <c:pt idx="322">
                  <c:v>42.57</c:v>
                </c:pt>
                <c:pt idx="323">
                  <c:v>42.43</c:v>
                </c:pt>
                <c:pt idx="324">
                  <c:v>42.83</c:v>
                </c:pt>
                <c:pt idx="325">
                  <c:v>43.57</c:v>
                </c:pt>
                <c:pt idx="326">
                  <c:v>42.99</c:v>
                </c:pt>
                <c:pt idx="327">
                  <c:v>42.73</c:v>
                </c:pt>
                <c:pt idx="328">
                  <c:v>40.93</c:v>
                </c:pt>
                <c:pt idx="329">
                  <c:v>40.93</c:v>
                </c:pt>
                <c:pt idx="330">
                  <c:v>40.65</c:v>
                </c:pt>
                <c:pt idx="331">
                  <c:v>41.82</c:v>
                </c:pt>
                <c:pt idx="332">
                  <c:v>41.71</c:v>
                </c:pt>
                <c:pt idx="333">
                  <c:v>42.52</c:v>
                </c:pt>
                <c:pt idx="334">
                  <c:v>42.69</c:v>
                </c:pt>
                <c:pt idx="335">
                  <c:v>42.57</c:v>
                </c:pt>
                <c:pt idx="336">
                  <c:v>41.1</c:v>
                </c:pt>
                <c:pt idx="337">
                  <c:v>41.77</c:v>
                </c:pt>
                <c:pt idx="338">
                  <c:v>41.64</c:v>
                </c:pt>
                <c:pt idx="339">
                  <c:v>41.4</c:v>
                </c:pt>
                <c:pt idx="340">
                  <c:v>42.03</c:v>
                </c:pt>
                <c:pt idx="341">
                  <c:v>41.71</c:v>
                </c:pt>
                <c:pt idx="342">
                  <c:v>41.82</c:v>
                </c:pt>
                <c:pt idx="343">
                  <c:v>41.21</c:v>
                </c:pt>
                <c:pt idx="344">
                  <c:v>39.14</c:v>
                </c:pt>
                <c:pt idx="345">
                  <c:v>38.82</c:v>
                </c:pt>
                <c:pt idx="346">
                  <c:v>38.57</c:v>
                </c:pt>
                <c:pt idx="347">
                  <c:v>38.79</c:v>
                </c:pt>
                <c:pt idx="348">
                  <c:v>38.74</c:v>
                </c:pt>
                <c:pt idx="349">
                  <c:v>38.549999999999997</c:v>
                </c:pt>
                <c:pt idx="350">
                  <c:v>37.72</c:v>
                </c:pt>
                <c:pt idx="351">
                  <c:v>37.43</c:v>
                </c:pt>
                <c:pt idx="352">
                  <c:v>36.42</c:v>
                </c:pt>
                <c:pt idx="353">
                  <c:v>36.590000000000003</c:v>
                </c:pt>
                <c:pt idx="354">
                  <c:v>35.75</c:v>
                </c:pt>
                <c:pt idx="355">
                  <c:v>35.880000000000003</c:v>
                </c:pt>
                <c:pt idx="356">
                  <c:v>36.549999999999997</c:v>
                </c:pt>
                <c:pt idx="357">
                  <c:v>36.5</c:v>
                </c:pt>
                <c:pt idx="358">
                  <c:v>35.979999999999997</c:v>
                </c:pt>
                <c:pt idx="359">
                  <c:v>35.78</c:v>
                </c:pt>
                <c:pt idx="360">
                  <c:v>37.21</c:v>
                </c:pt>
                <c:pt idx="361">
                  <c:v>37.08</c:v>
                </c:pt>
                <c:pt idx="362">
                  <c:v>37</c:v>
                </c:pt>
                <c:pt idx="363">
                  <c:v>37.24</c:v>
                </c:pt>
                <c:pt idx="364">
                  <c:v>37.119999999999997</c:v>
                </c:pt>
                <c:pt idx="365">
                  <c:v>36.299999999999997</c:v>
                </c:pt>
                <c:pt idx="366">
                  <c:v>38.22</c:v>
                </c:pt>
                <c:pt idx="367">
                  <c:v>38.450000000000003</c:v>
                </c:pt>
                <c:pt idx="368">
                  <c:v>38.42</c:v>
                </c:pt>
                <c:pt idx="369">
                  <c:v>39.15</c:v>
                </c:pt>
                <c:pt idx="370">
                  <c:v>38.58</c:v>
                </c:pt>
                <c:pt idx="371">
                  <c:v>37.5</c:v>
                </c:pt>
                <c:pt idx="372">
                  <c:v>36.36</c:v>
                </c:pt>
                <c:pt idx="373">
                  <c:v>36.159999999999997</c:v>
                </c:pt>
                <c:pt idx="374">
                  <c:v>36.200000000000003</c:v>
                </c:pt>
                <c:pt idx="375">
                  <c:v>33.74</c:v>
                </c:pt>
                <c:pt idx="376">
                  <c:v>32.44</c:v>
                </c:pt>
                <c:pt idx="377">
                  <c:v>33.24</c:v>
                </c:pt>
                <c:pt idx="378">
                  <c:v>34.090000000000003</c:v>
                </c:pt>
                <c:pt idx="379">
                  <c:v>34.479999999999997</c:v>
                </c:pt>
                <c:pt idx="380">
                  <c:v>33.520000000000003</c:v>
                </c:pt>
                <c:pt idx="381">
                  <c:v>34.770000000000003</c:v>
                </c:pt>
                <c:pt idx="382">
                  <c:v>32.83</c:v>
                </c:pt>
                <c:pt idx="383">
                  <c:v>30.84</c:v>
                </c:pt>
                <c:pt idx="384">
                  <c:v>32.9</c:v>
                </c:pt>
                <c:pt idx="385">
                  <c:v>33.25</c:v>
                </c:pt>
                <c:pt idx="386">
                  <c:v>33.380000000000003</c:v>
                </c:pt>
                <c:pt idx="387">
                  <c:v>32.340000000000003</c:v>
                </c:pt>
                <c:pt idx="388">
                  <c:v>33.1</c:v>
                </c:pt>
                <c:pt idx="389">
                  <c:v>35.04</c:v>
                </c:pt>
                <c:pt idx="390">
                  <c:v>36.89</c:v>
                </c:pt>
                <c:pt idx="391">
                  <c:v>36.979999999999997</c:v>
                </c:pt>
                <c:pt idx="392">
                  <c:v>36.6</c:v>
                </c:pt>
                <c:pt idx="393">
                  <c:v>35.56</c:v>
                </c:pt>
                <c:pt idx="394">
                  <c:v>36.06</c:v>
                </c:pt>
                <c:pt idx="395">
                  <c:v>37.51</c:v>
                </c:pt>
                <c:pt idx="396">
                  <c:v>37.14</c:v>
                </c:pt>
                <c:pt idx="397">
                  <c:v>37.340000000000003</c:v>
                </c:pt>
                <c:pt idx="398">
                  <c:v>36.979999999999997</c:v>
                </c:pt>
                <c:pt idx="399">
                  <c:v>37.44</c:v>
                </c:pt>
                <c:pt idx="400">
                  <c:v>36.26</c:v>
                </c:pt>
                <c:pt idx="401">
                  <c:v>38.14</c:v>
                </c:pt>
                <c:pt idx="402">
                  <c:v>38.25</c:v>
                </c:pt>
                <c:pt idx="403">
                  <c:v>37.78</c:v>
                </c:pt>
                <c:pt idx="404">
                  <c:v>41.9</c:v>
                </c:pt>
                <c:pt idx="405">
                  <c:v>41.45</c:v>
                </c:pt>
                <c:pt idx="406">
                  <c:v>39.49</c:v>
                </c:pt>
                <c:pt idx="407">
                  <c:v>38.700000000000003</c:v>
                </c:pt>
                <c:pt idx="408">
                  <c:v>40.44</c:v>
                </c:pt>
                <c:pt idx="409">
                  <c:v>40.47</c:v>
                </c:pt>
                <c:pt idx="410">
                  <c:v>41.37</c:v>
                </c:pt>
                <c:pt idx="411">
                  <c:v>42.75</c:v>
                </c:pt>
                <c:pt idx="412">
                  <c:v>42.34</c:v>
                </c:pt>
                <c:pt idx="413">
                  <c:v>41.45</c:v>
                </c:pt>
                <c:pt idx="414">
                  <c:v>40.64</c:v>
                </c:pt>
                <c:pt idx="415">
                  <c:v>38.49</c:v>
                </c:pt>
                <c:pt idx="416">
                  <c:v>36.58</c:v>
                </c:pt>
                <c:pt idx="417">
                  <c:v>41.41</c:v>
                </c:pt>
                <c:pt idx="418">
                  <c:v>45.81</c:v>
                </c:pt>
                <c:pt idx="419">
                  <c:v>45.43</c:v>
                </c:pt>
                <c:pt idx="420">
                  <c:v>45.43</c:v>
                </c:pt>
                <c:pt idx="421">
                  <c:v>44.5</c:v>
                </c:pt>
                <c:pt idx="422">
                  <c:v>43.68</c:v>
                </c:pt>
                <c:pt idx="423">
                  <c:v>44.91</c:v>
                </c:pt>
                <c:pt idx="424">
                  <c:v>45.42</c:v>
                </c:pt>
                <c:pt idx="425">
                  <c:v>46.07</c:v>
                </c:pt>
                <c:pt idx="426">
                  <c:v>45.55</c:v>
                </c:pt>
                <c:pt idx="427">
                  <c:v>45.96</c:v>
                </c:pt>
                <c:pt idx="428">
                  <c:v>44.01</c:v>
                </c:pt>
                <c:pt idx="429">
                  <c:v>44.38</c:v>
                </c:pt>
                <c:pt idx="430">
                  <c:v>43.13</c:v>
                </c:pt>
                <c:pt idx="431">
                  <c:v>42.17</c:v>
                </c:pt>
                <c:pt idx="432">
                  <c:v>42.24</c:v>
                </c:pt>
                <c:pt idx="433">
                  <c:v>41.42</c:v>
                </c:pt>
                <c:pt idx="434">
                  <c:v>39.31</c:v>
                </c:pt>
                <c:pt idx="435">
                  <c:v>38.51</c:v>
                </c:pt>
                <c:pt idx="436">
                  <c:v>38.96</c:v>
                </c:pt>
                <c:pt idx="437">
                  <c:v>38.07</c:v>
                </c:pt>
                <c:pt idx="438">
                  <c:v>37.79</c:v>
                </c:pt>
                <c:pt idx="439">
                  <c:v>36.9</c:v>
                </c:pt>
                <c:pt idx="440">
                  <c:v>35.96</c:v>
                </c:pt>
                <c:pt idx="441">
                  <c:v>36.340000000000003</c:v>
                </c:pt>
                <c:pt idx="442">
                  <c:v>36.57</c:v>
                </c:pt>
                <c:pt idx="443">
                  <c:v>36.46</c:v>
                </c:pt>
                <c:pt idx="444">
                  <c:v>37.369999999999997</c:v>
                </c:pt>
                <c:pt idx="445">
                  <c:v>37.97</c:v>
                </c:pt>
                <c:pt idx="446">
                  <c:v>39.26</c:v>
                </c:pt>
                <c:pt idx="447">
                  <c:v>37.229999999999997</c:v>
                </c:pt>
                <c:pt idx="448">
                  <c:v>37.51</c:v>
                </c:pt>
                <c:pt idx="449">
                  <c:v>37.799999999999997</c:v>
                </c:pt>
                <c:pt idx="450">
                  <c:v>39.409999999999997</c:v>
                </c:pt>
                <c:pt idx="451">
                  <c:v>40.04</c:v>
                </c:pt>
                <c:pt idx="452">
                  <c:v>39.47</c:v>
                </c:pt>
                <c:pt idx="453">
                  <c:v>39.19</c:v>
                </c:pt>
                <c:pt idx="454">
                  <c:v>39.4</c:v>
                </c:pt>
                <c:pt idx="455">
                  <c:v>38.96</c:v>
                </c:pt>
                <c:pt idx="456">
                  <c:v>35.92</c:v>
                </c:pt>
                <c:pt idx="457">
                  <c:v>36.479999999999997</c:v>
                </c:pt>
                <c:pt idx="458">
                  <c:v>37.57</c:v>
                </c:pt>
                <c:pt idx="459">
                  <c:v>37.53</c:v>
                </c:pt>
                <c:pt idx="460">
                  <c:v>39.880000000000003</c:v>
                </c:pt>
                <c:pt idx="461">
                  <c:v>39.03</c:v>
                </c:pt>
                <c:pt idx="462">
                  <c:v>39.46</c:v>
                </c:pt>
                <c:pt idx="463">
                  <c:v>38.119999999999997</c:v>
                </c:pt>
                <c:pt idx="464">
                  <c:v>36.619999999999997</c:v>
                </c:pt>
                <c:pt idx="465">
                  <c:v>35.840000000000003</c:v>
                </c:pt>
                <c:pt idx="466">
                  <c:v>35.909999999999997</c:v>
                </c:pt>
                <c:pt idx="467">
                  <c:v>36.97</c:v>
                </c:pt>
                <c:pt idx="468">
                  <c:v>36.89</c:v>
                </c:pt>
                <c:pt idx="469">
                  <c:v>35.76</c:v>
                </c:pt>
                <c:pt idx="470">
                  <c:v>36.08</c:v>
                </c:pt>
                <c:pt idx="471">
                  <c:v>34.36</c:v>
                </c:pt>
                <c:pt idx="472">
                  <c:v>35.49</c:v>
                </c:pt>
                <c:pt idx="473">
                  <c:v>36.74</c:v>
                </c:pt>
                <c:pt idx="474">
                  <c:v>38.19</c:v>
                </c:pt>
                <c:pt idx="475">
                  <c:v>38.47</c:v>
                </c:pt>
                <c:pt idx="476">
                  <c:v>38.42</c:v>
                </c:pt>
                <c:pt idx="477">
                  <c:v>36.17</c:v>
                </c:pt>
                <c:pt idx="478">
                  <c:v>37.4</c:v>
                </c:pt>
                <c:pt idx="479">
                  <c:v>37.54</c:v>
                </c:pt>
                <c:pt idx="480">
                  <c:v>37.54</c:v>
                </c:pt>
                <c:pt idx="481">
                  <c:v>35.6</c:v>
                </c:pt>
                <c:pt idx="482">
                  <c:v>35.94</c:v>
                </c:pt>
                <c:pt idx="483">
                  <c:v>36.07</c:v>
                </c:pt>
                <c:pt idx="484">
                  <c:v>36.340000000000003</c:v>
                </c:pt>
                <c:pt idx="485">
                  <c:v>38.86</c:v>
                </c:pt>
                <c:pt idx="486">
                  <c:v>40.99</c:v>
                </c:pt>
                <c:pt idx="487">
                  <c:v>41.82</c:v>
                </c:pt>
                <c:pt idx="488">
                  <c:v>41.38</c:v>
                </c:pt>
                <c:pt idx="489">
                  <c:v>47.24</c:v>
                </c:pt>
                <c:pt idx="490">
                  <c:v>47.86</c:v>
                </c:pt>
                <c:pt idx="491">
                  <c:v>45.95</c:v>
                </c:pt>
                <c:pt idx="492">
                  <c:v>46.11</c:v>
                </c:pt>
                <c:pt idx="493">
                  <c:v>44.42</c:v>
                </c:pt>
                <c:pt idx="494">
                  <c:v>45.07</c:v>
                </c:pt>
                <c:pt idx="495">
                  <c:v>45.91</c:v>
                </c:pt>
                <c:pt idx="496">
                  <c:v>48.5</c:v>
                </c:pt>
                <c:pt idx="497">
                  <c:v>46.86</c:v>
                </c:pt>
                <c:pt idx="498">
                  <c:v>42.58</c:v>
                </c:pt>
                <c:pt idx="499">
                  <c:v>48.45</c:v>
                </c:pt>
                <c:pt idx="500">
                  <c:v>49.49</c:v>
                </c:pt>
                <c:pt idx="501">
                  <c:v>46.82</c:v>
                </c:pt>
                <c:pt idx="502">
                  <c:v>48.76</c:v>
                </c:pt>
                <c:pt idx="503">
                  <c:v>49.11</c:v>
                </c:pt>
                <c:pt idx="504">
                  <c:v>47.07</c:v>
                </c:pt>
                <c:pt idx="505">
                  <c:v>46.77</c:v>
                </c:pt>
                <c:pt idx="506">
                  <c:v>43.5</c:v>
                </c:pt>
                <c:pt idx="507">
                  <c:v>45.39</c:v>
                </c:pt>
                <c:pt idx="508">
                  <c:v>46.38</c:v>
                </c:pt>
                <c:pt idx="509">
                  <c:v>43.75</c:v>
                </c:pt>
                <c:pt idx="510">
                  <c:v>41.97</c:v>
                </c:pt>
                <c:pt idx="511">
                  <c:v>40.32</c:v>
                </c:pt>
                <c:pt idx="512">
                  <c:v>43.16</c:v>
                </c:pt>
                <c:pt idx="513">
                  <c:v>42.92</c:v>
                </c:pt>
                <c:pt idx="514">
                  <c:v>44.3</c:v>
                </c:pt>
                <c:pt idx="515">
                  <c:v>47.71</c:v>
                </c:pt>
                <c:pt idx="516">
                  <c:v>49.24</c:v>
                </c:pt>
                <c:pt idx="517">
                  <c:v>49.15</c:v>
                </c:pt>
                <c:pt idx="518">
                  <c:v>49.59</c:v>
                </c:pt>
                <c:pt idx="519">
                  <c:v>48.14</c:v>
                </c:pt>
                <c:pt idx="520">
                  <c:v>45.59</c:v>
                </c:pt>
                <c:pt idx="521">
                  <c:v>46.48</c:v>
                </c:pt>
                <c:pt idx="522">
                  <c:v>45.44</c:v>
                </c:pt>
                <c:pt idx="523">
                  <c:v>45.79</c:v>
                </c:pt>
                <c:pt idx="524">
                  <c:v>43.9</c:v>
                </c:pt>
                <c:pt idx="525">
                  <c:v>41.25</c:v>
                </c:pt>
                <c:pt idx="526">
                  <c:v>41.44</c:v>
                </c:pt>
                <c:pt idx="527">
                  <c:v>43.02</c:v>
                </c:pt>
                <c:pt idx="528">
                  <c:v>39.47</c:v>
                </c:pt>
                <c:pt idx="529">
                  <c:v>41.2</c:v>
                </c:pt>
                <c:pt idx="530">
                  <c:v>37.11</c:v>
                </c:pt>
                <c:pt idx="531">
                  <c:v>37.26</c:v>
                </c:pt>
                <c:pt idx="532">
                  <c:v>38.979999999999997</c:v>
                </c:pt>
                <c:pt idx="533">
                  <c:v>37.06</c:v>
                </c:pt>
                <c:pt idx="534">
                  <c:v>36.42</c:v>
                </c:pt>
                <c:pt idx="535">
                  <c:v>37.01</c:v>
                </c:pt>
                <c:pt idx="536">
                  <c:v>37.06</c:v>
                </c:pt>
                <c:pt idx="537">
                  <c:v>38.74</c:v>
                </c:pt>
                <c:pt idx="538">
                  <c:v>35.74</c:v>
                </c:pt>
                <c:pt idx="539">
                  <c:v>39.380000000000003</c:v>
                </c:pt>
                <c:pt idx="540">
                  <c:v>38.25</c:v>
                </c:pt>
                <c:pt idx="541">
                  <c:v>40.36</c:v>
                </c:pt>
                <c:pt idx="542">
                  <c:v>43.65</c:v>
                </c:pt>
                <c:pt idx="543">
                  <c:v>44.19</c:v>
                </c:pt>
                <c:pt idx="544">
                  <c:v>44.73</c:v>
                </c:pt>
                <c:pt idx="545">
                  <c:v>52.53</c:v>
                </c:pt>
                <c:pt idx="546">
                  <c:v>47.97</c:v>
                </c:pt>
                <c:pt idx="547">
                  <c:v>47.72</c:v>
                </c:pt>
                <c:pt idx="548">
                  <c:v>45.76</c:v>
                </c:pt>
                <c:pt idx="549">
                  <c:v>46.55</c:v>
                </c:pt>
                <c:pt idx="550">
                  <c:v>46.94</c:v>
                </c:pt>
                <c:pt idx="551">
                  <c:v>49.69</c:v>
                </c:pt>
                <c:pt idx="552">
                  <c:v>53.66</c:v>
                </c:pt>
                <c:pt idx="553">
                  <c:v>52.16</c:v>
                </c:pt>
                <c:pt idx="554">
                  <c:v>47.41</c:v>
                </c:pt>
                <c:pt idx="555">
                  <c:v>45.06</c:v>
                </c:pt>
                <c:pt idx="556">
                  <c:v>45.56</c:v>
                </c:pt>
                <c:pt idx="557">
                  <c:v>46.24</c:v>
                </c:pt>
                <c:pt idx="558">
                  <c:v>43.3</c:v>
                </c:pt>
                <c:pt idx="559">
                  <c:v>39.14</c:v>
                </c:pt>
                <c:pt idx="560">
                  <c:v>41.58</c:v>
                </c:pt>
                <c:pt idx="561">
                  <c:v>38.450000000000003</c:v>
                </c:pt>
                <c:pt idx="562">
                  <c:v>40.07</c:v>
                </c:pt>
                <c:pt idx="563">
                  <c:v>42.32</c:v>
                </c:pt>
                <c:pt idx="564">
                  <c:v>43.08</c:v>
                </c:pt>
                <c:pt idx="565">
                  <c:v>44.84</c:v>
                </c:pt>
                <c:pt idx="566">
                  <c:v>48.49</c:v>
                </c:pt>
                <c:pt idx="567">
                  <c:v>45.95</c:v>
                </c:pt>
                <c:pt idx="568">
                  <c:v>46.74</c:v>
                </c:pt>
                <c:pt idx="569">
                  <c:v>46.3</c:v>
                </c:pt>
                <c:pt idx="570">
                  <c:v>47.32</c:v>
                </c:pt>
                <c:pt idx="571">
                  <c:v>48.64</c:v>
                </c:pt>
              </c:numCache>
            </c:numRef>
          </c:val>
        </c:ser>
        <c:ser>
          <c:idx val="1"/>
          <c:order val="1"/>
          <c:tx>
            <c:v>Intrinsic Value</c:v>
          </c:tx>
          <c:spPr>
            <a:ln w="25400">
              <a:solidFill>
                <a:srgbClr val="FF0000"/>
              </a:solidFill>
            </a:ln>
          </c:spPr>
          <c:marker>
            <c:symbol val="none"/>
          </c:marker>
          <c:cat>
            <c:numRef>
              <c:f>PriceValueGraph!$E$38:$E$387</c:f>
              <c:numCache>
                <c:formatCode>m/d/yyyy</c:formatCode>
                <c:ptCount val="350"/>
                <c:pt idx="0" formatCode="m/d/yyyy;@">
                  <c:v>40365</c:v>
                </c:pt>
                <c:pt idx="1">
                  <c:v>40357</c:v>
                </c:pt>
                <c:pt idx="2">
                  <c:v>40350</c:v>
                </c:pt>
                <c:pt idx="3">
                  <c:v>40343</c:v>
                </c:pt>
                <c:pt idx="4">
                  <c:v>40336</c:v>
                </c:pt>
                <c:pt idx="5">
                  <c:v>40330</c:v>
                </c:pt>
                <c:pt idx="6">
                  <c:v>40322</c:v>
                </c:pt>
                <c:pt idx="7">
                  <c:v>40315</c:v>
                </c:pt>
                <c:pt idx="8">
                  <c:v>40308</c:v>
                </c:pt>
                <c:pt idx="9">
                  <c:v>40301</c:v>
                </c:pt>
                <c:pt idx="10">
                  <c:v>40294</c:v>
                </c:pt>
                <c:pt idx="11">
                  <c:v>40287</c:v>
                </c:pt>
                <c:pt idx="12">
                  <c:v>40280</c:v>
                </c:pt>
                <c:pt idx="13">
                  <c:v>40273</c:v>
                </c:pt>
                <c:pt idx="14">
                  <c:v>40266</c:v>
                </c:pt>
                <c:pt idx="15">
                  <c:v>40259</c:v>
                </c:pt>
                <c:pt idx="16">
                  <c:v>40252</c:v>
                </c:pt>
                <c:pt idx="17">
                  <c:v>40245</c:v>
                </c:pt>
                <c:pt idx="18">
                  <c:v>40238</c:v>
                </c:pt>
                <c:pt idx="19">
                  <c:v>40231</c:v>
                </c:pt>
                <c:pt idx="20">
                  <c:v>40225</c:v>
                </c:pt>
                <c:pt idx="21">
                  <c:v>40217</c:v>
                </c:pt>
                <c:pt idx="22">
                  <c:v>40210</c:v>
                </c:pt>
                <c:pt idx="23">
                  <c:v>40203</c:v>
                </c:pt>
                <c:pt idx="24">
                  <c:v>40197</c:v>
                </c:pt>
                <c:pt idx="25">
                  <c:v>40189</c:v>
                </c:pt>
                <c:pt idx="26">
                  <c:v>40182</c:v>
                </c:pt>
                <c:pt idx="27">
                  <c:v>40175</c:v>
                </c:pt>
                <c:pt idx="28">
                  <c:v>40168</c:v>
                </c:pt>
                <c:pt idx="29">
                  <c:v>40161</c:v>
                </c:pt>
                <c:pt idx="30">
                  <c:v>40154</c:v>
                </c:pt>
                <c:pt idx="31">
                  <c:v>40147</c:v>
                </c:pt>
                <c:pt idx="32">
                  <c:v>40140</c:v>
                </c:pt>
                <c:pt idx="33">
                  <c:v>40133</c:v>
                </c:pt>
                <c:pt idx="34">
                  <c:v>40126</c:v>
                </c:pt>
                <c:pt idx="35">
                  <c:v>40119</c:v>
                </c:pt>
                <c:pt idx="36">
                  <c:v>40112</c:v>
                </c:pt>
                <c:pt idx="37">
                  <c:v>40105</c:v>
                </c:pt>
                <c:pt idx="38">
                  <c:v>40098</c:v>
                </c:pt>
                <c:pt idx="39">
                  <c:v>40091</c:v>
                </c:pt>
                <c:pt idx="40">
                  <c:v>40084</c:v>
                </c:pt>
                <c:pt idx="41">
                  <c:v>40077</c:v>
                </c:pt>
                <c:pt idx="42">
                  <c:v>40070</c:v>
                </c:pt>
                <c:pt idx="43">
                  <c:v>40064</c:v>
                </c:pt>
                <c:pt idx="44">
                  <c:v>40056</c:v>
                </c:pt>
                <c:pt idx="45">
                  <c:v>40049</c:v>
                </c:pt>
                <c:pt idx="46">
                  <c:v>40042</c:v>
                </c:pt>
                <c:pt idx="47">
                  <c:v>40035</c:v>
                </c:pt>
                <c:pt idx="48">
                  <c:v>40028</c:v>
                </c:pt>
                <c:pt idx="49">
                  <c:v>40021</c:v>
                </c:pt>
                <c:pt idx="50">
                  <c:v>40014</c:v>
                </c:pt>
                <c:pt idx="51">
                  <c:v>40007</c:v>
                </c:pt>
                <c:pt idx="52">
                  <c:v>40000</c:v>
                </c:pt>
                <c:pt idx="53">
                  <c:v>39993</c:v>
                </c:pt>
                <c:pt idx="54">
                  <c:v>39986</c:v>
                </c:pt>
                <c:pt idx="55">
                  <c:v>39979</c:v>
                </c:pt>
                <c:pt idx="56">
                  <c:v>39972</c:v>
                </c:pt>
                <c:pt idx="57">
                  <c:v>39965</c:v>
                </c:pt>
                <c:pt idx="58">
                  <c:v>39959</c:v>
                </c:pt>
                <c:pt idx="59">
                  <c:v>39951</c:v>
                </c:pt>
                <c:pt idx="60">
                  <c:v>39944</c:v>
                </c:pt>
                <c:pt idx="61">
                  <c:v>39937</c:v>
                </c:pt>
                <c:pt idx="62">
                  <c:v>39930</c:v>
                </c:pt>
                <c:pt idx="63">
                  <c:v>39923</c:v>
                </c:pt>
                <c:pt idx="64">
                  <c:v>39916</c:v>
                </c:pt>
                <c:pt idx="65">
                  <c:v>39909</c:v>
                </c:pt>
                <c:pt idx="66">
                  <c:v>39902</c:v>
                </c:pt>
                <c:pt idx="67">
                  <c:v>39895</c:v>
                </c:pt>
                <c:pt idx="68">
                  <c:v>39888</c:v>
                </c:pt>
                <c:pt idx="69">
                  <c:v>39881</c:v>
                </c:pt>
                <c:pt idx="70">
                  <c:v>39874</c:v>
                </c:pt>
                <c:pt idx="71">
                  <c:v>39867</c:v>
                </c:pt>
                <c:pt idx="72">
                  <c:v>39861</c:v>
                </c:pt>
                <c:pt idx="73">
                  <c:v>39853</c:v>
                </c:pt>
                <c:pt idx="74">
                  <c:v>39846</c:v>
                </c:pt>
                <c:pt idx="75">
                  <c:v>39839</c:v>
                </c:pt>
                <c:pt idx="76">
                  <c:v>39833</c:v>
                </c:pt>
                <c:pt idx="77">
                  <c:v>39825</c:v>
                </c:pt>
                <c:pt idx="78">
                  <c:v>39818</c:v>
                </c:pt>
                <c:pt idx="79">
                  <c:v>39811</c:v>
                </c:pt>
                <c:pt idx="80">
                  <c:v>39804</c:v>
                </c:pt>
                <c:pt idx="81">
                  <c:v>39797</c:v>
                </c:pt>
                <c:pt idx="82">
                  <c:v>39790</c:v>
                </c:pt>
                <c:pt idx="83">
                  <c:v>39783</c:v>
                </c:pt>
                <c:pt idx="84">
                  <c:v>39776</c:v>
                </c:pt>
                <c:pt idx="85">
                  <c:v>39769</c:v>
                </c:pt>
                <c:pt idx="86">
                  <c:v>39762</c:v>
                </c:pt>
                <c:pt idx="87">
                  <c:v>39755</c:v>
                </c:pt>
                <c:pt idx="88">
                  <c:v>39748</c:v>
                </c:pt>
                <c:pt idx="89">
                  <c:v>39741</c:v>
                </c:pt>
                <c:pt idx="90">
                  <c:v>39734</c:v>
                </c:pt>
                <c:pt idx="91">
                  <c:v>39727</c:v>
                </c:pt>
                <c:pt idx="92">
                  <c:v>39720</c:v>
                </c:pt>
                <c:pt idx="93">
                  <c:v>39713</c:v>
                </c:pt>
                <c:pt idx="94">
                  <c:v>39706</c:v>
                </c:pt>
                <c:pt idx="95">
                  <c:v>39699</c:v>
                </c:pt>
                <c:pt idx="96">
                  <c:v>39693</c:v>
                </c:pt>
                <c:pt idx="97">
                  <c:v>39685</c:v>
                </c:pt>
                <c:pt idx="98">
                  <c:v>39678</c:v>
                </c:pt>
                <c:pt idx="99">
                  <c:v>39671</c:v>
                </c:pt>
                <c:pt idx="100">
                  <c:v>39664</c:v>
                </c:pt>
                <c:pt idx="101">
                  <c:v>39657</c:v>
                </c:pt>
                <c:pt idx="102">
                  <c:v>39650</c:v>
                </c:pt>
                <c:pt idx="103">
                  <c:v>39643</c:v>
                </c:pt>
                <c:pt idx="104">
                  <c:v>39636</c:v>
                </c:pt>
                <c:pt idx="105">
                  <c:v>39629</c:v>
                </c:pt>
                <c:pt idx="106">
                  <c:v>39622</c:v>
                </c:pt>
                <c:pt idx="107">
                  <c:v>39615</c:v>
                </c:pt>
                <c:pt idx="108">
                  <c:v>39608</c:v>
                </c:pt>
                <c:pt idx="109">
                  <c:v>39601</c:v>
                </c:pt>
                <c:pt idx="110">
                  <c:v>39595</c:v>
                </c:pt>
                <c:pt idx="111">
                  <c:v>39587</c:v>
                </c:pt>
                <c:pt idx="112">
                  <c:v>39580</c:v>
                </c:pt>
                <c:pt idx="113">
                  <c:v>39573</c:v>
                </c:pt>
                <c:pt idx="114">
                  <c:v>39566</c:v>
                </c:pt>
                <c:pt idx="115">
                  <c:v>39559</c:v>
                </c:pt>
                <c:pt idx="116">
                  <c:v>39552</c:v>
                </c:pt>
                <c:pt idx="117">
                  <c:v>39545</c:v>
                </c:pt>
                <c:pt idx="118">
                  <c:v>39538</c:v>
                </c:pt>
                <c:pt idx="119">
                  <c:v>39531</c:v>
                </c:pt>
                <c:pt idx="120">
                  <c:v>39524</c:v>
                </c:pt>
                <c:pt idx="121">
                  <c:v>39517</c:v>
                </c:pt>
                <c:pt idx="122">
                  <c:v>39510</c:v>
                </c:pt>
                <c:pt idx="123">
                  <c:v>39503</c:v>
                </c:pt>
                <c:pt idx="124">
                  <c:v>39497</c:v>
                </c:pt>
                <c:pt idx="125">
                  <c:v>39489</c:v>
                </c:pt>
                <c:pt idx="126">
                  <c:v>39482</c:v>
                </c:pt>
                <c:pt idx="127">
                  <c:v>39475</c:v>
                </c:pt>
                <c:pt idx="128">
                  <c:v>39469</c:v>
                </c:pt>
                <c:pt idx="129">
                  <c:v>39461</c:v>
                </c:pt>
                <c:pt idx="130">
                  <c:v>39454</c:v>
                </c:pt>
                <c:pt idx="131">
                  <c:v>39447</c:v>
                </c:pt>
                <c:pt idx="132">
                  <c:v>39440</c:v>
                </c:pt>
                <c:pt idx="133">
                  <c:v>39433</c:v>
                </c:pt>
                <c:pt idx="134">
                  <c:v>39426</c:v>
                </c:pt>
                <c:pt idx="135">
                  <c:v>39419</c:v>
                </c:pt>
                <c:pt idx="136">
                  <c:v>39412</c:v>
                </c:pt>
                <c:pt idx="137">
                  <c:v>39405</c:v>
                </c:pt>
                <c:pt idx="138">
                  <c:v>39398</c:v>
                </c:pt>
                <c:pt idx="139">
                  <c:v>39391</c:v>
                </c:pt>
                <c:pt idx="140">
                  <c:v>39384</c:v>
                </c:pt>
                <c:pt idx="141">
                  <c:v>39377</c:v>
                </c:pt>
                <c:pt idx="142">
                  <c:v>39370</c:v>
                </c:pt>
                <c:pt idx="143">
                  <c:v>39363</c:v>
                </c:pt>
                <c:pt idx="144">
                  <c:v>39356</c:v>
                </c:pt>
                <c:pt idx="145">
                  <c:v>39349</c:v>
                </c:pt>
                <c:pt idx="146">
                  <c:v>39342</c:v>
                </c:pt>
                <c:pt idx="147">
                  <c:v>39335</c:v>
                </c:pt>
                <c:pt idx="148">
                  <c:v>39329</c:v>
                </c:pt>
                <c:pt idx="149">
                  <c:v>39321</c:v>
                </c:pt>
                <c:pt idx="150">
                  <c:v>39314</c:v>
                </c:pt>
                <c:pt idx="151">
                  <c:v>39307</c:v>
                </c:pt>
                <c:pt idx="152">
                  <c:v>39300</c:v>
                </c:pt>
                <c:pt idx="153">
                  <c:v>39293</c:v>
                </c:pt>
                <c:pt idx="154">
                  <c:v>39286</c:v>
                </c:pt>
                <c:pt idx="155">
                  <c:v>39279</c:v>
                </c:pt>
                <c:pt idx="156">
                  <c:v>39272</c:v>
                </c:pt>
                <c:pt idx="157">
                  <c:v>39265</c:v>
                </c:pt>
                <c:pt idx="158">
                  <c:v>39258</c:v>
                </c:pt>
                <c:pt idx="159">
                  <c:v>39251</c:v>
                </c:pt>
                <c:pt idx="160">
                  <c:v>39244</c:v>
                </c:pt>
                <c:pt idx="161">
                  <c:v>39237</c:v>
                </c:pt>
                <c:pt idx="162">
                  <c:v>39231</c:v>
                </c:pt>
                <c:pt idx="163">
                  <c:v>39223</c:v>
                </c:pt>
                <c:pt idx="164">
                  <c:v>39216</c:v>
                </c:pt>
                <c:pt idx="165">
                  <c:v>39209</c:v>
                </c:pt>
                <c:pt idx="166">
                  <c:v>39202</c:v>
                </c:pt>
                <c:pt idx="167">
                  <c:v>39195</c:v>
                </c:pt>
                <c:pt idx="168">
                  <c:v>39188</c:v>
                </c:pt>
                <c:pt idx="169">
                  <c:v>39181</c:v>
                </c:pt>
                <c:pt idx="170">
                  <c:v>39174</c:v>
                </c:pt>
                <c:pt idx="171">
                  <c:v>39167</c:v>
                </c:pt>
                <c:pt idx="172">
                  <c:v>39160</c:v>
                </c:pt>
                <c:pt idx="173">
                  <c:v>39153</c:v>
                </c:pt>
                <c:pt idx="174">
                  <c:v>39146</c:v>
                </c:pt>
                <c:pt idx="175">
                  <c:v>39139</c:v>
                </c:pt>
                <c:pt idx="176">
                  <c:v>39133</c:v>
                </c:pt>
                <c:pt idx="177">
                  <c:v>39125</c:v>
                </c:pt>
                <c:pt idx="178">
                  <c:v>39118</c:v>
                </c:pt>
                <c:pt idx="179">
                  <c:v>39111</c:v>
                </c:pt>
                <c:pt idx="180">
                  <c:v>39104</c:v>
                </c:pt>
                <c:pt idx="181">
                  <c:v>39098</c:v>
                </c:pt>
                <c:pt idx="182">
                  <c:v>39090</c:v>
                </c:pt>
                <c:pt idx="183">
                  <c:v>39085</c:v>
                </c:pt>
                <c:pt idx="184">
                  <c:v>39077</c:v>
                </c:pt>
                <c:pt idx="185">
                  <c:v>39069</c:v>
                </c:pt>
                <c:pt idx="186">
                  <c:v>39062</c:v>
                </c:pt>
                <c:pt idx="187">
                  <c:v>39055</c:v>
                </c:pt>
                <c:pt idx="188">
                  <c:v>39048</c:v>
                </c:pt>
                <c:pt idx="189">
                  <c:v>39041</c:v>
                </c:pt>
                <c:pt idx="190">
                  <c:v>39034</c:v>
                </c:pt>
                <c:pt idx="191">
                  <c:v>39027</c:v>
                </c:pt>
                <c:pt idx="192">
                  <c:v>39020</c:v>
                </c:pt>
                <c:pt idx="193">
                  <c:v>39013</c:v>
                </c:pt>
                <c:pt idx="194">
                  <c:v>39006</c:v>
                </c:pt>
                <c:pt idx="195">
                  <c:v>38999</c:v>
                </c:pt>
                <c:pt idx="196">
                  <c:v>38992</c:v>
                </c:pt>
                <c:pt idx="197">
                  <c:v>38985</c:v>
                </c:pt>
                <c:pt idx="198">
                  <c:v>38978</c:v>
                </c:pt>
                <c:pt idx="199">
                  <c:v>38971</c:v>
                </c:pt>
                <c:pt idx="200">
                  <c:v>38965</c:v>
                </c:pt>
                <c:pt idx="201">
                  <c:v>38957</c:v>
                </c:pt>
                <c:pt idx="202">
                  <c:v>38950</c:v>
                </c:pt>
                <c:pt idx="203">
                  <c:v>38943</c:v>
                </c:pt>
                <c:pt idx="204">
                  <c:v>38936</c:v>
                </c:pt>
                <c:pt idx="205">
                  <c:v>38929</c:v>
                </c:pt>
                <c:pt idx="206">
                  <c:v>38922</c:v>
                </c:pt>
                <c:pt idx="207">
                  <c:v>38915</c:v>
                </c:pt>
                <c:pt idx="208">
                  <c:v>38908</c:v>
                </c:pt>
                <c:pt idx="209">
                  <c:v>38901</c:v>
                </c:pt>
                <c:pt idx="210">
                  <c:v>38894</c:v>
                </c:pt>
                <c:pt idx="211">
                  <c:v>38887</c:v>
                </c:pt>
                <c:pt idx="212">
                  <c:v>38880</c:v>
                </c:pt>
                <c:pt idx="213">
                  <c:v>38873</c:v>
                </c:pt>
                <c:pt idx="214">
                  <c:v>38867</c:v>
                </c:pt>
                <c:pt idx="215">
                  <c:v>38859</c:v>
                </c:pt>
                <c:pt idx="216">
                  <c:v>38852</c:v>
                </c:pt>
                <c:pt idx="217">
                  <c:v>38845</c:v>
                </c:pt>
                <c:pt idx="218">
                  <c:v>38838</c:v>
                </c:pt>
                <c:pt idx="219">
                  <c:v>38831</c:v>
                </c:pt>
                <c:pt idx="220">
                  <c:v>38824</c:v>
                </c:pt>
                <c:pt idx="221">
                  <c:v>38817</c:v>
                </c:pt>
                <c:pt idx="222">
                  <c:v>38810</c:v>
                </c:pt>
                <c:pt idx="223">
                  <c:v>38803</c:v>
                </c:pt>
                <c:pt idx="224">
                  <c:v>38796</c:v>
                </c:pt>
                <c:pt idx="225">
                  <c:v>38789</c:v>
                </c:pt>
                <c:pt idx="226">
                  <c:v>38782</c:v>
                </c:pt>
                <c:pt idx="227">
                  <c:v>38775</c:v>
                </c:pt>
                <c:pt idx="228">
                  <c:v>38769</c:v>
                </c:pt>
                <c:pt idx="229">
                  <c:v>38761</c:v>
                </c:pt>
                <c:pt idx="230">
                  <c:v>38754</c:v>
                </c:pt>
                <c:pt idx="231">
                  <c:v>38747</c:v>
                </c:pt>
                <c:pt idx="232">
                  <c:v>38740</c:v>
                </c:pt>
                <c:pt idx="233">
                  <c:v>38734</c:v>
                </c:pt>
                <c:pt idx="234">
                  <c:v>38726</c:v>
                </c:pt>
                <c:pt idx="235">
                  <c:v>38720</c:v>
                </c:pt>
                <c:pt idx="236">
                  <c:v>38713</c:v>
                </c:pt>
                <c:pt idx="237">
                  <c:v>38705</c:v>
                </c:pt>
                <c:pt idx="238">
                  <c:v>38698</c:v>
                </c:pt>
                <c:pt idx="239">
                  <c:v>38691</c:v>
                </c:pt>
                <c:pt idx="240">
                  <c:v>38684</c:v>
                </c:pt>
                <c:pt idx="241">
                  <c:v>38677</c:v>
                </c:pt>
                <c:pt idx="242">
                  <c:v>38670</c:v>
                </c:pt>
                <c:pt idx="243">
                  <c:v>38663</c:v>
                </c:pt>
                <c:pt idx="244">
                  <c:v>38656</c:v>
                </c:pt>
                <c:pt idx="245">
                  <c:v>38649</c:v>
                </c:pt>
                <c:pt idx="246">
                  <c:v>38642</c:v>
                </c:pt>
                <c:pt idx="247">
                  <c:v>38635</c:v>
                </c:pt>
                <c:pt idx="248">
                  <c:v>38628</c:v>
                </c:pt>
                <c:pt idx="249">
                  <c:v>38621</c:v>
                </c:pt>
                <c:pt idx="250">
                  <c:v>38614</c:v>
                </c:pt>
                <c:pt idx="251">
                  <c:v>38607</c:v>
                </c:pt>
                <c:pt idx="252">
                  <c:v>38601</c:v>
                </c:pt>
                <c:pt idx="253">
                  <c:v>38593</c:v>
                </c:pt>
                <c:pt idx="254">
                  <c:v>38586</c:v>
                </c:pt>
                <c:pt idx="255">
                  <c:v>38579</c:v>
                </c:pt>
                <c:pt idx="256">
                  <c:v>38572</c:v>
                </c:pt>
                <c:pt idx="257">
                  <c:v>38565</c:v>
                </c:pt>
                <c:pt idx="258">
                  <c:v>38558</c:v>
                </c:pt>
                <c:pt idx="259">
                  <c:v>38551</c:v>
                </c:pt>
                <c:pt idx="260">
                  <c:v>38544</c:v>
                </c:pt>
                <c:pt idx="261">
                  <c:v>38538</c:v>
                </c:pt>
                <c:pt idx="262">
                  <c:v>38530</c:v>
                </c:pt>
                <c:pt idx="263">
                  <c:v>38523</c:v>
                </c:pt>
                <c:pt idx="264">
                  <c:v>38516</c:v>
                </c:pt>
                <c:pt idx="265">
                  <c:v>38509</c:v>
                </c:pt>
                <c:pt idx="266">
                  <c:v>38503</c:v>
                </c:pt>
                <c:pt idx="267">
                  <c:v>38495</c:v>
                </c:pt>
                <c:pt idx="268">
                  <c:v>38488</c:v>
                </c:pt>
                <c:pt idx="269">
                  <c:v>38481</c:v>
                </c:pt>
                <c:pt idx="270">
                  <c:v>38474</c:v>
                </c:pt>
                <c:pt idx="271">
                  <c:v>38467</c:v>
                </c:pt>
                <c:pt idx="272">
                  <c:v>38460</c:v>
                </c:pt>
                <c:pt idx="273">
                  <c:v>38453</c:v>
                </c:pt>
                <c:pt idx="274">
                  <c:v>38446</c:v>
                </c:pt>
                <c:pt idx="275">
                  <c:v>38439</c:v>
                </c:pt>
                <c:pt idx="276">
                  <c:v>38432</c:v>
                </c:pt>
                <c:pt idx="277">
                  <c:v>38425</c:v>
                </c:pt>
                <c:pt idx="278">
                  <c:v>38418</c:v>
                </c:pt>
                <c:pt idx="279">
                  <c:v>38411</c:v>
                </c:pt>
                <c:pt idx="280">
                  <c:v>38405</c:v>
                </c:pt>
                <c:pt idx="281">
                  <c:v>38397</c:v>
                </c:pt>
                <c:pt idx="282">
                  <c:v>38390</c:v>
                </c:pt>
                <c:pt idx="283">
                  <c:v>38383</c:v>
                </c:pt>
                <c:pt idx="284">
                  <c:v>38376</c:v>
                </c:pt>
                <c:pt idx="285">
                  <c:v>38370</c:v>
                </c:pt>
                <c:pt idx="286">
                  <c:v>38362</c:v>
                </c:pt>
                <c:pt idx="287">
                  <c:v>38355</c:v>
                </c:pt>
                <c:pt idx="288">
                  <c:v>38348</c:v>
                </c:pt>
                <c:pt idx="289">
                  <c:v>38341</c:v>
                </c:pt>
                <c:pt idx="290">
                  <c:v>38334</c:v>
                </c:pt>
                <c:pt idx="291">
                  <c:v>38327</c:v>
                </c:pt>
                <c:pt idx="292">
                  <c:v>38320</c:v>
                </c:pt>
                <c:pt idx="293">
                  <c:v>38313</c:v>
                </c:pt>
                <c:pt idx="294">
                  <c:v>38306</c:v>
                </c:pt>
                <c:pt idx="295">
                  <c:v>38299</c:v>
                </c:pt>
                <c:pt idx="296">
                  <c:v>38292</c:v>
                </c:pt>
                <c:pt idx="297">
                  <c:v>38285</c:v>
                </c:pt>
                <c:pt idx="298">
                  <c:v>38278</c:v>
                </c:pt>
                <c:pt idx="299">
                  <c:v>38271</c:v>
                </c:pt>
                <c:pt idx="300">
                  <c:v>38264</c:v>
                </c:pt>
                <c:pt idx="301">
                  <c:v>38257</c:v>
                </c:pt>
                <c:pt idx="302">
                  <c:v>38250</c:v>
                </c:pt>
                <c:pt idx="303">
                  <c:v>38243</c:v>
                </c:pt>
                <c:pt idx="304">
                  <c:v>38237</c:v>
                </c:pt>
                <c:pt idx="305">
                  <c:v>38229</c:v>
                </c:pt>
                <c:pt idx="306">
                  <c:v>38222</c:v>
                </c:pt>
                <c:pt idx="307">
                  <c:v>38215</c:v>
                </c:pt>
                <c:pt idx="308">
                  <c:v>38208</c:v>
                </c:pt>
                <c:pt idx="309">
                  <c:v>38201</c:v>
                </c:pt>
                <c:pt idx="310">
                  <c:v>38194</c:v>
                </c:pt>
                <c:pt idx="311">
                  <c:v>38187</c:v>
                </c:pt>
                <c:pt idx="312">
                  <c:v>38180</c:v>
                </c:pt>
                <c:pt idx="313">
                  <c:v>38174</c:v>
                </c:pt>
                <c:pt idx="314">
                  <c:v>38166</c:v>
                </c:pt>
                <c:pt idx="315">
                  <c:v>38159</c:v>
                </c:pt>
                <c:pt idx="316">
                  <c:v>38152</c:v>
                </c:pt>
                <c:pt idx="317">
                  <c:v>38145</c:v>
                </c:pt>
                <c:pt idx="318">
                  <c:v>38139</c:v>
                </c:pt>
                <c:pt idx="319">
                  <c:v>38131</c:v>
                </c:pt>
                <c:pt idx="320">
                  <c:v>38124</c:v>
                </c:pt>
                <c:pt idx="321">
                  <c:v>38117</c:v>
                </c:pt>
                <c:pt idx="322">
                  <c:v>38110</c:v>
                </c:pt>
                <c:pt idx="323">
                  <c:v>38103</c:v>
                </c:pt>
                <c:pt idx="324">
                  <c:v>38096</c:v>
                </c:pt>
                <c:pt idx="325">
                  <c:v>38089</c:v>
                </c:pt>
                <c:pt idx="326">
                  <c:v>38082</c:v>
                </c:pt>
                <c:pt idx="327">
                  <c:v>38075</c:v>
                </c:pt>
                <c:pt idx="328">
                  <c:v>38068</c:v>
                </c:pt>
                <c:pt idx="329">
                  <c:v>38061</c:v>
                </c:pt>
                <c:pt idx="330">
                  <c:v>38054</c:v>
                </c:pt>
                <c:pt idx="331">
                  <c:v>38047</c:v>
                </c:pt>
                <c:pt idx="332">
                  <c:v>38040</c:v>
                </c:pt>
                <c:pt idx="333">
                  <c:v>38034</c:v>
                </c:pt>
                <c:pt idx="334">
                  <c:v>38026</c:v>
                </c:pt>
                <c:pt idx="335">
                  <c:v>38019</c:v>
                </c:pt>
                <c:pt idx="336">
                  <c:v>38012</c:v>
                </c:pt>
                <c:pt idx="337">
                  <c:v>38006</c:v>
                </c:pt>
                <c:pt idx="338">
                  <c:v>37998</c:v>
                </c:pt>
                <c:pt idx="339">
                  <c:v>37991</c:v>
                </c:pt>
                <c:pt idx="340">
                  <c:v>37984</c:v>
                </c:pt>
                <c:pt idx="341">
                  <c:v>37977</c:v>
                </c:pt>
                <c:pt idx="342">
                  <c:v>37970</c:v>
                </c:pt>
                <c:pt idx="343">
                  <c:v>37963</c:v>
                </c:pt>
                <c:pt idx="344">
                  <c:v>37956</c:v>
                </c:pt>
                <c:pt idx="345">
                  <c:v>37949</c:v>
                </c:pt>
                <c:pt idx="346">
                  <c:v>37942</c:v>
                </c:pt>
                <c:pt idx="347">
                  <c:v>37935</c:v>
                </c:pt>
                <c:pt idx="348">
                  <c:v>37928</c:v>
                </c:pt>
                <c:pt idx="349">
                  <c:v>37921</c:v>
                </c:pt>
              </c:numCache>
            </c:numRef>
          </c:cat>
          <c:val>
            <c:numRef>
              <c:f>PriceValueGraph!$H$38:$H$614</c:f>
              <c:numCache>
                <c:formatCode>"$"#,##0.00_);[Red]\("$"#,##0.00\)</c:formatCode>
                <c:ptCount val="577"/>
                <c:pt idx="0">
                  <c:v>33.053477080716441</c:v>
                </c:pt>
                <c:pt idx="1">
                  <c:v>33.053477080716441</c:v>
                </c:pt>
                <c:pt idx="2">
                  <c:v>33.053477080716441</c:v>
                </c:pt>
                <c:pt idx="3">
                  <c:v>33.053477080716441</c:v>
                </c:pt>
                <c:pt idx="4">
                  <c:v>33.053477080716441</c:v>
                </c:pt>
                <c:pt idx="5">
                  <c:v>33.053477080716441</c:v>
                </c:pt>
                <c:pt idx="6">
                  <c:v>33.053477080716441</c:v>
                </c:pt>
                <c:pt idx="7">
                  <c:v>33.053477080716441</c:v>
                </c:pt>
                <c:pt idx="8">
                  <c:v>33.053477080716441</c:v>
                </c:pt>
                <c:pt idx="9">
                  <c:v>33.053477080716441</c:v>
                </c:pt>
                <c:pt idx="10">
                  <c:v>33.053477080716441</c:v>
                </c:pt>
                <c:pt idx="11">
                  <c:v>33.053477080716441</c:v>
                </c:pt>
                <c:pt idx="12">
                  <c:v>33.053477080716441</c:v>
                </c:pt>
                <c:pt idx="13">
                  <c:v>33.053477080716441</c:v>
                </c:pt>
                <c:pt idx="14">
                  <c:v>33.053477080716441</c:v>
                </c:pt>
                <c:pt idx="15">
                  <c:v>33.053477080716441</c:v>
                </c:pt>
                <c:pt idx="16">
                  <c:v>33.053477080716441</c:v>
                </c:pt>
                <c:pt idx="17">
                  <c:v>33.053477080716441</c:v>
                </c:pt>
                <c:pt idx="18">
                  <c:v>33.053477080716441</c:v>
                </c:pt>
                <c:pt idx="19">
                  <c:v>33.053477080716441</c:v>
                </c:pt>
                <c:pt idx="20">
                  <c:v>33.053477080716441</c:v>
                </c:pt>
                <c:pt idx="21">
                  <c:v>33.053477080716441</c:v>
                </c:pt>
                <c:pt idx="22">
                  <c:v>33.053477080716441</c:v>
                </c:pt>
                <c:pt idx="23">
                  <c:v>33.053477080716441</c:v>
                </c:pt>
                <c:pt idx="24">
                  <c:v>33.053477080716441</c:v>
                </c:pt>
                <c:pt idx="25">
                  <c:v>33.053477080716441</c:v>
                </c:pt>
                <c:pt idx="26">
                  <c:v>33.053477080716441</c:v>
                </c:pt>
                <c:pt idx="27">
                  <c:v>33.053477080716441</c:v>
                </c:pt>
                <c:pt idx="28">
                  <c:v>33.053477080716441</c:v>
                </c:pt>
                <c:pt idx="29">
                  <c:v>33.053477080716441</c:v>
                </c:pt>
                <c:pt idx="30">
                  <c:v>33.053477080716441</c:v>
                </c:pt>
                <c:pt idx="31">
                  <c:v>33.053477080716441</c:v>
                </c:pt>
                <c:pt idx="32">
                  <c:v>33.053477080716441</c:v>
                </c:pt>
                <c:pt idx="33">
                  <c:v>33.053477080716441</c:v>
                </c:pt>
                <c:pt idx="34">
                  <c:v>33.053477080716441</c:v>
                </c:pt>
                <c:pt idx="35">
                  <c:v>33.053477080716441</c:v>
                </c:pt>
                <c:pt idx="36">
                  <c:v>33.053477080716441</c:v>
                </c:pt>
                <c:pt idx="37">
                  <c:v>33.053477080716441</c:v>
                </c:pt>
                <c:pt idx="38">
                  <c:v>33.053477080716441</c:v>
                </c:pt>
                <c:pt idx="39">
                  <c:v>33.053477080716441</c:v>
                </c:pt>
                <c:pt idx="40">
                  <c:v>33.053477080716441</c:v>
                </c:pt>
                <c:pt idx="41">
                  <c:v>33.053477080716441</c:v>
                </c:pt>
                <c:pt idx="42">
                  <c:v>33.053477080716441</c:v>
                </c:pt>
                <c:pt idx="43">
                  <c:v>33.053477080716441</c:v>
                </c:pt>
                <c:pt idx="44">
                  <c:v>33.053477080716441</c:v>
                </c:pt>
                <c:pt idx="45">
                  <c:v>33.053477080716441</c:v>
                </c:pt>
                <c:pt idx="46">
                  <c:v>33.053477080716441</c:v>
                </c:pt>
                <c:pt idx="47">
                  <c:v>33.053477080716441</c:v>
                </c:pt>
                <c:pt idx="48">
                  <c:v>33.053477080716441</c:v>
                </c:pt>
                <c:pt idx="49">
                  <c:v>33.053477080716441</c:v>
                </c:pt>
                <c:pt idx="50">
                  <c:v>33.053477080716441</c:v>
                </c:pt>
                <c:pt idx="51">
                  <c:v>33.053477080716441</c:v>
                </c:pt>
                <c:pt idx="52">
                  <c:v>33.053477080716441</c:v>
                </c:pt>
                <c:pt idx="53">
                  <c:v>33.053477080716441</c:v>
                </c:pt>
                <c:pt idx="54">
                  <c:v>33.053477080716441</c:v>
                </c:pt>
                <c:pt idx="55">
                  <c:v>33.053477080716441</c:v>
                </c:pt>
                <c:pt idx="56">
                  <c:v>31.624802453213427</c:v>
                </c:pt>
                <c:pt idx="57">
                  <c:v>31.624802453213427</c:v>
                </c:pt>
                <c:pt idx="58">
                  <c:v>31.624802453213427</c:v>
                </c:pt>
                <c:pt idx="59">
                  <c:v>31.624802453213427</c:v>
                </c:pt>
                <c:pt idx="60">
                  <c:v>31.624802453213427</c:v>
                </c:pt>
                <c:pt idx="61">
                  <c:v>31.624802453213427</c:v>
                </c:pt>
                <c:pt idx="62">
                  <c:v>31.624802453213427</c:v>
                </c:pt>
                <c:pt idx="63">
                  <c:v>31.624802453213427</c:v>
                </c:pt>
                <c:pt idx="64">
                  <c:v>31.624802453213427</c:v>
                </c:pt>
                <c:pt idx="65">
                  <c:v>31.624802453213427</c:v>
                </c:pt>
                <c:pt idx="66">
                  <c:v>31.624802453213427</c:v>
                </c:pt>
                <c:pt idx="67">
                  <c:v>31.624802453213427</c:v>
                </c:pt>
                <c:pt idx="68">
                  <c:v>31.624802453213427</c:v>
                </c:pt>
                <c:pt idx="69">
                  <c:v>31.624802453213427</c:v>
                </c:pt>
                <c:pt idx="70">
                  <c:v>31.624802453213427</c:v>
                </c:pt>
                <c:pt idx="71">
                  <c:v>31.624802453213427</c:v>
                </c:pt>
                <c:pt idx="72">
                  <c:v>31.624802453213427</c:v>
                </c:pt>
                <c:pt idx="73">
                  <c:v>31.624802453213427</c:v>
                </c:pt>
                <c:pt idx="74">
                  <c:v>31.624802453213427</c:v>
                </c:pt>
                <c:pt idx="75">
                  <c:v>31.624802453213427</c:v>
                </c:pt>
                <c:pt idx="76">
                  <c:v>31.624802453213427</c:v>
                </c:pt>
                <c:pt idx="77">
                  <c:v>31.624802453213427</c:v>
                </c:pt>
                <c:pt idx="78">
                  <c:v>31.624802453213427</c:v>
                </c:pt>
                <c:pt idx="79">
                  <c:v>31.624802453213427</c:v>
                </c:pt>
                <c:pt idx="80">
                  <c:v>31.624802453213427</c:v>
                </c:pt>
                <c:pt idx="81">
                  <c:v>31.624802453213427</c:v>
                </c:pt>
                <c:pt idx="82">
                  <c:v>31.624802453213427</c:v>
                </c:pt>
                <c:pt idx="83">
                  <c:v>31.624802453213427</c:v>
                </c:pt>
                <c:pt idx="84">
                  <c:v>31.624802453213427</c:v>
                </c:pt>
                <c:pt idx="85">
                  <c:v>31.624802453213427</c:v>
                </c:pt>
                <c:pt idx="86">
                  <c:v>31.624802453213427</c:v>
                </c:pt>
                <c:pt idx="87">
                  <c:v>31.624802453213427</c:v>
                </c:pt>
                <c:pt idx="88">
                  <c:v>31.624802453213427</c:v>
                </c:pt>
                <c:pt idx="89">
                  <c:v>31.624802453213427</c:v>
                </c:pt>
                <c:pt idx="90">
                  <c:v>31.624802453213427</c:v>
                </c:pt>
                <c:pt idx="91">
                  <c:v>31.624802453213427</c:v>
                </c:pt>
                <c:pt idx="92">
                  <c:v>31.624802453213427</c:v>
                </c:pt>
                <c:pt idx="93">
                  <c:v>31.624802453213427</c:v>
                </c:pt>
                <c:pt idx="94">
                  <c:v>31.624802453213427</c:v>
                </c:pt>
                <c:pt idx="95">
                  <c:v>31.624802453213427</c:v>
                </c:pt>
                <c:pt idx="96">
                  <c:v>31.624802453213427</c:v>
                </c:pt>
                <c:pt idx="97">
                  <c:v>31.624802453213427</c:v>
                </c:pt>
                <c:pt idx="98">
                  <c:v>31.624802453213427</c:v>
                </c:pt>
                <c:pt idx="99">
                  <c:v>31.624802453213427</c:v>
                </c:pt>
                <c:pt idx="100">
                  <c:v>31.624802453213427</c:v>
                </c:pt>
                <c:pt idx="101">
                  <c:v>31.624802453213427</c:v>
                </c:pt>
                <c:pt idx="102">
                  <c:v>31.624802453213427</c:v>
                </c:pt>
                <c:pt idx="103">
                  <c:v>31.624802453213427</c:v>
                </c:pt>
                <c:pt idx="104">
                  <c:v>31.624802453213427</c:v>
                </c:pt>
                <c:pt idx="105">
                  <c:v>31.624802453213427</c:v>
                </c:pt>
                <c:pt idx="106">
                  <c:v>31.624802453213427</c:v>
                </c:pt>
                <c:pt idx="107">
                  <c:v>31.624802453213427</c:v>
                </c:pt>
                <c:pt idx="108">
                  <c:v>28.417226102965973</c:v>
                </c:pt>
                <c:pt idx="109">
                  <c:v>28.417226102965973</c:v>
                </c:pt>
                <c:pt idx="110">
                  <c:v>28.417226102965973</c:v>
                </c:pt>
                <c:pt idx="111">
                  <c:v>28.417226102965973</c:v>
                </c:pt>
                <c:pt idx="112">
                  <c:v>28.417226102965973</c:v>
                </c:pt>
                <c:pt idx="113">
                  <c:v>28.417226102965973</c:v>
                </c:pt>
                <c:pt idx="114">
                  <c:v>28.417226102965973</c:v>
                </c:pt>
                <c:pt idx="115">
                  <c:v>28.417226102965973</c:v>
                </c:pt>
                <c:pt idx="116">
                  <c:v>28.417226102965973</c:v>
                </c:pt>
                <c:pt idx="117">
                  <c:v>28.417226102965973</c:v>
                </c:pt>
                <c:pt idx="118">
                  <c:v>28.417226102965973</c:v>
                </c:pt>
                <c:pt idx="119">
                  <c:v>28.417226102965973</c:v>
                </c:pt>
                <c:pt idx="120">
                  <c:v>28.417226102965973</c:v>
                </c:pt>
                <c:pt idx="121">
                  <c:v>28.417226102965973</c:v>
                </c:pt>
                <c:pt idx="122">
                  <c:v>28.417226102965973</c:v>
                </c:pt>
                <c:pt idx="123">
                  <c:v>28.417226102965973</c:v>
                </c:pt>
                <c:pt idx="124">
                  <c:v>28.417226102965973</c:v>
                </c:pt>
                <c:pt idx="125">
                  <c:v>28.417226102965973</c:v>
                </c:pt>
                <c:pt idx="126">
                  <c:v>28.417226102965973</c:v>
                </c:pt>
                <c:pt idx="127">
                  <c:v>28.417226102965973</c:v>
                </c:pt>
                <c:pt idx="128">
                  <c:v>28.417226102965973</c:v>
                </c:pt>
                <c:pt idx="129">
                  <c:v>28.417226102965973</c:v>
                </c:pt>
                <c:pt idx="130">
                  <c:v>28.417226102965973</c:v>
                </c:pt>
                <c:pt idx="131">
                  <c:v>28.417226102965973</c:v>
                </c:pt>
                <c:pt idx="132">
                  <c:v>28.417226102965973</c:v>
                </c:pt>
                <c:pt idx="133">
                  <c:v>28.417226102965973</c:v>
                </c:pt>
                <c:pt idx="134">
                  <c:v>28.417226102965973</c:v>
                </c:pt>
                <c:pt idx="135">
                  <c:v>28.417226102965973</c:v>
                </c:pt>
                <c:pt idx="136">
                  <c:v>28.417226102965973</c:v>
                </c:pt>
                <c:pt idx="137">
                  <c:v>28.417226102965973</c:v>
                </c:pt>
                <c:pt idx="138">
                  <c:v>28.417226102965973</c:v>
                </c:pt>
                <c:pt idx="139">
                  <c:v>28.417226102965973</c:v>
                </c:pt>
                <c:pt idx="140">
                  <c:v>28.417226102965973</c:v>
                </c:pt>
                <c:pt idx="141">
                  <c:v>28.417226102965973</c:v>
                </c:pt>
                <c:pt idx="142">
                  <c:v>28.417226102965973</c:v>
                </c:pt>
                <c:pt idx="143">
                  <c:v>28.417226102965973</c:v>
                </c:pt>
                <c:pt idx="144">
                  <c:v>28.417226102965973</c:v>
                </c:pt>
                <c:pt idx="145">
                  <c:v>28.417226102965973</c:v>
                </c:pt>
                <c:pt idx="146">
                  <c:v>28.417226102965973</c:v>
                </c:pt>
                <c:pt idx="147">
                  <c:v>28.417226102965973</c:v>
                </c:pt>
                <c:pt idx="148">
                  <c:v>28.417226102965973</c:v>
                </c:pt>
                <c:pt idx="149">
                  <c:v>28.417226102965973</c:v>
                </c:pt>
                <c:pt idx="150">
                  <c:v>28.417226102965973</c:v>
                </c:pt>
                <c:pt idx="151">
                  <c:v>28.417226102965973</c:v>
                </c:pt>
                <c:pt idx="152">
                  <c:v>28.417226102965973</c:v>
                </c:pt>
                <c:pt idx="153">
                  <c:v>28.417226102965973</c:v>
                </c:pt>
                <c:pt idx="154">
                  <c:v>28.417226102965973</c:v>
                </c:pt>
                <c:pt idx="155">
                  <c:v>28.417226102965973</c:v>
                </c:pt>
                <c:pt idx="156">
                  <c:v>28.417226102965973</c:v>
                </c:pt>
                <c:pt idx="157">
                  <c:v>28.417226102965973</c:v>
                </c:pt>
                <c:pt idx="158">
                  <c:v>28.417226102965973</c:v>
                </c:pt>
                <c:pt idx="159">
                  <c:v>28.417226102965973</c:v>
                </c:pt>
                <c:pt idx="160">
                  <c:v>28.074084635210632</c:v>
                </c:pt>
                <c:pt idx="161">
                  <c:v>28.074084635210632</c:v>
                </c:pt>
                <c:pt idx="162">
                  <c:v>28.074084635210632</c:v>
                </c:pt>
                <c:pt idx="163">
                  <c:v>28.074084635210632</c:v>
                </c:pt>
                <c:pt idx="164">
                  <c:v>28.074084635210632</c:v>
                </c:pt>
                <c:pt idx="165">
                  <c:v>28.074084635210632</c:v>
                </c:pt>
                <c:pt idx="166">
                  <c:v>28.074084635210632</c:v>
                </c:pt>
                <c:pt idx="167">
                  <c:v>28.074084635210632</c:v>
                </c:pt>
                <c:pt idx="168">
                  <c:v>28.074084635210632</c:v>
                </c:pt>
                <c:pt idx="169">
                  <c:v>28.074084635210632</c:v>
                </c:pt>
                <c:pt idx="170">
                  <c:v>28.074084635210632</c:v>
                </c:pt>
                <c:pt idx="171">
                  <c:v>28.074084635210632</c:v>
                </c:pt>
                <c:pt idx="172">
                  <c:v>28.074084635210632</c:v>
                </c:pt>
                <c:pt idx="173">
                  <c:v>28.074084635210632</c:v>
                </c:pt>
                <c:pt idx="174">
                  <c:v>28.074084635210632</c:v>
                </c:pt>
                <c:pt idx="175">
                  <c:v>28.074084635210632</c:v>
                </c:pt>
                <c:pt idx="176">
                  <c:v>28.074084635210632</c:v>
                </c:pt>
                <c:pt idx="177">
                  <c:v>28.074084635210632</c:v>
                </c:pt>
                <c:pt idx="178">
                  <c:v>28.074084635210632</c:v>
                </c:pt>
                <c:pt idx="179">
                  <c:v>28.074084635210632</c:v>
                </c:pt>
                <c:pt idx="180">
                  <c:v>28.074084635210632</c:v>
                </c:pt>
                <c:pt idx="181">
                  <c:v>28.074084635210632</c:v>
                </c:pt>
                <c:pt idx="182">
                  <c:v>28.074084635210632</c:v>
                </c:pt>
                <c:pt idx="183">
                  <c:v>28.074084635210632</c:v>
                </c:pt>
                <c:pt idx="184">
                  <c:v>28.074084635210632</c:v>
                </c:pt>
                <c:pt idx="185">
                  <c:v>28.074084635210632</c:v>
                </c:pt>
                <c:pt idx="186">
                  <c:v>28.074084635210632</c:v>
                </c:pt>
                <c:pt idx="187">
                  <c:v>28.074084635210632</c:v>
                </c:pt>
                <c:pt idx="188">
                  <c:v>28.074084635210632</c:v>
                </c:pt>
                <c:pt idx="189">
                  <c:v>28.074084635210632</c:v>
                </c:pt>
                <c:pt idx="190">
                  <c:v>28.074084635210632</c:v>
                </c:pt>
                <c:pt idx="191">
                  <c:v>28.074084635210632</c:v>
                </c:pt>
                <c:pt idx="192">
                  <c:v>28.074084635210632</c:v>
                </c:pt>
                <c:pt idx="193">
                  <c:v>28.074084635210632</c:v>
                </c:pt>
                <c:pt idx="194">
                  <c:v>28.074084635210632</c:v>
                </c:pt>
                <c:pt idx="195">
                  <c:v>28.074084635210632</c:v>
                </c:pt>
                <c:pt idx="196">
                  <c:v>28.074084635210632</c:v>
                </c:pt>
                <c:pt idx="197">
                  <c:v>28.074084635210632</c:v>
                </c:pt>
                <c:pt idx="198">
                  <c:v>28.074084635210632</c:v>
                </c:pt>
                <c:pt idx="199">
                  <c:v>28.074084635210632</c:v>
                </c:pt>
                <c:pt idx="200">
                  <c:v>28.074084635210632</c:v>
                </c:pt>
                <c:pt idx="201">
                  <c:v>28.074084635210632</c:v>
                </c:pt>
                <c:pt idx="202">
                  <c:v>28.074084635210632</c:v>
                </c:pt>
                <c:pt idx="203">
                  <c:v>28.074084635210632</c:v>
                </c:pt>
                <c:pt idx="204">
                  <c:v>28.074084635210632</c:v>
                </c:pt>
                <c:pt idx="205">
                  <c:v>28.074084635210632</c:v>
                </c:pt>
                <c:pt idx="206">
                  <c:v>28.074084635210632</c:v>
                </c:pt>
                <c:pt idx="207">
                  <c:v>28.074084635210632</c:v>
                </c:pt>
                <c:pt idx="208">
                  <c:v>28.074084635210632</c:v>
                </c:pt>
                <c:pt idx="209">
                  <c:v>28.074084635210632</c:v>
                </c:pt>
                <c:pt idx="210">
                  <c:v>28.074084635210632</c:v>
                </c:pt>
                <c:pt idx="211">
                  <c:v>28.074084635210632</c:v>
                </c:pt>
                <c:pt idx="212">
                  <c:v>27.536961845812865</c:v>
                </c:pt>
                <c:pt idx="213">
                  <c:v>27.536961845812865</c:v>
                </c:pt>
                <c:pt idx="214">
                  <c:v>27.536961845812865</c:v>
                </c:pt>
                <c:pt idx="215">
                  <c:v>27.536961845812865</c:v>
                </c:pt>
                <c:pt idx="216">
                  <c:v>27.536961845812865</c:v>
                </c:pt>
                <c:pt idx="217">
                  <c:v>27.536961845812865</c:v>
                </c:pt>
                <c:pt idx="218">
                  <c:v>27.536961845812865</c:v>
                </c:pt>
                <c:pt idx="219">
                  <c:v>27.536961845812865</c:v>
                </c:pt>
                <c:pt idx="220">
                  <c:v>27.536961845812865</c:v>
                </c:pt>
                <c:pt idx="221">
                  <c:v>27.536961845812865</c:v>
                </c:pt>
                <c:pt idx="222">
                  <c:v>27.536961845812865</c:v>
                </c:pt>
                <c:pt idx="223">
                  <c:v>27.536961845812865</c:v>
                </c:pt>
                <c:pt idx="224">
                  <c:v>27.536961845812865</c:v>
                </c:pt>
                <c:pt idx="225">
                  <c:v>27.536961845812865</c:v>
                </c:pt>
                <c:pt idx="226">
                  <c:v>27.536961845812865</c:v>
                </c:pt>
                <c:pt idx="227">
                  <c:v>27.536961845812865</c:v>
                </c:pt>
                <c:pt idx="228">
                  <c:v>27.536961845812865</c:v>
                </c:pt>
                <c:pt idx="229">
                  <c:v>27.536961845812865</c:v>
                </c:pt>
                <c:pt idx="230">
                  <c:v>27.536961845812865</c:v>
                </c:pt>
                <c:pt idx="231">
                  <c:v>27.536961845812865</c:v>
                </c:pt>
                <c:pt idx="232">
                  <c:v>27.536961845812865</c:v>
                </c:pt>
                <c:pt idx="233">
                  <c:v>27.536961845812865</c:v>
                </c:pt>
                <c:pt idx="234">
                  <c:v>27.536961845812865</c:v>
                </c:pt>
                <c:pt idx="235">
                  <c:v>27.536961845812865</c:v>
                </c:pt>
                <c:pt idx="236">
                  <c:v>27.536961845812865</c:v>
                </c:pt>
                <c:pt idx="237">
                  <c:v>27.536961845812865</c:v>
                </c:pt>
                <c:pt idx="238">
                  <c:v>27.536961845812865</c:v>
                </c:pt>
                <c:pt idx="239">
                  <c:v>27.536961845812865</c:v>
                </c:pt>
                <c:pt idx="240">
                  <c:v>27.536961845812865</c:v>
                </c:pt>
                <c:pt idx="241">
                  <c:v>27.536961845812865</c:v>
                </c:pt>
                <c:pt idx="242">
                  <c:v>27.536961845812865</c:v>
                </c:pt>
                <c:pt idx="243">
                  <c:v>27.536961845812865</c:v>
                </c:pt>
                <c:pt idx="244">
                  <c:v>27.536961845812865</c:v>
                </c:pt>
                <c:pt idx="245">
                  <c:v>27.536961845812865</c:v>
                </c:pt>
                <c:pt idx="246">
                  <c:v>27.536961845812865</c:v>
                </c:pt>
                <c:pt idx="247">
                  <c:v>27.536961845812865</c:v>
                </c:pt>
                <c:pt idx="248">
                  <c:v>27.536961845812865</c:v>
                </c:pt>
                <c:pt idx="249">
                  <c:v>27.536961845812865</c:v>
                </c:pt>
                <c:pt idx="250">
                  <c:v>27.536961845812865</c:v>
                </c:pt>
                <c:pt idx="251">
                  <c:v>27.536961845812865</c:v>
                </c:pt>
                <c:pt idx="252">
                  <c:v>27.536961845812865</c:v>
                </c:pt>
                <c:pt idx="253">
                  <c:v>27.536961845812865</c:v>
                </c:pt>
                <c:pt idx="254">
                  <c:v>27.536961845812865</c:v>
                </c:pt>
                <c:pt idx="255">
                  <c:v>27.536961845812865</c:v>
                </c:pt>
                <c:pt idx="256">
                  <c:v>27.536961845812865</c:v>
                </c:pt>
                <c:pt idx="257">
                  <c:v>27.536961845812865</c:v>
                </c:pt>
                <c:pt idx="258">
                  <c:v>27.536961845812865</c:v>
                </c:pt>
                <c:pt idx="259">
                  <c:v>27.536961845812865</c:v>
                </c:pt>
                <c:pt idx="260">
                  <c:v>27.536961845812865</c:v>
                </c:pt>
                <c:pt idx="261">
                  <c:v>27.536961845812865</c:v>
                </c:pt>
                <c:pt idx="262">
                  <c:v>27.536961845812865</c:v>
                </c:pt>
                <c:pt idx="263">
                  <c:v>27.536961845812865</c:v>
                </c:pt>
                <c:pt idx="264">
                  <c:v>26.363239450598495</c:v>
                </c:pt>
                <c:pt idx="265">
                  <c:v>26.363239450598495</c:v>
                </c:pt>
                <c:pt idx="266">
                  <c:v>26.363239450598495</c:v>
                </c:pt>
                <c:pt idx="267">
                  <c:v>26.363239450598495</c:v>
                </c:pt>
                <c:pt idx="268">
                  <c:v>26.363239450598495</c:v>
                </c:pt>
                <c:pt idx="269">
                  <c:v>26.363239450598495</c:v>
                </c:pt>
                <c:pt idx="270">
                  <c:v>26.363239450598495</c:v>
                </c:pt>
                <c:pt idx="271">
                  <c:v>26.363239450598495</c:v>
                </c:pt>
                <c:pt idx="272">
                  <c:v>26.363239450598495</c:v>
                </c:pt>
                <c:pt idx="273">
                  <c:v>26.363239450598495</c:v>
                </c:pt>
                <c:pt idx="274">
                  <c:v>26.363239450598495</c:v>
                </c:pt>
                <c:pt idx="275">
                  <c:v>26.363239450598495</c:v>
                </c:pt>
                <c:pt idx="276">
                  <c:v>26.363239450598495</c:v>
                </c:pt>
                <c:pt idx="277">
                  <c:v>26.363239450598495</c:v>
                </c:pt>
                <c:pt idx="278">
                  <c:v>26.363239450598495</c:v>
                </c:pt>
                <c:pt idx="279">
                  <c:v>26.363239450598495</c:v>
                </c:pt>
                <c:pt idx="280">
                  <c:v>26.363239450598495</c:v>
                </c:pt>
                <c:pt idx="281">
                  <c:v>26.363239450598495</c:v>
                </c:pt>
                <c:pt idx="282">
                  <c:v>26.363239450598495</c:v>
                </c:pt>
                <c:pt idx="283">
                  <c:v>26.363239450598495</c:v>
                </c:pt>
                <c:pt idx="284">
                  <c:v>26.363239450598495</c:v>
                </c:pt>
                <c:pt idx="285">
                  <c:v>26.363239450598495</c:v>
                </c:pt>
                <c:pt idx="286">
                  <c:v>26.363239450598495</c:v>
                </c:pt>
                <c:pt idx="287">
                  <c:v>26.363239450598495</c:v>
                </c:pt>
                <c:pt idx="288">
                  <c:v>26.363239450598495</c:v>
                </c:pt>
                <c:pt idx="289">
                  <c:v>26.363239450598495</c:v>
                </c:pt>
                <c:pt idx="290">
                  <c:v>26.363239450598495</c:v>
                </c:pt>
                <c:pt idx="291">
                  <c:v>26.363239450598495</c:v>
                </c:pt>
                <c:pt idx="292">
                  <c:v>26.363239450598495</c:v>
                </c:pt>
                <c:pt idx="293">
                  <c:v>26.363239450598495</c:v>
                </c:pt>
                <c:pt idx="294">
                  <c:v>26.363239450598495</c:v>
                </c:pt>
                <c:pt idx="295">
                  <c:v>26.363239450598495</c:v>
                </c:pt>
                <c:pt idx="296">
                  <c:v>26.363239450598495</c:v>
                </c:pt>
                <c:pt idx="297">
                  <c:v>26.363239450598495</c:v>
                </c:pt>
                <c:pt idx="298">
                  <c:v>26.363239450598495</c:v>
                </c:pt>
                <c:pt idx="299">
                  <c:v>26.363239450598495</c:v>
                </c:pt>
                <c:pt idx="300">
                  <c:v>26.363239450598495</c:v>
                </c:pt>
                <c:pt idx="301">
                  <c:v>26.363239450598495</c:v>
                </c:pt>
                <c:pt idx="302">
                  <c:v>26.363239450598495</c:v>
                </c:pt>
                <c:pt idx="303">
                  <c:v>26.363239450598495</c:v>
                </c:pt>
                <c:pt idx="304">
                  <c:v>26.363239450598495</c:v>
                </c:pt>
                <c:pt idx="305">
                  <c:v>26.363239450598495</c:v>
                </c:pt>
                <c:pt idx="306">
                  <c:v>26.363239450598495</c:v>
                </c:pt>
                <c:pt idx="307">
                  <c:v>26.363239450598495</c:v>
                </c:pt>
                <c:pt idx="308">
                  <c:v>26.363239450598495</c:v>
                </c:pt>
                <c:pt idx="309">
                  <c:v>26.363239450598495</c:v>
                </c:pt>
                <c:pt idx="310">
                  <c:v>26.363239450598495</c:v>
                </c:pt>
                <c:pt idx="311">
                  <c:v>26.363239450598495</c:v>
                </c:pt>
                <c:pt idx="312">
                  <c:v>26.363239450598495</c:v>
                </c:pt>
                <c:pt idx="313">
                  <c:v>26.363239450598495</c:v>
                </c:pt>
                <c:pt idx="314">
                  <c:v>26.363239450598495</c:v>
                </c:pt>
                <c:pt idx="315">
                  <c:v>26.363239450598495</c:v>
                </c:pt>
                <c:pt idx="316">
                  <c:v>24.9633077578316</c:v>
                </c:pt>
                <c:pt idx="317">
                  <c:v>24.9633077578316</c:v>
                </c:pt>
                <c:pt idx="318">
                  <c:v>24.9633077578316</c:v>
                </c:pt>
                <c:pt idx="319">
                  <c:v>24.9633077578316</c:v>
                </c:pt>
                <c:pt idx="320">
                  <c:v>24.9633077578316</c:v>
                </c:pt>
                <c:pt idx="321">
                  <c:v>24.9633077578316</c:v>
                </c:pt>
                <c:pt idx="322">
                  <c:v>24.9633077578316</c:v>
                </c:pt>
                <c:pt idx="323">
                  <c:v>24.9633077578316</c:v>
                </c:pt>
                <c:pt idx="324">
                  <c:v>24.9633077578316</c:v>
                </c:pt>
                <c:pt idx="325">
                  <c:v>24.9633077578316</c:v>
                </c:pt>
                <c:pt idx="326">
                  <c:v>24.9633077578316</c:v>
                </c:pt>
                <c:pt idx="327">
                  <c:v>24.9633077578316</c:v>
                </c:pt>
                <c:pt idx="328">
                  <c:v>24.9633077578316</c:v>
                </c:pt>
                <c:pt idx="329">
                  <c:v>24.9633077578316</c:v>
                </c:pt>
                <c:pt idx="330">
                  <c:v>24.9633077578316</c:v>
                </c:pt>
                <c:pt idx="331">
                  <c:v>24.9633077578316</c:v>
                </c:pt>
                <c:pt idx="332">
                  <c:v>24.9633077578316</c:v>
                </c:pt>
                <c:pt idx="333">
                  <c:v>24.9633077578316</c:v>
                </c:pt>
                <c:pt idx="334">
                  <c:v>24.9633077578316</c:v>
                </c:pt>
                <c:pt idx="335">
                  <c:v>24.9633077578316</c:v>
                </c:pt>
                <c:pt idx="336">
                  <c:v>24.9633077578316</c:v>
                </c:pt>
                <c:pt idx="337">
                  <c:v>24.9633077578316</c:v>
                </c:pt>
                <c:pt idx="338">
                  <c:v>24.9633077578316</c:v>
                </c:pt>
                <c:pt idx="339">
                  <c:v>24.9633077578316</c:v>
                </c:pt>
                <c:pt idx="340">
                  <c:v>24.9633077578316</c:v>
                </c:pt>
                <c:pt idx="341">
                  <c:v>24.9633077578316</c:v>
                </c:pt>
                <c:pt idx="342">
                  <c:v>24.9633077578316</c:v>
                </c:pt>
                <c:pt idx="343">
                  <c:v>24.9633077578316</c:v>
                </c:pt>
                <c:pt idx="344">
                  <c:v>24.9633077578316</c:v>
                </c:pt>
                <c:pt idx="345">
                  <c:v>24.9633077578316</c:v>
                </c:pt>
                <c:pt idx="346">
                  <c:v>24.9633077578316</c:v>
                </c:pt>
                <c:pt idx="347">
                  <c:v>24.9633077578316</c:v>
                </c:pt>
                <c:pt idx="348">
                  <c:v>24.9633077578316</c:v>
                </c:pt>
                <c:pt idx="349">
                  <c:v>24.9633077578316</c:v>
                </c:pt>
                <c:pt idx="350">
                  <c:v>24.9633077578316</c:v>
                </c:pt>
                <c:pt idx="351">
                  <c:v>24.9633077578316</c:v>
                </c:pt>
                <c:pt idx="352">
                  <c:v>24.9633077578316</c:v>
                </c:pt>
                <c:pt idx="353">
                  <c:v>24.9633077578316</c:v>
                </c:pt>
                <c:pt idx="354">
                  <c:v>24.9633077578316</c:v>
                </c:pt>
                <c:pt idx="355">
                  <c:v>24.9633077578316</c:v>
                </c:pt>
                <c:pt idx="356">
                  <c:v>24.9633077578316</c:v>
                </c:pt>
                <c:pt idx="357">
                  <c:v>24.9633077578316</c:v>
                </c:pt>
                <c:pt idx="358">
                  <c:v>24.9633077578316</c:v>
                </c:pt>
                <c:pt idx="359">
                  <c:v>24.9633077578316</c:v>
                </c:pt>
                <c:pt idx="360">
                  <c:v>24.9633077578316</c:v>
                </c:pt>
                <c:pt idx="361">
                  <c:v>24.9633077578316</c:v>
                </c:pt>
                <c:pt idx="362">
                  <c:v>24.9633077578316</c:v>
                </c:pt>
                <c:pt idx="363">
                  <c:v>24.9633077578316</c:v>
                </c:pt>
                <c:pt idx="364">
                  <c:v>24.9633077578316</c:v>
                </c:pt>
                <c:pt idx="365">
                  <c:v>24.9633077578316</c:v>
                </c:pt>
                <c:pt idx="366">
                  <c:v>24.9633077578316</c:v>
                </c:pt>
                <c:pt idx="367">
                  <c:v>24.9633077578316</c:v>
                </c:pt>
                <c:pt idx="368">
                  <c:v>22.880766803763123</c:v>
                </c:pt>
                <c:pt idx="369">
                  <c:v>22.880766803763123</c:v>
                </c:pt>
                <c:pt idx="370">
                  <c:v>22.880766803763123</c:v>
                </c:pt>
                <c:pt idx="371">
                  <c:v>22.880766803763123</c:v>
                </c:pt>
                <c:pt idx="372">
                  <c:v>22.880766803763123</c:v>
                </c:pt>
                <c:pt idx="373">
                  <c:v>22.880766803763123</c:v>
                </c:pt>
                <c:pt idx="374">
                  <c:v>22.880766803763123</c:v>
                </c:pt>
                <c:pt idx="375">
                  <c:v>22.880766803763123</c:v>
                </c:pt>
                <c:pt idx="376">
                  <c:v>22.880766803763123</c:v>
                </c:pt>
                <c:pt idx="377">
                  <c:v>22.880766803763123</c:v>
                </c:pt>
                <c:pt idx="378">
                  <c:v>22.880766803763123</c:v>
                </c:pt>
                <c:pt idx="379">
                  <c:v>22.880766803763123</c:v>
                </c:pt>
                <c:pt idx="380">
                  <c:v>22.880766803763123</c:v>
                </c:pt>
                <c:pt idx="381">
                  <c:v>22.880766803763123</c:v>
                </c:pt>
                <c:pt idx="382">
                  <c:v>22.880766803763123</c:v>
                </c:pt>
                <c:pt idx="383">
                  <c:v>22.880766803763123</c:v>
                </c:pt>
                <c:pt idx="384">
                  <c:v>22.880766803763123</c:v>
                </c:pt>
                <c:pt idx="385">
                  <c:v>22.880766803763123</c:v>
                </c:pt>
                <c:pt idx="386">
                  <c:v>22.880766803763123</c:v>
                </c:pt>
                <c:pt idx="387">
                  <c:v>22.880766803763123</c:v>
                </c:pt>
                <c:pt idx="388">
                  <c:v>22.880766803763123</c:v>
                </c:pt>
                <c:pt idx="389">
                  <c:v>22.880766803763123</c:v>
                </c:pt>
                <c:pt idx="390">
                  <c:v>22.880766803763123</c:v>
                </c:pt>
                <c:pt idx="391">
                  <c:v>22.880766803763123</c:v>
                </c:pt>
                <c:pt idx="392">
                  <c:v>22.880766803763123</c:v>
                </c:pt>
                <c:pt idx="393">
                  <c:v>22.880766803763123</c:v>
                </c:pt>
                <c:pt idx="394">
                  <c:v>22.880766803763123</c:v>
                </c:pt>
                <c:pt idx="395">
                  <c:v>22.880766803763123</c:v>
                </c:pt>
                <c:pt idx="396">
                  <c:v>22.880766803763123</c:v>
                </c:pt>
                <c:pt idx="397">
                  <c:v>22.880766803763123</c:v>
                </c:pt>
                <c:pt idx="398">
                  <c:v>22.880766803763123</c:v>
                </c:pt>
                <c:pt idx="399">
                  <c:v>22.880766803763123</c:v>
                </c:pt>
                <c:pt idx="400">
                  <c:v>22.880766803763123</c:v>
                </c:pt>
                <c:pt idx="401">
                  <c:v>22.880766803763123</c:v>
                </c:pt>
                <c:pt idx="402">
                  <c:v>22.880766803763123</c:v>
                </c:pt>
                <c:pt idx="403">
                  <c:v>22.880766803763123</c:v>
                </c:pt>
                <c:pt idx="404">
                  <c:v>22.880766803763123</c:v>
                </c:pt>
                <c:pt idx="405">
                  <c:v>22.880766803763123</c:v>
                </c:pt>
                <c:pt idx="406">
                  <c:v>22.880766803763123</c:v>
                </c:pt>
                <c:pt idx="407">
                  <c:v>22.880766803763123</c:v>
                </c:pt>
                <c:pt idx="408">
                  <c:v>22.880766803763123</c:v>
                </c:pt>
                <c:pt idx="409">
                  <c:v>22.880766803763123</c:v>
                </c:pt>
                <c:pt idx="410">
                  <c:v>22.880766803763123</c:v>
                </c:pt>
                <c:pt idx="411">
                  <c:v>22.880766803763123</c:v>
                </c:pt>
                <c:pt idx="412">
                  <c:v>22.880766803763123</c:v>
                </c:pt>
                <c:pt idx="413">
                  <c:v>22.880766803763123</c:v>
                </c:pt>
                <c:pt idx="414">
                  <c:v>22.880766803763123</c:v>
                </c:pt>
                <c:pt idx="415">
                  <c:v>22.880766803763123</c:v>
                </c:pt>
                <c:pt idx="416">
                  <c:v>22.880766803763123</c:v>
                </c:pt>
                <c:pt idx="417">
                  <c:v>22.880766803763123</c:v>
                </c:pt>
                <c:pt idx="418">
                  <c:v>22.880766803763123</c:v>
                </c:pt>
                <c:pt idx="419">
                  <c:v>22.880766803763123</c:v>
                </c:pt>
                <c:pt idx="420">
                  <c:v>20.627307151384759</c:v>
                </c:pt>
                <c:pt idx="421">
                  <c:v>20.627307151384759</c:v>
                </c:pt>
                <c:pt idx="422">
                  <c:v>20.627307151384759</c:v>
                </c:pt>
                <c:pt idx="423">
                  <c:v>20.627307151384759</c:v>
                </c:pt>
                <c:pt idx="424">
                  <c:v>20.627307151384759</c:v>
                </c:pt>
                <c:pt idx="425">
                  <c:v>20.627307151384759</c:v>
                </c:pt>
                <c:pt idx="426">
                  <c:v>20.627307151384759</c:v>
                </c:pt>
                <c:pt idx="427">
                  <c:v>20.627307151384759</c:v>
                </c:pt>
                <c:pt idx="428">
                  <c:v>20.627307151384759</c:v>
                </c:pt>
                <c:pt idx="429">
                  <c:v>20.627307151384759</c:v>
                </c:pt>
                <c:pt idx="430">
                  <c:v>20.627307151384759</c:v>
                </c:pt>
                <c:pt idx="431">
                  <c:v>20.627307151384759</c:v>
                </c:pt>
                <c:pt idx="432">
                  <c:v>20.627307151384759</c:v>
                </c:pt>
                <c:pt idx="433">
                  <c:v>20.627307151384759</c:v>
                </c:pt>
                <c:pt idx="434">
                  <c:v>20.627307151384759</c:v>
                </c:pt>
                <c:pt idx="435">
                  <c:v>20.627307151384759</c:v>
                </c:pt>
                <c:pt idx="436">
                  <c:v>20.627307151384759</c:v>
                </c:pt>
                <c:pt idx="437">
                  <c:v>20.627307151384759</c:v>
                </c:pt>
                <c:pt idx="438">
                  <c:v>20.627307151384759</c:v>
                </c:pt>
                <c:pt idx="439">
                  <c:v>20.627307151384759</c:v>
                </c:pt>
                <c:pt idx="440">
                  <c:v>20.627307151384759</c:v>
                </c:pt>
                <c:pt idx="441">
                  <c:v>20.627307151384759</c:v>
                </c:pt>
                <c:pt idx="442">
                  <c:v>20.627307151384759</c:v>
                </c:pt>
                <c:pt idx="443">
                  <c:v>20.627307151384759</c:v>
                </c:pt>
                <c:pt idx="444">
                  <c:v>20.627307151384759</c:v>
                </c:pt>
                <c:pt idx="445">
                  <c:v>20.627307151384759</c:v>
                </c:pt>
                <c:pt idx="446">
                  <c:v>20.627307151384759</c:v>
                </c:pt>
                <c:pt idx="447">
                  <c:v>20.627307151384759</c:v>
                </c:pt>
                <c:pt idx="448">
                  <c:v>20.627307151384759</c:v>
                </c:pt>
                <c:pt idx="449">
                  <c:v>20.627307151384759</c:v>
                </c:pt>
                <c:pt idx="450">
                  <c:v>20.627307151384759</c:v>
                </c:pt>
                <c:pt idx="451">
                  <c:v>20.627307151384759</c:v>
                </c:pt>
                <c:pt idx="452">
                  <c:v>20.627307151384759</c:v>
                </c:pt>
                <c:pt idx="453">
                  <c:v>20.627307151384759</c:v>
                </c:pt>
                <c:pt idx="454">
                  <c:v>20.627307151384759</c:v>
                </c:pt>
                <c:pt idx="455">
                  <c:v>20.627307151384759</c:v>
                </c:pt>
                <c:pt idx="456">
                  <c:v>20.627307151384759</c:v>
                </c:pt>
                <c:pt idx="457">
                  <c:v>20.627307151384759</c:v>
                </c:pt>
                <c:pt idx="458">
                  <c:v>20.627307151384759</c:v>
                </c:pt>
                <c:pt idx="459">
                  <c:v>20.627307151384759</c:v>
                </c:pt>
                <c:pt idx="460">
                  <c:v>20.627307151384759</c:v>
                </c:pt>
                <c:pt idx="461">
                  <c:v>20.627307151384759</c:v>
                </c:pt>
                <c:pt idx="462">
                  <c:v>20.627307151384759</c:v>
                </c:pt>
                <c:pt idx="463">
                  <c:v>20.627307151384759</c:v>
                </c:pt>
                <c:pt idx="464">
                  <c:v>20.627307151384759</c:v>
                </c:pt>
                <c:pt idx="465">
                  <c:v>20.627307151384759</c:v>
                </c:pt>
                <c:pt idx="466">
                  <c:v>20.627307151384759</c:v>
                </c:pt>
                <c:pt idx="467">
                  <c:v>20.627307151384759</c:v>
                </c:pt>
                <c:pt idx="468">
                  <c:v>20.627307151384759</c:v>
                </c:pt>
                <c:pt idx="469">
                  <c:v>20.627307151384759</c:v>
                </c:pt>
                <c:pt idx="470">
                  <c:v>20.627307151384759</c:v>
                </c:pt>
                <c:pt idx="471">
                  <c:v>20.627307151384759</c:v>
                </c:pt>
                <c:pt idx="472">
                  <c:v>20.010477224788431</c:v>
                </c:pt>
                <c:pt idx="473">
                  <c:v>20.010477224788431</c:v>
                </c:pt>
                <c:pt idx="474">
                  <c:v>20.010477224788431</c:v>
                </c:pt>
                <c:pt idx="475">
                  <c:v>20.010477224788431</c:v>
                </c:pt>
                <c:pt idx="476">
                  <c:v>20.010477224788431</c:v>
                </c:pt>
                <c:pt idx="477">
                  <c:v>20.010477224788431</c:v>
                </c:pt>
                <c:pt idx="478">
                  <c:v>20.010477224788431</c:v>
                </c:pt>
                <c:pt idx="479">
                  <c:v>20.010477224788431</c:v>
                </c:pt>
                <c:pt idx="480">
                  <c:v>20.010477224788431</c:v>
                </c:pt>
                <c:pt idx="481">
                  <c:v>20.010477224788431</c:v>
                </c:pt>
                <c:pt idx="482">
                  <c:v>20.010477224788431</c:v>
                </c:pt>
                <c:pt idx="483">
                  <c:v>20.010477224788431</c:v>
                </c:pt>
                <c:pt idx="484">
                  <c:v>20.010477224788431</c:v>
                </c:pt>
                <c:pt idx="485">
                  <c:v>20.010477224788431</c:v>
                </c:pt>
                <c:pt idx="486">
                  <c:v>20.010477224788431</c:v>
                </c:pt>
                <c:pt idx="487">
                  <c:v>20.010477224788431</c:v>
                </c:pt>
                <c:pt idx="488">
                  <c:v>20.010477224788431</c:v>
                </c:pt>
                <c:pt idx="489">
                  <c:v>20.010477224788431</c:v>
                </c:pt>
                <c:pt idx="490">
                  <c:v>20.010477224788431</c:v>
                </c:pt>
                <c:pt idx="491">
                  <c:v>20.010477224788431</c:v>
                </c:pt>
                <c:pt idx="492">
                  <c:v>20.010477224788431</c:v>
                </c:pt>
                <c:pt idx="493">
                  <c:v>20.010477224788431</c:v>
                </c:pt>
                <c:pt idx="494">
                  <c:v>20.010477224788431</c:v>
                </c:pt>
                <c:pt idx="495">
                  <c:v>20.010477224788431</c:v>
                </c:pt>
                <c:pt idx="496">
                  <c:v>20.010477224788431</c:v>
                </c:pt>
                <c:pt idx="497">
                  <c:v>20.010477224788431</c:v>
                </c:pt>
                <c:pt idx="498">
                  <c:v>20.010477224788431</c:v>
                </c:pt>
                <c:pt idx="499">
                  <c:v>20.010477224788431</c:v>
                </c:pt>
                <c:pt idx="500">
                  <c:v>20.010477224788431</c:v>
                </c:pt>
                <c:pt idx="501">
                  <c:v>20.010477224788431</c:v>
                </c:pt>
                <c:pt idx="502">
                  <c:v>20.010477224788431</c:v>
                </c:pt>
                <c:pt idx="503">
                  <c:v>20.010477224788431</c:v>
                </c:pt>
                <c:pt idx="504">
                  <c:v>20.010477224788431</c:v>
                </c:pt>
                <c:pt idx="505">
                  <c:v>20.010477224788431</c:v>
                </c:pt>
                <c:pt idx="506">
                  <c:v>20.010477224788431</c:v>
                </c:pt>
                <c:pt idx="507">
                  <c:v>20.010477224788431</c:v>
                </c:pt>
                <c:pt idx="508">
                  <c:v>20.010477224788431</c:v>
                </c:pt>
                <c:pt idx="509">
                  <c:v>20.010477224788431</c:v>
                </c:pt>
                <c:pt idx="510">
                  <c:v>20.010477224788431</c:v>
                </c:pt>
                <c:pt idx="511">
                  <c:v>20.010477224788431</c:v>
                </c:pt>
                <c:pt idx="512">
                  <c:v>20.010477224788431</c:v>
                </c:pt>
                <c:pt idx="513">
                  <c:v>20.010477224788431</c:v>
                </c:pt>
                <c:pt idx="514">
                  <c:v>20.010477224788431</c:v>
                </c:pt>
                <c:pt idx="515">
                  <c:v>20.010477224788431</c:v>
                </c:pt>
                <c:pt idx="516">
                  <c:v>20.010477224788431</c:v>
                </c:pt>
                <c:pt idx="517">
                  <c:v>20.010477224788431</c:v>
                </c:pt>
                <c:pt idx="518">
                  <c:v>20.010477224788431</c:v>
                </c:pt>
                <c:pt idx="519">
                  <c:v>20.010477224788431</c:v>
                </c:pt>
                <c:pt idx="520">
                  <c:v>20.010477224788431</c:v>
                </c:pt>
                <c:pt idx="521">
                  <c:v>20.010477224788431</c:v>
                </c:pt>
                <c:pt idx="522">
                  <c:v>20.010477224788431</c:v>
                </c:pt>
                <c:pt idx="523">
                  <c:v>20.010477224788431</c:v>
                </c:pt>
                <c:pt idx="524">
                  <c:v>18.107461500188169</c:v>
                </c:pt>
                <c:pt idx="525">
                  <c:v>18.107461500188169</c:v>
                </c:pt>
                <c:pt idx="526">
                  <c:v>18.107461500188169</c:v>
                </c:pt>
                <c:pt idx="527">
                  <c:v>18.107461500188169</c:v>
                </c:pt>
                <c:pt idx="528">
                  <c:v>18.107461500188169</c:v>
                </c:pt>
                <c:pt idx="529">
                  <c:v>18.107461500188169</c:v>
                </c:pt>
                <c:pt idx="530">
                  <c:v>18.107461500188169</c:v>
                </c:pt>
                <c:pt idx="531">
                  <c:v>18.107461500188169</c:v>
                </c:pt>
                <c:pt idx="532">
                  <c:v>18.107461500188169</c:v>
                </c:pt>
                <c:pt idx="533">
                  <c:v>18.107461500188169</c:v>
                </c:pt>
                <c:pt idx="534">
                  <c:v>18.107461500188169</c:v>
                </c:pt>
                <c:pt idx="535">
                  <c:v>18.107461500188169</c:v>
                </c:pt>
                <c:pt idx="536">
                  <c:v>18.107461500188169</c:v>
                </c:pt>
                <c:pt idx="537">
                  <c:v>18.107461500188169</c:v>
                </c:pt>
                <c:pt idx="538">
                  <c:v>18.107461500188169</c:v>
                </c:pt>
                <c:pt idx="539">
                  <c:v>18.107461500188169</c:v>
                </c:pt>
                <c:pt idx="540">
                  <c:v>18.107461500188169</c:v>
                </c:pt>
                <c:pt idx="541">
                  <c:v>18.107461500188169</c:v>
                </c:pt>
                <c:pt idx="542">
                  <c:v>18.107461500188169</c:v>
                </c:pt>
                <c:pt idx="543">
                  <c:v>18.107461500188169</c:v>
                </c:pt>
                <c:pt idx="544">
                  <c:v>18.107461500188169</c:v>
                </c:pt>
                <c:pt idx="545">
                  <c:v>18.107461500188169</c:v>
                </c:pt>
                <c:pt idx="546">
                  <c:v>18.107461500188169</c:v>
                </c:pt>
                <c:pt idx="547">
                  <c:v>18.107461500188169</c:v>
                </c:pt>
                <c:pt idx="548">
                  <c:v>18.107461500188169</c:v>
                </c:pt>
                <c:pt idx="549">
                  <c:v>18.107461500188169</c:v>
                </c:pt>
                <c:pt idx="550">
                  <c:v>18.107461500188169</c:v>
                </c:pt>
                <c:pt idx="551">
                  <c:v>18.107461500188169</c:v>
                </c:pt>
                <c:pt idx="552">
                  <c:v>18.107461500188169</c:v>
                </c:pt>
                <c:pt idx="553">
                  <c:v>18.107461500188169</c:v>
                </c:pt>
                <c:pt idx="554">
                  <c:v>18.107461500188169</c:v>
                </c:pt>
                <c:pt idx="555">
                  <c:v>18.107461500188169</c:v>
                </c:pt>
                <c:pt idx="556">
                  <c:v>18.107461500188169</c:v>
                </c:pt>
                <c:pt idx="557">
                  <c:v>18.107461500188169</c:v>
                </c:pt>
                <c:pt idx="558">
                  <c:v>18.107461500188169</c:v>
                </c:pt>
                <c:pt idx="559">
                  <c:v>18.107461500188169</c:v>
                </c:pt>
                <c:pt idx="560">
                  <c:v>18.107461500188169</c:v>
                </c:pt>
                <c:pt idx="561">
                  <c:v>18.107461500188169</c:v>
                </c:pt>
                <c:pt idx="562">
                  <c:v>18.107461500188169</c:v>
                </c:pt>
                <c:pt idx="563">
                  <c:v>18.107461500188169</c:v>
                </c:pt>
                <c:pt idx="564">
                  <c:v>18.107461500188169</c:v>
                </c:pt>
                <c:pt idx="565">
                  <c:v>18.107461500188169</c:v>
                </c:pt>
                <c:pt idx="566">
                  <c:v>18.107461500188169</c:v>
                </c:pt>
                <c:pt idx="567">
                  <c:v>18.107461500188169</c:v>
                </c:pt>
                <c:pt idx="568">
                  <c:v>18.107461500188169</c:v>
                </c:pt>
                <c:pt idx="569">
                  <c:v>18.107461500188169</c:v>
                </c:pt>
                <c:pt idx="570">
                  <c:v>18.107461500188169</c:v>
                </c:pt>
                <c:pt idx="571">
                  <c:v>18.107461500188169</c:v>
                </c:pt>
                <c:pt idx="572">
                  <c:v>18.107461500188169</c:v>
                </c:pt>
                <c:pt idx="573">
                  <c:v>18.107461500188169</c:v>
                </c:pt>
                <c:pt idx="574">
                  <c:v>18.107461500188169</c:v>
                </c:pt>
                <c:pt idx="575">
                  <c:v>18.107461500188169</c:v>
                </c:pt>
                <c:pt idx="576">
                  <c:v>18.107461500188169</c:v>
                </c:pt>
              </c:numCache>
            </c:numRef>
          </c:val>
        </c:ser>
        <c:ser>
          <c:idx val="2"/>
          <c:order val="2"/>
          <c:tx>
            <c:v>Buy Price</c:v>
          </c:tx>
          <c:spPr>
            <a:ln w="25400">
              <a:solidFill>
                <a:srgbClr val="00B050"/>
              </a:solidFill>
              <a:prstDash val="sysDash"/>
            </a:ln>
          </c:spPr>
          <c:marker>
            <c:symbol val="none"/>
          </c:marker>
          <c:cat>
            <c:numRef>
              <c:f>PriceValueGraph!$E$38:$E$387</c:f>
              <c:numCache>
                <c:formatCode>m/d/yyyy</c:formatCode>
                <c:ptCount val="350"/>
                <c:pt idx="0" formatCode="m/d/yyyy;@">
                  <c:v>40365</c:v>
                </c:pt>
                <c:pt idx="1">
                  <c:v>40357</c:v>
                </c:pt>
                <c:pt idx="2">
                  <c:v>40350</c:v>
                </c:pt>
                <c:pt idx="3">
                  <c:v>40343</c:v>
                </c:pt>
                <c:pt idx="4">
                  <c:v>40336</c:v>
                </c:pt>
                <c:pt idx="5">
                  <c:v>40330</c:v>
                </c:pt>
                <c:pt idx="6">
                  <c:v>40322</c:v>
                </c:pt>
                <c:pt idx="7">
                  <c:v>40315</c:v>
                </c:pt>
                <c:pt idx="8">
                  <c:v>40308</c:v>
                </c:pt>
                <c:pt idx="9">
                  <c:v>40301</c:v>
                </c:pt>
                <c:pt idx="10">
                  <c:v>40294</c:v>
                </c:pt>
                <c:pt idx="11">
                  <c:v>40287</c:v>
                </c:pt>
                <c:pt idx="12">
                  <c:v>40280</c:v>
                </c:pt>
                <c:pt idx="13">
                  <c:v>40273</c:v>
                </c:pt>
                <c:pt idx="14">
                  <c:v>40266</c:v>
                </c:pt>
                <c:pt idx="15">
                  <c:v>40259</c:v>
                </c:pt>
                <c:pt idx="16">
                  <c:v>40252</c:v>
                </c:pt>
                <c:pt idx="17">
                  <c:v>40245</c:v>
                </c:pt>
                <c:pt idx="18">
                  <c:v>40238</c:v>
                </c:pt>
                <c:pt idx="19">
                  <c:v>40231</c:v>
                </c:pt>
                <c:pt idx="20">
                  <c:v>40225</c:v>
                </c:pt>
                <c:pt idx="21">
                  <c:v>40217</c:v>
                </c:pt>
                <c:pt idx="22">
                  <c:v>40210</c:v>
                </c:pt>
                <c:pt idx="23">
                  <c:v>40203</c:v>
                </c:pt>
                <c:pt idx="24">
                  <c:v>40197</c:v>
                </c:pt>
                <c:pt idx="25">
                  <c:v>40189</c:v>
                </c:pt>
                <c:pt idx="26">
                  <c:v>40182</c:v>
                </c:pt>
                <c:pt idx="27">
                  <c:v>40175</c:v>
                </c:pt>
                <c:pt idx="28">
                  <c:v>40168</c:v>
                </c:pt>
                <c:pt idx="29">
                  <c:v>40161</c:v>
                </c:pt>
                <c:pt idx="30">
                  <c:v>40154</c:v>
                </c:pt>
                <c:pt idx="31">
                  <c:v>40147</c:v>
                </c:pt>
                <c:pt idx="32">
                  <c:v>40140</c:v>
                </c:pt>
                <c:pt idx="33">
                  <c:v>40133</c:v>
                </c:pt>
                <c:pt idx="34">
                  <c:v>40126</c:v>
                </c:pt>
                <c:pt idx="35">
                  <c:v>40119</c:v>
                </c:pt>
                <c:pt idx="36">
                  <c:v>40112</c:v>
                </c:pt>
                <c:pt idx="37">
                  <c:v>40105</c:v>
                </c:pt>
                <c:pt idx="38">
                  <c:v>40098</c:v>
                </c:pt>
                <c:pt idx="39">
                  <c:v>40091</c:v>
                </c:pt>
                <c:pt idx="40">
                  <c:v>40084</c:v>
                </c:pt>
                <c:pt idx="41">
                  <c:v>40077</c:v>
                </c:pt>
                <c:pt idx="42">
                  <c:v>40070</c:v>
                </c:pt>
                <c:pt idx="43">
                  <c:v>40064</c:v>
                </c:pt>
                <c:pt idx="44">
                  <c:v>40056</c:v>
                </c:pt>
                <c:pt idx="45">
                  <c:v>40049</c:v>
                </c:pt>
                <c:pt idx="46">
                  <c:v>40042</c:v>
                </c:pt>
                <c:pt idx="47">
                  <c:v>40035</c:v>
                </c:pt>
                <c:pt idx="48">
                  <c:v>40028</c:v>
                </c:pt>
                <c:pt idx="49">
                  <c:v>40021</c:v>
                </c:pt>
                <c:pt idx="50">
                  <c:v>40014</c:v>
                </c:pt>
                <c:pt idx="51">
                  <c:v>40007</c:v>
                </c:pt>
                <c:pt idx="52">
                  <c:v>40000</c:v>
                </c:pt>
                <c:pt idx="53">
                  <c:v>39993</c:v>
                </c:pt>
                <c:pt idx="54">
                  <c:v>39986</c:v>
                </c:pt>
                <c:pt idx="55">
                  <c:v>39979</c:v>
                </c:pt>
                <c:pt idx="56">
                  <c:v>39972</c:v>
                </c:pt>
                <c:pt idx="57">
                  <c:v>39965</c:v>
                </c:pt>
                <c:pt idx="58">
                  <c:v>39959</c:v>
                </c:pt>
                <c:pt idx="59">
                  <c:v>39951</c:v>
                </c:pt>
                <c:pt idx="60">
                  <c:v>39944</c:v>
                </c:pt>
                <c:pt idx="61">
                  <c:v>39937</c:v>
                </c:pt>
                <c:pt idx="62">
                  <c:v>39930</c:v>
                </c:pt>
                <c:pt idx="63">
                  <c:v>39923</c:v>
                </c:pt>
                <c:pt idx="64">
                  <c:v>39916</c:v>
                </c:pt>
                <c:pt idx="65">
                  <c:v>39909</c:v>
                </c:pt>
                <c:pt idx="66">
                  <c:v>39902</c:v>
                </c:pt>
                <c:pt idx="67">
                  <c:v>39895</c:v>
                </c:pt>
                <c:pt idx="68">
                  <c:v>39888</c:v>
                </c:pt>
                <c:pt idx="69">
                  <c:v>39881</c:v>
                </c:pt>
                <c:pt idx="70">
                  <c:v>39874</c:v>
                </c:pt>
                <c:pt idx="71">
                  <c:v>39867</c:v>
                </c:pt>
                <c:pt idx="72">
                  <c:v>39861</c:v>
                </c:pt>
                <c:pt idx="73">
                  <c:v>39853</c:v>
                </c:pt>
                <c:pt idx="74">
                  <c:v>39846</c:v>
                </c:pt>
                <c:pt idx="75">
                  <c:v>39839</c:v>
                </c:pt>
                <c:pt idx="76">
                  <c:v>39833</c:v>
                </c:pt>
                <c:pt idx="77">
                  <c:v>39825</c:v>
                </c:pt>
                <c:pt idx="78">
                  <c:v>39818</c:v>
                </c:pt>
                <c:pt idx="79">
                  <c:v>39811</c:v>
                </c:pt>
                <c:pt idx="80">
                  <c:v>39804</c:v>
                </c:pt>
                <c:pt idx="81">
                  <c:v>39797</c:v>
                </c:pt>
                <c:pt idx="82">
                  <c:v>39790</c:v>
                </c:pt>
                <c:pt idx="83">
                  <c:v>39783</c:v>
                </c:pt>
                <c:pt idx="84">
                  <c:v>39776</c:v>
                </c:pt>
                <c:pt idx="85">
                  <c:v>39769</c:v>
                </c:pt>
                <c:pt idx="86">
                  <c:v>39762</c:v>
                </c:pt>
                <c:pt idx="87">
                  <c:v>39755</c:v>
                </c:pt>
                <c:pt idx="88">
                  <c:v>39748</c:v>
                </c:pt>
                <c:pt idx="89">
                  <c:v>39741</c:v>
                </c:pt>
                <c:pt idx="90">
                  <c:v>39734</c:v>
                </c:pt>
                <c:pt idx="91">
                  <c:v>39727</c:v>
                </c:pt>
                <c:pt idx="92">
                  <c:v>39720</c:v>
                </c:pt>
                <c:pt idx="93">
                  <c:v>39713</c:v>
                </c:pt>
                <c:pt idx="94">
                  <c:v>39706</c:v>
                </c:pt>
                <c:pt idx="95">
                  <c:v>39699</c:v>
                </c:pt>
                <c:pt idx="96">
                  <c:v>39693</c:v>
                </c:pt>
                <c:pt idx="97">
                  <c:v>39685</c:v>
                </c:pt>
                <c:pt idx="98">
                  <c:v>39678</c:v>
                </c:pt>
                <c:pt idx="99">
                  <c:v>39671</c:v>
                </c:pt>
                <c:pt idx="100">
                  <c:v>39664</c:v>
                </c:pt>
                <c:pt idx="101">
                  <c:v>39657</c:v>
                </c:pt>
                <c:pt idx="102">
                  <c:v>39650</c:v>
                </c:pt>
                <c:pt idx="103">
                  <c:v>39643</c:v>
                </c:pt>
                <c:pt idx="104">
                  <c:v>39636</c:v>
                </c:pt>
                <c:pt idx="105">
                  <c:v>39629</c:v>
                </c:pt>
                <c:pt idx="106">
                  <c:v>39622</c:v>
                </c:pt>
                <c:pt idx="107">
                  <c:v>39615</c:v>
                </c:pt>
                <c:pt idx="108">
                  <c:v>39608</c:v>
                </c:pt>
                <c:pt idx="109">
                  <c:v>39601</c:v>
                </c:pt>
                <c:pt idx="110">
                  <c:v>39595</c:v>
                </c:pt>
                <c:pt idx="111">
                  <c:v>39587</c:v>
                </c:pt>
                <c:pt idx="112">
                  <c:v>39580</c:v>
                </c:pt>
                <c:pt idx="113">
                  <c:v>39573</c:v>
                </c:pt>
                <c:pt idx="114">
                  <c:v>39566</c:v>
                </c:pt>
                <c:pt idx="115">
                  <c:v>39559</c:v>
                </c:pt>
                <c:pt idx="116">
                  <c:v>39552</c:v>
                </c:pt>
                <c:pt idx="117">
                  <c:v>39545</c:v>
                </c:pt>
                <c:pt idx="118">
                  <c:v>39538</c:v>
                </c:pt>
                <c:pt idx="119">
                  <c:v>39531</c:v>
                </c:pt>
                <c:pt idx="120">
                  <c:v>39524</c:v>
                </c:pt>
                <c:pt idx="121">
                  <c:v>39517</c:v>
                </c:pt>
                <c:pt idx="122">
                  <c:v>39510</c:v>
                </c:pt>
                <c:pt idx="123">
                  <c:v>39503</c:v>
                </c:pt>
                <c:pt idx="124">
                  <c:v>39497</c:v>
                </c:pt>
                <c:pt idx="125">
                  <c:v>39489</c:v>
                </c:pt>
                <c:pt idx="126">
                  <c:v>39482</c:v>
                </c:pt>
                <c:pt idx="127">
                  <c:v>39475</c:v>
                </c:pt>
                <c:pt idx="128">
                  <c:v>39469</c:v>
                </c:pt>
                <c:pt idx="129">
                  <c:v>39461</c:v>
                </c:pt>
                <c:pt idx="130">
                  <c:v>39454</c:v>
                </c:pt>
                <c:pt idx="131">
                  <c:v>39447</c:v>
                </c:pt>
                <c:pt idx="132">
                  <c:v>39440</c:v>
                </c:pt>
                <c:pt idx="133">
                  <c:v>39433</c:v>
                </c:pt>
                <c:pt idx="134">
                  <c:v>39426</c:v>
                </c:pt>
                <c:pt idx="135">
                  <c:v>39419</c:v>
                </c:pt>
                <c:pt idx="136">
                  <c:v>39412</c:v>
                </c:pt>
                <c:pt idx="137">
                  <c:v>39405</c:v>
                </c:pt>
                <c:pt idx="138">
                  <c:v>39398</c:v>
                </c:pt>
                <c:pt idx="139">
                  <c:v>39391</c:v>
                </c:pt>
                <c:pt idx="140">
                  <c:v>39384</c:v>
                </c:pt>
                <c:pt idx="141">
                  <c:v>39377</c:v>
                </c:pt>
                <c:pt idx="142">
                  <c:v>39370</c:v>
                </c:pt>
                <c:pt idx="143">
                  <c:v>39363</c:v>
                </c:pt>
                <c:pt idx="144">
                  <c:v>39356</c:v>
                </c:pt>
                <c:pt idx="145">
                  <c:v>39349</c:v>
                </c:pt>
                <c:pt idx="146">
                  <c:v>39342</c:v>
                </c:pt>
                <c:pt idx="147">
                  <c:v>39335</c:v>
                </c:pt>
                <c:pt idx="148">
                  <c:v>39329</c:v>
                </c:pt>
                <c:pt idx="149">
                  <c:v>39321</c:v>
                </c:pt>
                <c:pt idx="150">
                  <c:v>39314</c:v>
                </c:pt>
                <c:pt idx="151">
                  <c:v>39307</c:v>
                </c:pt>
                <c:pt idx="152">
                  <c:v>39300</c:v>
                </c:pt>
                <c:pt idx="153">
                  <c:v>39293</c:v>
                </c:pt>
                <c:pt idx="154">
                  <c:v>39286</c:v>
                </c:pt>
                <c:pt idx="155">
                  <c:v>39279</c:v>
                </c:pt>
                <c:pt idx="156">
                  <c:v>39272</c:v>
                </c:pt>
                <c:pt idx="157">
                  <c:v>39265</c:v>
                </c:pt>
                <c:pt idx="158">
                  <c:v>39258</c:v>
                </c:pt>
                <c:pt idx="159">
                  <c:v>39251</c:v>
                </c:pt>
                <c:pt idx="160">
                  <c:v>39244</c:v>
                </c:pt>
                <c:pt idx="161">
                  <c:v>39237</c:v>
                </c:pt>
                <c:pt idx="162">
                  <c:v>39231</c:v>
                </c:pt>
                <c:pt idx="163">
                  <c:v>39223</c:v>
                </c:pt>
                <c:pt idx="164">
                  <c:v>39216</c:v>
                </c:pt>
                <c:pt idx="165">
                  <c:v>39209</c:v>
                </c:pt>
                <c:pt idx="166">
                  <c:v>39202</c:v>
                </c:pt>
                <c:pt idx="167">
                  <c:v>39195</c:v>
                </c:pt>
                <c:pt idx="168">
                  <c:v>39188</c:v>
                </c:pt>
                <c:pt idx="169">
                  <c:v>39181</c:v>
                </c:pt>
                <c:pt idx="170">
                  <c:v>39174</c:v>
                </c:pt>
                <c:pt idx="171">
                  <c:v>39167</c:v>
                </c:pt>
                <c:pt idx="172">
                  <c:v>39160</c:v>
                </c:pt>
                <c:pt idx="173">
                  <c:v>39153</c:v>
                </c:pt>
                <c:pt idx="174">
                  <c:v>39146</c:v>
                </c:pt>
                <c:pt idx="175">
                  <c:v>39139</c:v>
                </c:pt>
                <c:pt idx="176">
                  <c:v>39133</c:v>
                </c:pt>
                <c:pt idx="177">
                  <c:v>39125</c:v>
                </c:pt>
                <c:pt idx="178">
                  <c:v>39118</c:v>
                </c:pt>
                <c:pt idx="179">
                  <c:v>39111</c:v>
                </c:pt>
                <c:pt idx="180">
                  <c:v>39104</c:v>
                </c:pt>
                <c:pt idx="181">
                  <c:v>39098</c:v>
                </c:pt>
                <c:pt idx="182">
                  <c:v>39090</c:v>
                </c:pt>
                <c:pt idx="183">
                  <c:v>39085</c:v>
                </c:pt>
                <c:pt idx="184">
                  <c:v>39077</c:v>
                </c:pt>
                <c:pt idx="185">
                  <c:v>39069</c:v>
                </c:pt>
                <c:pt idx="186">
                  <c:v>39062</c:v>
                </c:pt>
                <c:pt idx="187">
                  <c:v>39055</c:v>
                </c:pt>
                <c:pt idx="188">
                  <c:v>39048</c:v>
                </c:pt>
                <c:pt idx="189">
                  <c:v>39041</c:v>
                </c:pt>
                <c:pt idx="190">
                  <c:v>39034</c:v>
                </c:pt>
                <c:pt idx="191">
                  <c:v>39027</c:v>
                </c:pt>
                <c:pt idx="192">
                  <c:v>39020</c:v>
                </c:pt>
                <c:pt idx="193">
                  <c:v>39013</c:v>
                </c:pt>
                <c:pt idx="194">
                  <c:v>39006</c:v>
                </c:pt>
                <c:pt idx="195">
                  <c:v>38999</c:v>
                </c:pt>
                <c:pt idx="196">
                  <c:v>38992</c:v>
                </c:pt>
                <c:pt idx="197">
                  <c:v>38985</c:v>
                </c:pt>
                <c:pt idx="198">
                  <c:v>38978</c:v>
                </c:pt>
                <c:pt idx="199">
                  <c:v>38971</c:v>
                </c:pt>
                <c:pt idx="200">
                  <c:v>38965</c:v>
                </c:pt>
                <c:pt idx="201">
                  <c:v>38957</c:v>
                </c:pt>
                <c:pt idx="202">
                  <c:v>38950</c:v>
                </c:pt>
                <c:pt idx="203">
                  <c:v>38943</c:v>
                </c:pt>
                <c:pt idx="204">
                  <c:v>38936</c:v>
                </c:pt>
                <c:pt idx="205">
                  <c:v>38929</c:v>
                </c:pt>
                <c:pt idx="206">
                  <c:v>38922</c:v>
                </c:pt>
                <c:pt idx="207">
                  <c:v>38915</c:v>
                </c:pt>
                <c:pt idx="208">
                  <c:v>38908</c:v>
                </c:pt>
                <c:pt idx="209">
                  <c:v>38901</c:v>
                </c:pt>
                <c:pt idx="210">
                  <c:v>38894</c:v>
                </c:pt>
                <c:pt idx="211">
                  <c:v>38887</c:v>
                </c:pt>
                <c:pt idx="212">
                  <c:v>38880</c:v>
                </c:pt>
                <c:pt idx="213">
                  <c:v>38873</c:v>
                </c:pt>
                <c:pt idx="214">
                  <c:v>38867</c:v>
                </c:pt>
                <c:pt idx="215">
                  <c:v>38859</c:v>
                </c:pt>
                <c:pt idx="216">
                  <c:v>38852</c:v>
                </c:pt>
                <c:pt idx="217">
                  <c:v>38845</c:v>
                </c:pt>
                <c:pt idx="218">
                  <c:v>38838</c:v>
                </c:pt>
                <c:pt idx="219">
                  <c:v>38831</c:v>
                </c:pt>
                <c:pt idx="220">
                  <c:v>38824</c:v>
                </c:pt>
                <c:pt idx="221">
                  <c:v>38817</c:v>
                </c:pt>
                <c:pt idx="222">
                  <c:v>38810</c:v>
                </c:pt>
                <c:pt idx="223">
                  <c:v>38803</c:v>
                </c:pt>
                <c:pt idx="224">
                  <c:v>38796</c:v>
                </c:pt>
                <c:pt idx="225">
                  <c:v>38789</c:v>
                </c:pt>
                <c:pt idx="226">
                  <c:v>38782</c:v>
                </c:pt>
                <c:pt idx="227">
                  <c:v>38775</c:v>
                </c:pt>
                <c:pt idx="228">
                  <c:v>38769</c:v>
                </c:pt>
                <c:pt idx="229">
                  <c:v>38761</c:v>
                </c:pt>
                <c:pt idx="230">
                  <c:v>38754</c:v>
                </c:pt>
                <c:pt idx="231">
                  <c:v>38747</c:v>
                </c:pt>
                <c:pt idx="232">
                  <c:v>38740</c:v>
                </c:pt>
                <c:pt idx="233">
                  <c:v>38734</c:v>
                </c:pt>
                <c:pt idx="234">
                  <c:v>38726</c:v>
                </c:pt>
                <c:pt idx="235">
                  <c:v>38720</c:v>
                </c:pt>
                <c:pt idx="236">
                  <c:v>38713</c:v>
                </c:pt>
                <c:pt idx="237">
                  <c:v>38705</c:v>
                </c:pt>
                <c:pt idx="238">
                  <c:v>38698</c:v>
                </c:pt>
                <c:pt idx="239">
                  <c:v>38691</c:v>
                </c:pt>
                <c:pt idx="240">
                  <c:v>38684</c:v>
                </c:pt>
                <c:pt idx="241">
                  <c:v>38677</c:v>
                </c:pt>
                <c:pt idx="242">
                  <c:v>38670</c:v>
                </c:pt>
                <c:pt idx="243">
                  <c:v>38663</c:v>
                </c:pt>
                <c:pt idx="244">
                  <c:v>38656</c:v>
                </c:pt>
                <c:pt idx="245">
                  <c:v>38649</c:v>
                </c:pt>
                <c:pt idx="246">
                  <c:v>38642</c:v>
                </c:pt>
                <c:pt idx="247">
                  <c:v>38635</c:v>
                </c:pt>
                <c:pt idx="248">
                  <c:v>38628</c:v>
                </c:pt>
                <c:pt idx="249">
                  <c:v>38621</c:v>
                </c:pt>
                <c:pt idx="250">
                  <c:v>38614</c:v>
                </c:pt>
                <c:pt idx="251">
                  <c:v>38607</c:v>
                </c:pt>
                <c:pt idx="252">
                  <c:v>38601</c:v>
                </c:pt>
                <c:pt idx="253">
                  <c:v>38593</c:v>
                </c:pt>
                <c:pt idx="254">
                  <c:v>38586</c:v>
                </c:pt>
                <c:pt idx="255">
                  <c:v>38579</c:v>
                </c:pt>
                <c:pt idx="256">
                  <c:v>38572</c:v>
                </c:pt>
                <c:pt idx="257">
                  <c:v>38565</c:v>
                </c:pt>
                <c:pt idx="258">
                  <c:v>38558</c:v>
                </c:pt>
                <c:pt idx="259">
                  <c:v>38551</c:v>
                </c:pt>
                <c:pt idx="260">
                  <c:v>38544</c:v>
                </c:pt>
                <c:pt idx="261">
                  <c:v>38538</c:v>
                </c:pt>
                <c:pt idx="262">
                  <c:v>38530</c:v>
                </c:pt>
                <c:pt idx="263">
                  <c:v>38523</c:v>
                </c:pt>
                <c:pt idx="264">
                  <c:v>38516</c:v>
                </c:pt>
                <c:pt idx="265">
                  <c:v>38509</c:v>
                </c:pt>
                <c:pt idx="266">
                  <c:v>38503</c:v>
                </c:pt>
                <c:pt idx="267">
                  <c:v>38495</c:v>
                </c:pt>
                <c:pt idx="268">
                  <c:v>38488</c:v>
                </c:pt>
                <c:pt idx="269">
                  <c:v>38481</c:v>
                </c:pt>
                <c:pt idx="270">
                  <c:v>38474</c:v>
                </c:pt>
                <c:pt idx="271">
                  <c:v>38467</c:v>
                </c:pt>
                <c:pt idx="272">
                  <c:v>38460</c:v>
                </c:pt>
                <c:pt idx="273">
                  <c:v>38453</c:v>
                </c:pt>
                <c:pt idx="274">
                  <c:v>38446</c:v>
                </c:pt>
                <c:pt idx="275">
                  <c:v>38439</c:v>
                </c:pt>
                <c:pt idx="276">
                  <c:v>38432</c:v>
                </c:pt>
                <c:pt idx="277">
                  <c:v>38425</c:v>
                </c:pt>
                <c:pt idx="278">
                  <c:v>38418</c:v>
                </c:pt>
                <c:pt idx="279">
                  <c:v>38411</c:v>
                </c:pt>
                <c:pt idx="280">
                  <c:v>38405</c:v>
                </c:pt>
                <c:pt idx="281">
                  <c:v>38397</c:v>
                </c:pt>
                <c:pt idx="282">
                  <c:v>38390</c:v>
                </c:pt>
                <c:pt idx="283">
                  <c:v>38383</c:v>
                </c:pt>
                <c:pt idx="284">
                  <c:v>38376</c:v>
                </c:pt>
                <c:pt idx="285">
                  <c:v>38370</c:v>
                </c:pt>
                <c:pt idx="286">
                  <c:v>38362</c:v>
                </c:pt>
                <c:pt idx="287">
                  <c:v>38355</c:v>
                </c:pt>
                <c:pt idx="288">
                  <c:v>38348</c:v>
                </c:pt>
                <c:pt idx="289">
                  <c:v>38341</c:v>
                </c:pt>
                <c:pt idx="290">
                  <c:v>38334</c:v>
                </c:pt>
                <c:pt idx="291">
                  <c:v>38327</c:v>
                </c:pt>
                <c:pt idx="292">
                  <c:v>38320</c:v>
                </c:pt>
                <c:pt idx="293">
                  <c:v>38313</c:v>
                </c:pt>
                <c:pt idx="294">
                  <c:v>38306</c:v>
                </c:pt>
                <c:pt idx="295">
                  <c:v>38299</c:v>
                </c:pt>
                <c:pt idx="296">
                  <c:v>38292</c:v>
                </c:pt>
                <c:pt idx="297">
                  <c:v>38285</c:v>
                </c:pt>
                <c:pt idx="298">
                  <c:v>38278</c:v>
                </c:pt>
                <c:pt idx="299">
                  <c:v>38271</c:v>
                </c:pt>
                <c:pt idx="300">
                  <c:v>38264</c:v>
                </c:pt>
                <c:pt idx="301">
                  <c:v>38257</c:v>
                </c:pt>
                <c:pt idx="302">
                  <c:v>38250</c:v>
                </c:pt>
                <c:pt idx="303">
                  <c:v>38243</c:v>
                </c:pt>
                <c:pt idx="304">
                  <c:v>38237</c:v>
                </c:pt>
                <c:pt idx="305">
                  <c:v>38229</c:v>
                </c:pt>
                <c:pt idx="306">
                  <c:v>38222</c:v>
                </c:pt>
                <c:pt idx="307">
                  <c:v>38215</c:v>
                </c:pt>
                <c:pt idx="308">
                  <c:v>38208</c:v>
                </c:pt>
                <c:pt idx="309">
                  <c:v>38201</c:v>
                </c:pt>
                <c:pt idx="310">
                  <c:v>38194</c:v>
                </c:pt>
                <c:pt idx="311">
                  <c:v>38187</c:v>
                </c:pt>
                <c:pt idx="312">
                  <c:v>38180</c:v>
                </c:pt>
                <c:pt idx="313">
                  <c:v>38174</c:v>
                </c:pt>
                <c:pt idx="314">
                  <c:v>38166</c:v>
                </c:pt>
                <c:pt idx="315">
                  <c:v>38159</c:v>
                </c:pt>
                <c:pt idx="316">
                  <c:v>38152</c:v>
                </c:pt>
                <c:pt idx="317">
                  <c:v>38145</c:v>
                </c:pt>
                <c:pt idx="318">
                  <c:v>38139</c:v>
                </c:pt>
                <c:pt idx="319">
                  <c:v>38131</c:v>
                </c:pt>
                <c:pt idx="320">
                  <c:v>38124</c:v>
                </c:pt>
                <c:pt idx="321">
                  <c:v>38117</c:v>
                </c:pt>
                <c:pt idx="322">
                  <c:v>38110</c:v>
                </c:pt>
                <c:pt idx="323">
                  <c:v>38103</c:v>
                </c:pt>
                <c:pt idx="324">
                  <c:v>38096</c:v>
                </c:pt>
                <c:pt idx="325">
                  <c:v>38089</c:v>
                </c:pt>
                <c:pt idx="326">
                  <c:v>38082</c:v>
                </c:pt>
                <c:pt idx="327">
                  <c:v>38075</c:v>
                </c:pt>
                <c:pt idx="328">
                  <c:v>38068</c:v>
                </c:pt>
                <c:pt idx="329">
                  <c:v>38061</c:v>
                </c:pt>
                <c:pt idx="330">
                  <c:v>38054</c:v>
                </c:pt>
                <c:pt idx="331">
                  <c:v>38047</c:v>
                </c:pt>
                <c:pt idx="332">
                  <c:v>38040</c:v>
                </c:pt>
                <c:pt idx="333">
                  <c:v>38034</c:v>
                </c:pt>
                <c:pt idx="334">
                  <c:v>38026</c:v>
                </c:pt>
                <c:pt idx="335">
                  <c:v>38019</c:v>
                </c:pt>
                <c:pt idx="336">
                  <c:v>38012</c:v>
                </c:pt>
                <c:pt idx="337">
                  <c:v>38006</c:v>
                </c:pt>
                <c:pt idx="338">
                  <c:v>37998</c:v>
                </c:pt>
                <c:pt idx="339">
                  <c:v>37991</c:v>
                </c:pt>
                <c:pt idx="340">
                  <c:v>37984</c:v>
                </c:pt>
                <c:pt idx="341">
                  <c:v>37977</c:v>
                </c:pt>
                <c:pt idx="342">
                  <c:v>37970</c:v>
                </c:pt>
                <c:pt idx="343">
                  <c:v>37963</c:v>
                </c:pt>
                <c:pt idx="344">
                  <c:v>37956</c:v>
                </c:pt>
                <c:pt idx="345">
                  <c:v>37949</c:v>
                </c:pt>
                <c:pt idx="346">
                  <c:v>37942</c:v>
                </c:pt>
                <c:pt idx="347">
                  <c:v>37935</c:v>
                </c:pt>
                <c:pt idx="348">
                  <c:v>37928</c:v>
                </c:pt>
                <c:pt idx="349">
                  <c:v>37921</c:v>
                </c:pt>
              </c:numCache>
            </c:numRef>
          </c:cat>
          <c:val>
            <c:numRef>
              <c:f>PriceValueGraph!$I$38:$I$614</c:f>
              <c:numCache>
                <c:formatCode>"$"#,##0.00_);[Red]\("$"#,##0.00\)</c:formatCode>
                <c:ptCount val="577"/>
                <c:pt idx="0">
                  <c:v>16.52673854035822</c:v>
                </c:pt>
                <c:pt idx="1">
                  <c:v>16.52673854035822</c:v>
                </c:pt>
                <c:pt idx="2">
                  <c:v>16.52673854035822</c:v>
                </c:pt>
                <c:pt idx="3">
                  <c:v>16.52673854035822</c:v>
                </c:pt>
                <c:pt idx="4">
                  <c:v>16.52673854035822</c:v>
                </c:pt>
                <c:pt idx="5">
                  <c:v>16.52673854035822</c:v>
                </c:pt>
                <c:pt idx="6">
                  <c:v>16.52673854035822</c:v>
                </c:pt>
                <c:pt idx="7">
                  <c:v>16.52673854035822</c:v>
                </c:pt>
                <c:pt idx="8">
                  <c:v>16.52673854035822</c:v>
                </c:pt>
                <c:pt idx="9">
                  <c:v>16.52673854035822</c:v>
                </c:pt>
                <c:pt idx="10">
                  <c:v>16.52673854035822</c:v>
                </c:pt>
                <c:pt idx="11">
                  <c:v>16.52673854035822</c:v>
                </c:pt>
                <c:pt idx="12">
                  <c:v>16.52673854035822</c:v>
                </c:pt>
                <c:pt idx="13">
                  <c:v>16.52673854035822</c:v>
                </c:pt>
                <c:pt idx="14">
                  <c:v>16.52673854035822</c:v>
                </c:pt>
                <c:pt idx="15">
                  <c:v>16.52673854035822</c:v>
                </c:pt>
                <c:pt idx="16">
                  <c:v>16.52673854035822</c:v>
                </c:pt>
                <c:pt idx="17">
                  <c:v>16.52673854035822</c:v>
                </c:pt>
                <c:pt idx="18">
                  <c:v>16.52673854035822</c:v>
                </c:pt>
                <c:pt idx="19">
                  <c:v>16.52673854035822</c:v>
                </c:pt>
                <c:pt idx="20">
                  <c:v>16.52673854035822</c:v>
                </c:pt>
                <c:pt idx="21">
                  <c:v>16.52673854035822</c:v>
                </c:pt>
                <c:pt idx="22">
                  <c:v>16.52673854035822</c:v>
                </c:pt>
                <c:pt idx="23">
                  <c:v>16.52673854035822</c:v>
                </c:pt>
                <c:pt idx="24">
                  <c:v>16.52673854035822</c:v>
                </c:pt>
                <c:pt idx="25">
                  <c:v>16.52673854035822</c:v>
                </c:pt>
                <c:pt idx="26">
                  <c:v>16.52673854035822</c:v>
                </c:pt>
                <c:pt idx="27">
                  <c:v>16.52673854035822</c:v>
                </c:pt>
                <c:pt idx="28">
                  <c:v>16.52673854035822</c:v>
                </c:pt>
                <c:pt idx="29">
                  <c:v>16.52673854035822</c:v>
                </c:pt>
                <c:pt idx="30">
                  <c:v>16.52673854035822</c:v>
                </c:pt>
                <c:pt idx="31">
                  <c:v>16.52673854035822</c:v>
                </c:pt>
                <c:pt idx="32">
                  <c:v>16.52673854035822</c:v>
                </c:pt>
                <c:pt idx="33">
                  <c:v>16.52673854035822</c:v>
                </c:pt>
                <c:pt idx="34">
                  <c:v>16.52673854035822</c:v>
                </c:pt>
                <c:pt idx="35">
                  <c:v>16.52673854035822</c:v>
                </c:pt>
                <c:pt idx="36">
                  <c:v>16.52673854035822</c:v>
                </c:pt>
                <c:pt idx="37">
                  <c:v>16.52673854035822</c:v>
                </c:pt>
                <c:pt idx="38">
                  <c:v>16.52673854035822</c:v>
                </c:pt>
                <c:pt idx="39">
                  <c:v>16.52673854035822</c:v>
                </c:pt>
                <c:pt idx="40">
                  <c:v>16.52673854035822</c:v>
                </c:pt>
                <c:pt idx="41">
                  <c:v>16.52673854035822</c:v>
                </c:pt>
                <c:pt idx="42">
                  <c:v>16.52673854035822</c:v>
                </c:pt>
                <c:pt idx="43">
                  <c:v>16.52673854035822</c:v>
                </c:pt>
                <c:pt idx="44">
                  <c:v>16.52673854035822</c:v>
                </c:pt>
                <c:pt idx="45">
                  <c:v>16.52673854035822</c:v>
                </c:pt>
                <c:pt idx="46">
                  <c:v>16.52673854035822</c:v>
                </c:pt>
                <c:pt idx="47">
                  <c:v>16.52673854035822</c:v>
                </c:pt>
                <c:pt idx="48">
                  <c:v>16.52673854035822</c:v>
                </c:pt>
                <c:pt idx="49">
                  <c:v>16.52673854035822</c:v>
                </c:pt>
                <c:pt idx="50">
                  <c:v>16.52673854035822</c:v>
                </c:pt>
                <c:pt idx="51">
                  <c:v>16.52673854035822</c:v>
                </c:pt>
                <c:pt idx="52">
                  <c:v>16.52673854035822</c:v>
                </c:pt>
                <c:pt idx="53">
                  <c:v>16.52673854035822</c:v>
                </c:pt>
                <c:pt idx="54">
                  <c:v>16.52673854035822</c:v>
                </c:pt>
                <c:pt idx="55">
                  <c:v>16.52673854035822</c:v>
                </c:pt>
                <c:pt idx="56">
                  <c:v>15.812401226606713</c:v>
                </c:pt>
                <c:pt idx="57">
                  <c:v>15.812401226606713</c:v>
                </c:pt>
                <c:pt idx="58">
                  <c:v>15.812401226606713</c:v>
                </c:pt>
                <c:pt idx="59">
                  <c:v>15.812401226606713</c:v>
                </c:pt>
                <c:pt idx="60">
                  <c:v>15.812401226606713</c:v>
                </c:pt>
                <c:pt idx="61">
                  <c:v>15.812401226606713</c:v>
                </c:pt>
                <c:pt idx="62">
                  <c:v>15.812401226606713</c:v>
                </c:pt>
                <c:pt idx="63">
                  <c:v>15.812401226606713</c:v>
                </c:pt>
                <c:pt idx="64">
                  <c:v>15.812401226606713</c:v>
                </c:pt>
                <c:pt idx="65">
                  <c:v>15.812401226606713</c:v>
                </c:pt>
                <c:pt idx="66">
                  <c:v>15.812401226606713</c:v>
                </c:pt>
                <c:pt idx="67">
                  <c:v>15.812401226606713</c:v>
                </c:pt>
                <c:pt idx="68">
                  <c:v>15.812401226606713</c:v>
                </c:pt>
                <c:pt idx="69">
                  <c:v>15.812401226606713</c:v>
                </c:pt>
                <c:pt idx="70">
                  <c:v>15.812401226606713</c:v>
                </c:pt>
                <c:pt idx="71">
                  <c:v>15.812401226606713</c:v>
                </c:pt>
                <c:pt idx="72">
                  <c:v>15.812401226606713</c:v>
                </c:pt>
                <c:pt idx="73">
                  <c:v>15.812401226606713</c:v>
                </c:pt>
                <c:pt idx="74">
                  <c:v>15.812401226606713</c:v>
                </c:pt>
                <c:pt idx="75">
                  <c:v>15.812401226606713</c:v>
                </c:pt>
                <c:pt idx="76">
                  <c:v>15.812401226606713</c:v>
                </c:pt>
                <c:pt idx="77">
                  <c:v>15.812401226606713</c:v>
                </c:pt>
                <c:pt idx="78">
                  <c:v>15.812401226606713</c:v>
                </c:pt>
                <c:pt idx="79">
                  <c:v>15.812401226606713</c:v>
                </c:pt>
                <c:pt idx="80">
                  <c:v>15.812401226606713</c:v>
                </c:pt>
                <c:pt idx="81">
                  <c:v>15.812401226606713</c:v>
                </c:pt>
                <c:pt idx="82">
                  <c:v>15.812401226606713</c:v>
                </c:pt>
                <c:pt idx="83">
                  <c:v>15.812401226606713</c:v>
                </c:pt>
                <c:pt idx="84">
                  <c:v>15.812401226606713</c:v>
                </c:pt>
                <c:pt idx="85">
                  <c:v>15.812401226606713</c:v>
                </c:pt>
                <c:pt idx="86">
                  <c:v>15.812401226606713</c:v>
                </c:pt>
                <c:pt idx="87">
                  <c:v>15.812401226606713</c:v>
                </c:pt>
                <c:pt idx="88">
                  <c:v>15.812401226606713</c:v>
                </c:pt>
                <c:pt idx="89">
                  <c:v>15.812401226606713</c:v>
                </c:pt>
                <c:pt idx="90">
                  <c:v>15.812401226606713</c:v>
                </c:pt>
                <c:pt idx="91">
                  <c:v>15.812401226606713</c:v>
                </c:pt>
                <c:pt idx="92">
                  <c:v>15.812401226606713</c:v>
                </c:pt>
                <c:pt idx="93">
                  <c:v>15.812401226606713</c:v>
                </c:pt>
                <c:pt idx="94">
                  <c:v>15.812401226606713</c:v>
                </c:pt>
                <c:pt idx="95">
                  <c:v>15.812401226606713</c:v>
                </c:pt>
                <c:pt idx="96">
                  <c:v>15.812401226606713</c:v>
                </c:pt>
                <c:pt idx="97">
                  <c:v>15.812401226606713</c:v>
                </c:pt>
                <c:pt idx="98">
                  <c:v>15.812401226606713</c:v>
                </c:pt>
                <c:pt idx="99">
                  <c:v>15.812401226606713</c:v>
                </c:pt>
                <c:pt idx="100">
                  <c:v>15.812401226606713</c:v>
                </c:pt>
                <c:pt idx="101">
                  <c:v>15.812401226606713</c:v>
                </c:pt>
                <c:pt idx="102">
                  <c:v>15.812401226606713</c:v>
                </c:pt>
                <c:pt idx="103">
                  <c:v>15.812401226606713</c:v>
                </c:pt>
                <c:pt idx="104">
                  <c:v>15.812401226606713</c:v>
                </c:pt>
                <c:pt idx="105">
                  <c:v>15.812401226606713</c:v>
                </c:pt>
                <c:pt idx="106">
                  <c:v>15.812401226606713</c:v>
                </c:pt>
                <c:pt idx="107">
                  <c:v>15.812401226606713</c:v>
                </c:pt>
                <c:pt idx="108">
                  <c:v>14.208613051482986</c:v>
                </c:pt>
                <c:pt idx="109">
                  <c:v>14.208613051482986</c:v>
                </c:pt>
                <c:pt idx="110">
                  <c:v>14.208613051482986</c:v>
                </c:pt>
                <c:pt idx="111">
                  <c:v>14.208613051482986</c:v>
                </c:pt>
                <c:pt idx="112">
                  <c:v>14.208613051482986</c:v>
                </c:pt>
                <c:pt idx="113">
                  <c:v>14.208613051482986</c:v>
                </c:pt>
                <c:pt idx="114">
                  <c:v>14.208613051482986</c:v>
                </c:pt>
                <c:pt idx="115">
                  <c:v>14.208613051482986</c:v>
                </c:pt>
                <c:pt idx="116">
                  <c:v>14.208613051482986</c:v>
                </c:pt>
                <c:pt idx="117">
                  <c:v>14.208613051482986</c:v>
                </c:pt>
                <c:pt idx="118">
                  <c:v>14.208613051482986</c:v>
                </c:pt>
                <c:pt idx="119">
                  <c:v>14.208613051482986</c:v>
                </c:pt>
                <c:pt idx="120">
                  <c:v>14.208613051482986</c:v>
                </c:pt>
                <c:pt idx="121">
                  <c:v>14.208613051482986</c:v>
                </c:pt>
                <c:pt idx="122">
                  <c:v>14.208613051482986</c:v>
                </c:pt>
                <c:pt idx="123">
                  <c:v>14.208613051482986</c:v>
                </c:pt>
                <c:pt idx="124">
                  <c:v>14.208613051482986</c:v>
                </c:pt>
                <c:pt idx="125">
                  <c:v>14.208613051482986</c:v>
                </c:pt>
                <c:pt idx="126">
                  <c:v>14.208613051482986</c:v>
                </c:pt>
                <c:pt idx="127">
                  <c:v>14.208613051482986</c:v>
                </c:pt>
                <c:pt idx="128">
                  <c:v>14.208613051482986</c:v>
                </c:pt>
                <c:pt idx="129">
                  <c:v>14.208613051482986</c:v>
                </c:pt>
                <c:pt idx="130">
                  <c:v>14.208613051482986</c:v>
                </c:pt>
                <c:pt idx="131">
                  <c:v>14.208613051482986</c:v>
                </c:pt>
                <c:pt idx="132">
                  <c:v>14.208613051482986</c:v>
                </c:pt>
                <c:pt idx="133">
                  <c:v>14.208613051482986</c:v>
                </c:pt>
                <c:pt idx="134">
                  <c:v>14.208613051482986</c:v>
                </c:pt>
                <c:pt idx="135">
                  <c:v>14.208613051482986</c:v>
                </c:pt>
                <c:pt idx="136">
                  <c:v>14.208613051482986</c:v>
                </c:pt>
                <c:pt idx="137">
                  <c:v>14.208613051482986</c:v>
                </c:pt>
                <c:pt idx="138">
                  <c:v>14.208613051482986</c:v>
                </c:pt>
                <c:pt idx="139">
                  <c:v>14.208613051482986</c:v>
                </c:pt>
                <c:pt idx="140">
                  <c:v>14.208613051482986</c:v>
                </c:pt>
                <c:pt idx="141">
                  <c:v>14.208613051482986</c:v>
                </c:pt>
                <c:pt idx="142">
                  <c:v>14.208613051482986</c:v>
                </c:pt>
                <c:pt idx="143">
                  <c:v>14.208613051482986</c:v>
                </c:pt>
                <c:pt idx="144">
                  <c:v>14.208613051482986</c:v>
                </c:pt>
                <c:pt idx="145">
                  <c:v>14.208613051482986</c:v>
                </c:pt>
                <c:pt idx="146">
                  <c:v>14.208613051482986</c:v>
                </c:pt>
                <c:pt idx="147">
                  <c:v>14.208613051482986</c:v>
                </c:pt>
                <c:pt idx="148">
                  <c:v>14.208613051482986</c:v>
                </c:pt>
                <c:pt idx="149">
                  <c:v>14.208613051482986</c:v>
                </c:pt>
                <c:pt idx="150">
                  <c:v>14.208613051482986</c:v>
                </c:pt>
                <c:pt idx="151">
                  <c:v>14.208613051482986</c:v>
                </c:pt>
                <c:pt idx="152">
                  <c:v>14.208613051482986</c:v>
                </c:pt>
                <c:pt idx="153">
                  <c:v>14.208613051482986</c:v>
                </c:pt>
                <c:pt idx="154">
                  <c:v>14.208613051482986</c:v>
                </c:pt>
                <c:pt idx="155">
                  <c:v>14.208613051482986</c:v>
                </c:pt>
                <c:pt idx="156">
                  <c:v>14.208613051482986</c:v>
                </c:pt>
                <c:pt idx="157">
                  <c:v>14.208613051482986</c:v>
                </c:pt>
                <c:pt idx="158">
                  <c:v>14.208613051482986</c:v>
                </c:pt>
                <c:pt idx="159">
                  <c:v>14.208613051482986</c:v>
                </c:pt>
                <c:pt idx="160">
                  <c:v>14.037042317605316</c:v>
                </c:pt>
                <c:pt idx="161">
                  <c:v>14.037042317605316</c:v>
                </c:pt>
                <c:pt idx="162">
                  <c:v>14.037042317605316</c:v>
                </c:pt>
                <c:pt idx="163">
                  <c:v>14.037042317605316</c:v>
                </c:pt>
                <c:pt idx="164">
                  <c:v>14.037042317605316</c:v>
                </c:pt>
                <c:pt idx="165">
                  <c:v>14.037042317605316</c:v>
                </c:pt>
                <c:pt idx="166">
                  <c:v>14.037042317605316</c:v>
                </c:pt>
                <c:pt idx="167">
                  <c:v>14.037042317605316</c:v>
                </c:pt>
                <c:pt idx="168">
                  <c:v>14.037042317605316</c:v>
                </c:pt>
                <c:pt idx="169">
                  <c:v>14.037042317605316</c:v>
                </c:pt>
                <c:pt idx="170">
                  <c:v>14.037042317605316</c:v>
                </c:pt>
                <c:pt idx="171">
                  <c:v>14.037042317605316</c:v>
                </c:pt>
                <c:pt idx="172">
                  <c:v>14.037042317605316</c:v>
                </c:pt>
                <c:pt idx="173">
                  <c:v>14.037042317605316</c:v>
                </c:pt>
                <c:pt idx="174">
                  <c:v>14.037042317605316</c:v>
                </c:pt>
                <c:pt idx="175">
                  <c:v>14.037042317605316</c:v>
                </c:pt>
                <c:pt idx="176">
                  <c:v>14.037042317605316</c:v>
                </c:pt>
                <c:pt idx="177">
                  <c:v>14.037042317605316</c:v>
                </c:pt>
                <c:pt idx="178">
                  <c:v>14.037042317605316</c:v>
                </c:pt>
                <c:pt idx="179">
                  <c:v>14.037042317605316</c:v>
                </c:pt>
                <c:pt idx="180">
                  <c:v>14.037042317605316</c:v>
                </c:pt>
                <c:pt idx="181">
                  <c:v>14.037042317605316</c:v>
                </c:pt>
                <c:pt idx="182">
                  <c:v>14.037042317605316</c:v>
                </c:pt>
                <c:pt idx="183">
                  <c:v>14.037042317605316</c:v>
                </c:pt>
                <c:pt idx="184">
                  <c:v>14.037042317605316</c:v>
                </c:pt>
                <c:pt idx="185">
                  <c:v>14.037042317605316</c:v>
                </c:pt>
                <c:pt idx="186">
                  <c:v>14.037042317605316</c:v>
                </c:pt>
                <c:pt idx="187">
                  <c:v>14.037042317605316</c:v>
                </c:pt>
                <c:pt idx="188">
                  <c:v>14.037042317605316</c:v>
                </c:pt>
                <c:pt idx="189">
                  <c:v>14.037042317605316</c:v>
                </c:pt>
                <c:pt idx="190">
                  <c:v>14.037042317605316</c:v>
                </c:pt>
                <c:pt idx="191">
                  <c:v>14.037042317605316</c:v>
                </c:pt>
                <c:pt idx="192">
                  <c:v>14.037042317605316</c:v>
                </c:pt>
                <c:pt idx="193">
                  <c:v>14.037042317605316</c:v>
                </c:pt>
                <c:pt idx="194">
                  <c:v>14.037042317605316</c:v>
                </c:pt>
                <c:pt idx="195">
                  <c:v>14.037042317605316</c:v>
                </c:pt>
                <c:pt idx="196">
                  <c:v>14.037042317605316</c:v>
                </c:pt>
                <c:pt idx="197">
                  <c:v>14.037042317605316</c:v>
                </c:pt>
                <c:pt idx="198">
                  <c:v>14.037042317605316</c:v>
                </c:pt>
                <c:pt idx="199">
                  <c:v>14.037042317605316</c:v>
                </c:pt>
                <c:pt idx="200">
                  <c:v>14.037042317605316</c:v>
                </c:pt>
                <c:pt idx="201">
                  <c:v>14.037042317605316</c:v>
                </c:pt>
                <c:pt idx="202">
                  <c:v>14.037042317605316</c:v>
                </c:pt>
                <c:pt idx="203">
                  <c:v>14.037042317605316</c:v>
                </c:pt>
                <c:pt idx="204">
                  <c:v>14.037042317605316</c:v>
                </c:pt>
                <c:pt idx="205">
                  <c:v>14.037042317605316</c:v>
                </c:pt>
                <c:pt idx="206">
                  <c:v>14.037042317605316</c:v>
                </c:pt>
                <c:pt idx="207">
                  <c:v>14.037042317605316</c:v>
                </c:pt>
                <c:pt idx="208">
                  <c:v>14.037042317605316</c:v>
                </c:pt>
                <c:pt idx="209">
                  <c:v>14.037042317605316</c:v>
                </c:pt>
                <c:pt idx="210">
                  <c:v>14.037042317605316</c:v>
                </c:pt>
                <c:pt idx="211">
                  <c:v>14.037042317605316</c:v>
                </c:pt>
                <c:pt idx="212">
                  <c:v>13.768480922906432</c:v>
                </c:pt>
                <c:pt idx="213">
                  <c:v>13.768480922906432</c:v>
                </c:pt>
                <c:pt idx="214">
                  <c:v>13.768480922906432</c:v>
                </c:pt>
                <c:pt idx="215">
                  <c:v>13.768480922906432</c:v>
                </c:pt>
                <c:pt idx="216">
                  <c:v>13.768480922906432</c:v>
                </c:pt>
                <c:pt idx="217">
                  <c:v>13.768480922906432</c:v>
                </c:pt>
                <c:pt idx="218">
                  <c:v>13.768480922906432</c:v>
                </c:pt>
                <c:pt idx="219">
                  <c:v>13.768480922906432</c:v>
                </c:pt>
                <c:pt idx="220">
                  <c:v>13.768480922906432</c:v>
                </c:pt>
                <c:pt idx="221">
                  <c:v>13.768480922906432</c:v>
                </c:pt>
                <c:pt idx="222">
                  <c:v>13.768480922906432</c:v>
                </c:pt>
                <c:pt idx="223">
                  <c:v>13.768480922906432</c:v>
                </c:pt>
                <c:pt idx="224">
                  <c:v>13.768480922906432</c:v>
                </c:pt>
                <c:pt idx="225">
                  <c:v>13.768480922906432</c:v>
                </c:pt>
                <c:pt idx="226">
                  <c:v>13.768480922906432</c:v>
                </c:pt>
                <c:pt idx="227">
                  <c:v>13.768480922906432</c:v>
                </c:pt>
                <c:pt idx="228">
                  <c:v>13.768480922906432</c:v>
                </c:pt>
                <c:pt idx="229">
                  <c:v>13.768480922906432</c:v>
                </c:pt>
                <c:pt idx="230">
                  <c:v>13.768480922906432</c:v>
                </c:pt>
                <c:pt idx="231">
                  <c:v>13.768480922906432</c:v>
                </c:pt>
                <c:pt idx="232">
                  <c:v>13.768480922906432</c:v>
                </c:pt>
                <c:pt idx="233">
                  <c:v>13.768480922906432</c:v>
                </c:pt>
                <c:pt idx="234">
                  <c:v>13.768480922906432</c:v>
                </c:pt>
                <c:pt idx="235">
                  <c:v>13.768480922906432</c:v>
                </c:pt>
                <c:pt idx="236">
                  <c:v>13.768480922906432</c:v>
                </c:pt>
                <c:pt idx="237">
                  <c:v>13.768480922906432</c:v>
                </c:pt>
                <c:pt idx="238">
                  <c:v>13.768480922906432</c:v>
                </c:pt>
                <c:pt idx="239">
                  <c:v>13.768480922906432</c:v>
                </c:pt>
                <c:pt idx="240">
                  <c:v>13.768480922906432</c:v>
                </c:pt>
                <c:pt idx="241">
                  <c:v>13.768480922906432</c:v>
                </c:pt>
                <c:pt idx="242">
                  <c:v>13.768480922906432</c:v>
                </c:pt>
                <c:pt idx="243">
                  <c:v>13.768480922906432</c:v>
                </c:pt>
                <c:pt idx="244">
                  <c:v>13.768480922906432</c:v>
                </c:pt>
                <c:pt idx="245">
                  <c:v>13.768480922906432</c:v>
                </c:pt>
                <c:pt idx="246">
                  <c:v>13.768480922906432</c:v>
                </c:pt>
                <c:pt idx="247">
                  <c:v>13.768480922906432</c:v>
                </c:pt>
                <c:pt idx="248">
                  <c:v>13.768480922906432</c:v>
                </c:pt>
                <c:pt idx="249">
                  <c:v>13.768480922906432</c:v>
                </c:pt>
                <c:pt idx="250">
                  <c:v>13.768480922906432</c:v>
                </c:pt>
                <c:pt idx="251">
                  <c:v>13.768480922906432</c:v>
                </c:pt>
                <c:pt idx="252">
                  <c:v>13.768480922906432</c:v>
                </c:pt>
                <c:pt idx="253">
                  <c:v>13.768480922906432</c:v>
                </c:pt>
                <c:pt idx="254">
                  <c:v>13.768480922906432</c:v>
                </c:pt>
                <c:pt idx="255">
                  <c:v>13.768480922906432</c:v>
                </c:pt>
                <c:pt idx="256">
                  <c:v>13.768480922906432</c:v>
                </c:pt>
                <c:pt idx="257">
                  <c:v>13.768480922906432</c:v>
                </c:pt>
                <c:pt idx="258">
                  <c:v>13.768480922906432</c:v>
                </c:pt>
                <c:pt idx="259">
                  <c:v>13.768480922906432</c:v>
                </c:pt>
                <c:pt idx="260">
                  <c:v>13.768480922906432</c:v>
                </c:pt>
                <c:pt idx="261">
                  <c:v>13.768480922906432</c:v>
                </c:pt>
                <c:pt idx="262">
                  <c:v>13.768480922906432</c:v>
                </c:pt>
                <c:pt idx="263">
                  <c:v>13.768480922906432</c:v>
                </c:pt>
                <c:pt idx="264">
                  <c:v>13.181619725299248</c:v>
                </c:pt>
                <c:pt idx="265">
                  <c:v>13.181619725299248</c:v>
                </c:pt>
                <c:pt idx="266">
                  <c:v>13.181619725299248</c:v>
                </c:pt>
                <c:pt idx="267">
                  <c:v>13.181619725299248</c:v>
                </c:pt>
                <c:pt idx="268">
                  <c:v>13.181619725299248</c:v>
                </c:pt>
                <c:pt idx="269">
                  <c:v>13.181619725299248</c:v>
                </c:pt>
                <c:pt idx="270">
                  <c:v>13.181619725299248</c:v>
                </c:pt>
                <c:pt idx="271">
                  <c:v>13.181619725299248</c:v>
                </c:pt>
                <c:pt idx="272">
                  <c:v>13.181619725299248</c:v>
                </c:pt>
                <c:pt idx="273">
                  <c:v>13.181619725299248</c:v>
                </c:pt>
                <c:pt idx="274">
                  <c:v>13.181619725299248</c:v>
                </c:pt>
                <c:pt idx="275">
                  <c:v>13.181619725299248</c:v>
                </c:pt>
                <c:pt idx="276">
                  <c:v>13.181619725299248</c:v>
                </c:pt>
                <c:pt idx="277">
                  <c:v>13.181619725299248</c:v>
                </c:pt>
                <c:pt idx="278">
                  <c:v>13.181619725299248</c:v>
                </c:pt>
                <c:pt idx="279">
                  <c:v>13.181619725299248</c:v>
                </c:pt>
                <c:pt idx="280">
                  <c:v>13.181619725299248</c:v>
                </c:pt>
                <c:pt idx="281">
                  <c:v>13.181619725299248</c:v>
                </c:pt>
                <c:pt idx="282">
                  <c:v>13.181619725299248</c:v>
                </c:pt>
                <c:pt idx="283">
                  <c:v>13.181619725299248</c:v>
                </c:pt>
                <c:pt idx="284">
                  <c:v>13.181619725299248</c:v>
                </c:pt>
                <c:pt idx="285">
                  <c:v>13.181619725299248</c:v>
                </c:pt>
                <c:pt idx="286">
                  <c:v>13.181619725299248</c:v>
                </c:pt>
                <c:pt idx="287">
                  <c:v>13.181619725299248</c:v>
                </c:pt>
                <c:pt idx="288">
                  <c:v>13.181619725299248</c:v>
                </c:pt>
                <c:pt idx="289">
                  <c:v>13.181619725299248</c:v>
                </c:pt>
                <c:pt idx="290">
                  <c:v>13.181619725299248</c:v>
                </c:pt>
                <c:pt idx="291">
                  <c:v>13.181619725299248</c:v>
                </c:pt>
                <c:pt idx="292">
                  <c:v>13.181619725299248</c:v>
                </c:pt>
                <c:pt idx="293">
                  <c:v>13.181619725299248</c:v>
                </c:pt>
                <c:pt idx="294">
                  <c:v>13.181619725299248</c:v>
                </c:pt>
                <c:pt idx="295">
                  <c:v>13.181619725299248</c:v>
                </c:pt>
                <c:pt idx="296">
                  <c:v>13.181619725299248</c:v>
                </c:pt>
                <c:pt idx="297">
                  <c:v>13.181619725299248</c:v>
                </c:pt>
                <c:pt idx="298">
                  <c:v>13.181619725299248</c:v>
                </c:pt>
                <c:pt idx="299">
                  <c:v>13.181619725299248</c:v>
                </c:pt>
                <c:pt idx="300">
                  <c:v>13.181619725299248</c:v>
                </c:pt>
                <c:pt idx="301">
                  <c:v>13.181619725299248</c:v>
                </c:pt>
                <c:pt idx="302">
                  <c:v>13.181619725299248</c:v>
                </c:pt>
                <c:pt idx="303">
                  <c:v>13.181619725299248</c:v>
                </c:pt>
                <c:pt idx="304">
                  <c:v>13.181619725299248</c:v>
                </c:pt>
                <c:pt idx="305">
                  <c:v>13.181619725299248</c:v>
                </c:pt>
                <c:pt idx="306">
                  <c:v>13.181619725299248</c:v>
                </c:pt>
                <c:pt idx="307">
                  <c:v>13.181619725299248</c:v>
                </c:pt>
                <c:pt idx="308">
                  <c:v>13.181619725299248</c:v>
                </c:pt>
                <c:pt idx="309">
                  <c:v>13.181619725299248</c:v>
                </c:pt>
                <c:pt idx="310">
                  <c:v>13.181619725299248</c:v>
                </c:pt>
                <c:pt idx="311">
                  <c:v>13.181619725299248</c:v>
                </c:pt>
                <c:pt idx="312">
                  <c:v>13.181619725299248</c:v>
                </c:pt>
                <c:pt idx="313">
                  <c:v>13.181619725299248</c:v>
                </c:pt>
                <c:pt idx="314">
                  <c:v>13.181619725299248</c:v>
                </c:pt>
                <c:pt idx="315">
                  <c:v>13.181619725299248</c:v>
                </c:pt>
                <c:pt idx="316">
                  <c:v>12.4816538789158</c:v>
                </c:pt>
                <c:pt idx="317">
                  <c:v>12.4816538789158</c:v>
                </c:pt>
                <c:pt idx="318">
                  <c:v>12.4816538789158</c:v>
                </c:pt>
                <c:pt idx="319">
                  <c:v>12.4816538789158</c:v>
                </c:pt>
                <c:pt idx="320">
                  <c:v>12.4816538789158</c:v>
                </c:pt>
                <c:pt idx="321">
                  <c:v>12.4816538789158</c:v>
                </c:pt>
                <c:pt idx="322">
                  <c:v>12.4816538789158</c:v>
                </c:pt>
                <c:pt idx="323">
                  <c:v>12.4816538789158</c:v>
                </c:pt>
                <c:pt idx="324">
                  <c:v>12.4816538789158</c:v>
                </c:pt>
                <c:pt idx="325">
                  <c:v>12.4816538789158</c:v>
                </c:pt>
                <c:pt idx="326">
                  <c:v>12.4816538789158</c:v>
                </c:pt>
                <c:pt idx="327">
                  <c:v>12.4816538789158</c:v>
                </c:pt>
                <c:pt idx="328">
                  <c:v>12.4816538789158</c:v>
                </c:pt>
                <c:pt idx="329">
                  <c:v>12.4816538789158</c:v>
                </c:pt>
                <c:pt idx="330">
                  <c:v>12.4816538789158</c:v>
                </c:pt>
                <c:pt idx="331">
                  <c:v>12.4816538789158</c:v>
                </c:pt>
                <c:pt idx="332">
                  <c:v>12.4816538789158</c:v>
                </c:pt>
                <c:pt idx="333">
                  <c:v>12.4816538789158</c:v>
                </c:pt>
                <c:pt idx="334">
                  <c:v>12.4816538789158</c:v>
                </c:pt>
                <c:pt idx="335">
                  <c:v>12.4816538789158</c:v>
                </c:pt>
                <c:pt idx="336">
                  <c:v>12.4816538789158</c:v>
                </c:pt>
                <c:pt idx="337">
                  <c:v>12.4816538789158</c:v>
                </c:pt>
                <c:pt idx="338">
                  <c:v>12.4816538789158</c:v>
                </c:pt>
                <c:pt idx="339">
                  <c:v>12.4816538789158</c:v>
                </c:pt>
                <c:pt idx="340">
                  <c:v>12.4816538789158</c:v>
                </c:pt>
                <c:pt idx="341">
                  <c:v>12.4816538789158</c:v>
                </c:pt>
                <c:pt idx="342">
                  <c:v>12.4816538789158</c:v>
                </c:pt>
                <c:pt idx="343">
                  <c:v>12.4816538789158</c:v>
                </c:pt>
                <c:pt idx="344">
                  <c:v>12.4816538789158</c:v>
                </c:pt>
                <c:pt idx="345">
                  <c:v>12.4816538789158</c:v>
                </c:pt>
                <c:pt idx="346">
                  <c:v>12.4816538789158</c:v>
                </c:pt>
                <c:pt idx="347">
                  <c:v>12.4816538789158</c:v>
                </c:pt>
                <c:pt idx="348">
                  <c:v>12.4816538789158</c:v>
                </c:pt>
                <c:pt idx="349">
                  <c:v>12.4816538789158</c:v>
                </c:pt>
                <c:pt idx="350">
                  <c:v>12.4816538789158</c:v>
                </c:pt>
                <c:pt idx="351">
                  <c:v>12.4816538789158</c:v>
                </c:pt>
                <c:pt idx="352">
                  <c:v>12.4816538789158</c:v>
                </c:pt>
                <c:pt idx="353">
                  <c:v>12.4816538789158</c:v>
                </c:pt>
                <c:pt idx="354">
                  <c:v>12.4816538789158</c:v>
                </c:pt>
                <c:pt idx="355">
                  <c:v>12.4816538789158</c:v>
                </c:pt>
                <c:pt idx="356">
                  <c:v>12.4816538789158</c:v>
                </c:pt>
                <c:pt idx="357">
                  <c:v>12.4816538789158</c:v>
                </c:pt>
                <c:pt idx="358">
                  <c:v>12.4816538789158</c:v>
                </c:pt>
                <c:pt idx="359">
                  <c:v>12.4816538789158</c:v>
                </c:pt>
                <c:pt idx="360">
                  <c:v>12.4816538789158</c:v>
                </c:pt>
                <c:pt idx="361">
                  <c:v>12.4816538789158</c:v>
                </c:pt>
                <c:pt idx="362">
                  <c:v>12.4816538789158</c:v>
                </c:pt>
                <c:pt idx="363">
                  <c:v>12.4816538789158</c:v>
                </c:pt>
                <c:pt idx="364">
                  <c:v>12.4816538789158</c:v>
                </c:pt>
                <c:pt idx="365">
                  <c:v>12.4816538789158</c:v>
                </c:pt>
                <c:pt idx="366">
                  <c:v>12.4816538789158</c:v>
                </c:pt>
                <c:pt idx="367">
                  <c:v>12.4816538789158</c:v>
                </c:pt>
                <c:pt idx="368">
                  <c:v>11.440383401881562</c:v>
                </c:pt>
                <c:pt idx="369">
                  <c:v>11.440383401881562</c:v>
                </c:pt>
                <c:pt idx="370">
                  <c:v>11.440383401881562</c:v>
                </c:pt>
                <c:pt idx="371">
                  <c:v>11.440383401881562</c:v>
                </c:pt>
                <c:pt idx="372">
                  <c:v>11.440383401881562</c:v>
                </c:pt>
                <c:pt idx="373">
                  <c:v>11.440383401881562</c:v>
                </c:pt>
                <c:pt idx="374">
                  <c:v>11.440383401881562</c:v>
                </c:pt>
                <c:pt idx="375">
                  <c:v>11.440383401881562</c:v>
                </c:pt>
                <c:pt idx="376">
                  <c:v>11.440383401881562</c:v>
                </c:pt>
                <c:pt idx="377">
                  <c:v>11.440383401881562</c:v>
                </c:pt>
                <c:pt idx="378">
                  <c:v>11.440383401881562</c:v>
                </c:pt>
                <c:pt idx="379">
                  <c:v>11.440383401881562</c:v>
                </c:pt>
                <c:pt idx="380">
                  <c:v>11.440383401881562</c:v>
                </c:pt>
                <c:pt idx="381">
                  <c:v>11.440383401881562</c:v>
                </c:pt>
                <c:pt idx="382">
                  <c:v>11.440383401881562</c:v>
                </c:pt>
                <c:pt idx="383">
                  <c:v>11.440383401881562</c:v>
                </c:pt>
                <c:pt idx="384">
                  <c:v>11.440383401881562</c:v>
                </c:pt>
                <c:pt idx="385">
                  <c:v>11.440383401881562</c:v>
                </c:pt>
                <c:pt idx="386">
                  <c:v>11.440383401881562</c:v>
                </c:pt>
                <c:pt idx="387">
                  <c:v>11.440383401881562</c:v>
                </c:pt>
                <c:pt idx="388">
                  <c:v>11.440383401881562</c:v>
                </c:pt>
                <c:pt idx="389">
                  <c:v>11.440383401881562</c:v>
                </c:pt>
                <c:pt idx="390">
                  <c:v>11.440383401881562</c:v>
                </c:pt>
                <c:pt idx="391">
                  <c:v>11.440383401881562</c:v>
                </c:pt>
                <c:pt idx="392">
                  <c:v>11.440383401881562</c:v>
                </c:pt>
                <c:pt idx="393">
                  <c:v>11.440383401881562</c:v>
                </c:pt>
                <c:pt idx="394">
                  <c:v>11.440383401881562</c:v>
                </c:pt>
                <c:pt idx="395">
                  <c:v>11.440383401881562</c:v>
                </c:pt>
                <c:pt idx="396">
                  <c:v>11.440383401881562</c:v>
                </c:pt>
                <c:pt idx="397">
                  <c:v>11.440383401881562</c:v>
                </c:pt>
                <c:pt idx="398">
                  <c:v>11.440383401881562</c:v>
                </c:pt>
                <c:pt idx="399">
                  <c:v>11.440383401881562</c:v>
                </c:pt>
                <c:pt idx="400">
                  <c:v>11.440383401881562</c:v>
                </c:pt>
                <c:pt idx="401">
                  <c:v>11.440383401881562</c:v>
                </c:pt>
                <c:pt idx="402">
                  <c:v>11.440383401881562</c:v>
                </c:pt>
                <c:pt idx="403">
                  <c:v>11.440383401881562</c:v>
                </c:pt>
                <c:pt idx="404">
                  <c:v>11.440383401881562</c:v>
                </c:pt>
                <c:pt idx="405">
                  <c:v>11.440383401881562</c:v>
                </c:pt>
                <c:pt idx="406">
                  <c:v>11.440383401881562</c:v>
                </c:pt>
                <c:pt idx="407">
                  <c:v>11.440383401881562</c:v>
                </c:pt>
                <c:pt idx="408">
                  <c:v>11.440383401881562</c:v>
                </c:pt>
                <c:pt idx="409">
                  <c:v>11.440383401881562</c:v>
                </c:pt>
                <c:pt idx="410">
                  <c:v>11.440383401881562</c:v>
                </c:pt>
                <c:pt idx="411">
                  <c:v>11.440383401881562</c:v>
                </c:pt>
                <c:pt idx="412">
                  <c:v>11.440383401881562</c:v>
                </c:pt>
                <c:pt idx="413">
                  <c:v>11.440383401881562</c:v>
                </c:pt>
                <c:pt idx="414">
                  <c:v>11.440383401881562</c:v>
                </c:pt>
                <c:pt idx="415">
                  <c:v>11.440383401881562</c:v>
                </c:pt>
                <c:pt idx="416">
                  <c:v>11.440383401881562</c:v>
                </c:pt>
                <c:pt idx="417">
                  <c:v>11.440383401881562</c:v>
                </c:pt>
                <c:pt idx="418">
                  <c:v>11.440383401881562</c:v>
                </c:pt>
                <c:pt idx="419">
                  <c:v>11.440383401881562</c:v>
                </c:pt>
                <c:pt idx="420">
                  <c:v>10.31365357569238</c:v>
                </c:pt>
                <c:pt idx="421">
                  <c:v>10.31365357569238</c:v>
                </c:pt>
                <c:pt idx="422">
                  <c:v>10.31365357569238</c:v>
                </c:pt>
                <c:pt idx="423">
                  <c:v>10.31365357569238</c:v>
                </c:pt>
                <c:pt idx="424">
                  <c:v>10.31365357569238</c:v>
                </c:pt>
                <c:pt idx="425">
                  <c:v>10.31365357569238</c:v>
                </c:pt>
                <c:pt idx="426">
                  <c:v>10.31365357569238</c:v>
                </c:pt>
                <c:pt idx="427">
                  <c:v>10.31365357569238</c:v>
                </c:pt>
                <c:pt idx="428">
                  <c:v>10.31365357569238</c:v>
                </c:pt>
                <c:pt idx="429">
                  <c:v>10.31365357569238</c:v>
                </c:pt>
                <c:pt idx="430">
                  <c:v>10.31365357569238</c:v>
                </c:pt>
                <c:pt idx="431">
                  <c:v>10.31365357569238</c:v>
                </c:pt>
                <c:pt idx="432">
                  <c:v>10.31365357569238</c:v>
                </c:pt>
                <c:pt idx="433">
                  <c:v>10.31365357569238</c:v>
                </c:pt>
                <c:pt idx="434">
                  <c:v>10.31365357569238</c:v>
                </c:pt>
                <c:pt idx="435">
                  <c:v>10.31365357569238</c:v>
                </c:pt>
                <c:pt idx="436">
                  <c:v>10.31365357569238</c:v>
                </c:pt>
                <c:pt idx="437">
                  <c:v>10.31365357569238</c:v>
                </c:pt>
                <c:pt idx="438">
                  <c:v>10.31365357569238</c:v>
                </c:pt>
                <c:pt idx="439">
                  <c:v>10.31365357569238</c:v>
                </c:pt>
                <c:pt idx="440">
                  <c:v>10.31365357569238</c:v>
                </c:pt>
                <c:pt idx="441">
                  <c:v>10.31365357569238</c:v>
                </c:pt>
                <c:pt idx="442">
                  <c:v>10.31365357569238</c:v>
                </c:pt>
                <c:pt idx="443">
                  <c:v>10.31365357569238</c:v>
                </c:pt>
                <c:pt idx="444">
                  <c:v>10.31365357569238</c:v>
                </c:pt>
                <c:pt idx="445">
                  <c:v>10.31365357569238</c:v>
                </c:pt>
                <c:pt idx="446">
                  <c:v>10.31365357569238</c:v>
                </c:pt>
                <c:pt idx="447">
                  <c:v>10.31365357569238</c:v>
                </c:pt>
                <c:pt idx="448">
                  <c:v>10.31365357569238</c:v>
                </c:pt>
                <c:pt idx="449">
                  <c:v>10.31365357569238</c:v>
                </c:pt>
                <c:pt idx="450">
                  <c:v>10.31365357569238</c:v>
                </c:pt>
                <c:pt idx="451">
                  <c:v>10.31365357569238</c:v>
                </c:pt>
                <c:pt idx="452">
                  <c:v>10.31365357569238</c:v>
                </c:pt>
                <c:pt idx="453">
                  <c:v>10.31365357569238</c:v>
                </c:pt>
                <c:pt idx="454">
                  <c:v>10.31365357569238</c:v>
                </c:pt>
                <c:pt idx="455">
                  <c:v>10.31365357569238</c:v>
                </c:pt>
                <c:pt idx="456">
                  <c:v>10.31365357569238</c:v>
                </c:pt>
                <c:pt idx="457">
                  <c:v>10.31365357569238</c:v>
                </c:pt>
                <c:pt idx="458">
                  <c:v>10.31365357569238</c:v>
                </c:pt>
                <c:pt idx="459">
                  <c:v>10.31365357569238</c:v>
                </c:pt>
                <c:pt idx="460">
                  <c:v>10.31365357569238</c:v>
                </c:pt>
                <c:pt idx="461">
                  <c:v>10.31365357569238</c:v>
                </c:pt>
                <c:pt idx="462">
                  <c:v>10.31365357569238</c:v>
                </c:pt>
                <c:pt idx="463">
                  <c:v>10.31365357569238</c:v>
                </c:pt>
                <c:pt idx="464">
                  <c:v>10.31365357569238</c:v>
                </c:pt>
                <c:pt idx="465">
                  <c:v>10.31365357569238</c:v>
                </c:pt>
                <c:pt idx="466">
                  <c:v>10.31365357569238</c:v>
                </c:pt>
                <c:pt idx="467">
                  <c:v>10.31365357569238</c:v>
                </c:pt>
                <c:pt idx="468">
                  <c:v>10.31365357569238</c:v>
                </c:pt>
                <c:pt idx="469">
                  <c:v>10.31365357569238</c:v>
                </c:pt>
                <c:pt idx="470">
                  <c:v>10.31365357569238</c:v>
                </c:pt>
                <c:pt idx="471">
                  <c:v>10.31365357569238</c:v>
                </c:pt>
                <c:pt idx="472">
                  <c:v>10.005238612394216</c:v>
                </c:pt>
                <c:pt idx="473">
                  <c:v>10.005238612394216</c:v>
                </c:pt>
                <c:pt idx="474">
                  <c:v>10.005238612394216</c:v>
                </c:pt>
                <c:pt idx="475">
                  <c:v>10.005238612394216</c:v>
                </c:pt>
                <c:pt idx="476">
                  <c:v>10.005238612394216</c:v>
                </c:pt>
                <c:pt idx="477">
                  <c:v>10.005238612394216</c:v>
                </c:pt>
                <c:pt idx="478">
                  <c:v>10.005238612394216</c:v>
                </c:pt>
                <c:pt idx="479">
                  <c:v>10.005238612394216</c:v>
                </c:pt>
                <c:pt idx="480">
                  <c:v>10.005238612394216</c:v>
                </c:pt>
                <c:pt idx="481">
                  <c:v>10.005238612394216</c:v>
                </c:pt>
                <c:pt idx="482">
                  <c:v>10.005238612394216</c:v>
                </c:pt>
                <c:pt idx="483">
                  <c:v>10.005238612394216</c:v>
                </c:pt>
                <c:pt idx="484">
                  <c:v>10.005238612394216</c:v>
                </c:pt>
                <c:pt idx="485">
                  <c:v>10.005238612394216</c:v>
                </c:pt>
                <c:pt idx="486">
                  <c:v>10.005238612394216</c:v>
                </c:pt>
                <c:pt idx="487">
                  <c:v>10.005238612394216</c:v>
                </c:pt>
                <c:pt idx="488">
                  <c:v>10.005238612394216</c:v>
                </c:pt>
                <c:pt idx="489">
                  <c:v>10.005238612394216</c:v>
                </c:pt>
                <c:pt idx="490">
                  <c:v>10.005238612394216</c:v>
                </c:pt>
                <c:pt idx="491">
                  <c:v>10.005238612394216</c:v>
                </c:pt>
                <c:pt idx="492">
                  <c:v>10.005238612394216</c:v>
                </c:pt>
                <c:pt idx="493">
                  <c:v>10.005238612394216</c:v>
                </c:pt>
                <c:pt idx="494">
                  <c:v>10.005238612394216</c:v>
                </c:pt>
                <c:pt idx="495">
                  <c:v>10.005238612394216</c:v>
                </c:pt>
                <c:pt idx="496">
                  <c:v>10.005238612394216</c:v>
                </c:pt>
                <c:pt idx="497">
                  <c:v>10.005238612394216</c:v>
                </c:pt>
                <c:pt idx="498">
                  <c:v>10.005238612394216</c:v>
                </c:pt>
                <c:pt idx="499">
                  <c:v>10.005238612394216</c:v>
                </c:pt>
                <c:pt idx="500">
                  <c:v>10.005238612394216</c:v>
                </c:pt>
                <c:pt idx="501">
                  <c:v>10.005238612394216</c:v>
                </c:pt>
                <c:pt idx="502">
                  <c:v>10.005238612394216</c:v>
                </c:pt>
                <c:pt idx="503">
                  <c:v>10.005238612394216</c:v>
                </c:pt>
                <c:pt idx="504">
                  <c:v>10.005238612394216</c:v>
                </c:pt>
                <c:pt idx="505">
                  <c:v>10.005238612394216</c:v>
                </c:pt>
                <c:pt idx="506">
                  <c:v>10.005238612394216</c:v>
                </c:pt>
                <c:pt idx="507">
                  <c:v>10.005238612394216</c:v>
                </c:pt>
                <c:pt idx="508">
                  <c:v>10.005238612394216</c:v>
                </c:pt>
                <c:pt idx="509">
                  <c:v>10.005238612394216</c:v>
                </c:pt>
                <c:pt idx="510">
                  <c:v>10.005238612394216</c:v>
                </c:pt>
                <c:pt idx="511">
                  <c:v>10.005238612394216</c:v>
                </c:pt>
                <c:pt idx="512">
                  <c:v>10.005238612394216</c:v>
                </c:pt>
                <c:pt idx="513">
                  <c:v>10.005238612394216</c:v>
                </c:pt>
                <c:pt idx="514">
                  <c:v>10.005238612394216</c:v>
                </c:pt>
                <c:pt idx="515">
                  <c:v>10.005238612394216</c:v>
                </c:pt>
                <c:pt idx="516">
                  <c:v>10.005238612394216</c:v>
                </c:pt>
                <c:pt idx="517">
                  <c:v>10.005238612394216</c:v>
                </c:pt>
                <c:pt idx="518">
                  <c:v>10.005238612394216</c:v>
                </c:pt>
                <c:pt idx="519">
                  <c:v>10.005238612394216</c:v>
                </c:pt>
                <c:pt idx="520">
                  <c:v>10.005238612394216</c:v>
                </c:pt>
                <c:pt idx="521">
                  <c:v>10.005238612394216</c:v>
                </c:pt>
                <c:pt idx="522">
                  <c:v>10.005238612394216</c:v>
                </c:pt>
                <c:pt idx="523">
                  <c:v>10.005238612394216</c:v>
                </c:pt>
                <c:pt idx="524">
                  <c:v>9.0537307500940845</c:v>
                </c:pt>
                <c:pt idx="525">
                  <c:v>9.0537307500940845</c:v>
                </c:pt>
                <c:pt idx="526">
                  <c:v>9.0537307500940845</c:v>
                </c:pt>
                <c:pt idx="527">
                  <c:v>9.0537307500940845</c:v>
                </c:pt>
                <c:pt idx="528">
                  <c:v>9.0537307500940845</c:v>
                </c:pt>
                <c:pt idx="529">
                  <c:v>9.0537307500940845</c:v>
                </c:pt>
                <c:pt idx="530">
                  <c:v>9.0537307500940845</c:v>
                </c:pt>
                <c:pt idx="531">
                  <c:v>9.0537307500940845</c:v>
                </c:pt>
                <c:pt idx="532">
                  <c:v>9.0537307500940845</c:v>
                </c:pt>
                <c:pt idx="533">
                  <c:v>9.0537307500940845</c:v>
                </c:pt>
                <c:pt idx="534">
                  <c:v>9.0537307500940845</c:v>
                </c:pt>
                <c:pt idx="535">
                  <c:v>9.0537307500940845</c:v>
                </c:pt>
                <c:pt idx="536">
                  <c:v>9.0537307500940845</c:v>
                </c:pt>
                <c:pt idx="537">
                  <c:v>9.0537307500940845</c:v>
                </c:pt>
                <c:pt idx="538">
                  <c:v>9.0537307500940845</c:v>
                </c:pt>
                <c:pt idx="539">
                  <c:v>9.0537307500940845</c:v>
                </c:pt>
                <c:pt idx="540">
                  <c:v>9.0537307500940845</c:v>
                </c:pt>
                <c:pt idx="541">
                  <c:v>9.0537307500940845</c:v>
                </c:pt>
                <c:pt idx="542">
                  <c:v>9.0537307500940845</c:v>
                </c:pt>
                <c:pt idx="543">
                  <c:v>9.0537307500940845</c:v>
                </c:pt>
                <c:pt idx="544">
                  <c:v>9.0537307500940845</c:v>
                </c:pt>
                <c:pt idx="545">
                  <c:v>9.0537307500940845</c:v>
                </c:pt>
                <c:pt idx="546">
                  <c:v>9.0537307500940845</c:v>
                </c:pt>
                <c:pt idx="547">
                  <c:v>9.0537307500940845</c:v>
                </c:pt>
                <c:pt idx="548">
                  <c:v>9.0537307500940845</c:v>
                </c:pt>
                <c:pt idx="549">
                  <c:v>9.0537307500940845</c:v>
                </c:pt>
                <c:pt idx="550">
                  <c:v>9.0537307500940845</c:v>
                </c:pt>
                <c:pt idx="551">
                  <c:v>9.0537307500940845</c:v>
                </c:pt>
                <c:pt idx="552">
                  <c:v>9.0537307500940845</c:v>
                </c:pt>
                <c:pt idx="553">
                  <c:v>9.0537307500940845</c:v>
                </c:pt>
                <c:pt idx="554">
                  <c:v>9.0537307500940845</c:v>
                </c:pt>
                <c:pt idx="555">
                  <c:v>9.0537307500940845</c:v>
                </c:pt>
                <c:pt idx="556">
                  <c:v>9.0537307500940845</c:v>
                </c:pt>
                <c:pt idx="557">
                  <c:v>9.0537307500940845</c:v>
                </c:pt>
                <c:pt idx="558">
                  <c:v>9.0537307500940845</c:v>
                </c:pt>
                <c:pt idx="559">
                  <c:v>9.0537307500940845</c:v>
                </c:pt>
                <c:pt idx="560">
                  <c:v>9.0537307500940845</c:v>
                </c:pt>
                <c:pt idx="561">
                  <c:v>9.0537307500940845</c:v>
                </c:pt>
                <c:pt idx="562">
                  <c:v>9.0537307500940845</c:v>
                </c:pt>
                <c:pt idx="563">
                  <c:v>9.0537307500940845</c:v>
                </c:pt>
                <c:pt idx="564">
                  <c:v>9.0537307500940845</c:v>
                </c:pt>
                <c:pt idx="565">
                  <c:v>9.0537307500940845</c:v>
                </c:pt>
                <c:pt idx="566">
                  <c:v>9.0537307500940845</c:v>
                </c:pt>
                <c:pt idx="567">
                  <c:v>9.0537307500940845</c:v>
                </c:pt>
                <c:pt idx="568">
                  <c:v>9.0537307500940845</c:v>
                </c:pt>
                <c:pt idx="569">
                  <c:v>9.0537307500940845</c:v>
                </c:pt>
                <c:pt idx="570">
                  <c:v>9.0537307500940845</c:v>
                </c:pt>
                <c:pt idx="571">
                  <c:v>9.0537307500940845</c:v>
                </c:pt>
                <c:pt idx="572">
                  <c:v>9.0537307500940845</c:v>
                </c:pt>
                <c:pt idx="573">
                  <c:v>9.0537307500940845</c:v>
                </c:pt>
                <c:pt idx="574">
                  <c:v>9.0537307500940845</c:v>
                </c:pt>
                <c:pt idx="575">
                  <c:v>9.0537307500940845</c:v>
                </c:pt>
                <c:pt idx="576">
                  <c:v>9.0537307500940845</c:v>
                </c:pt>
              </c:numCache>
            </c:numRef>
          </c:val>
        </c:ser>
        <c:marker val="1"/>
        <c:axId val="132515712"/>
        <c:axId val="132517248"/>
      </c:lineChart>
      <c:dateAx>
        <c:axId val="132515712"/>
        <c:scaling>
          <c:orientation val="minMax"/>
        </c:scaling>
        <c:axPos val="b"/>
        <c:numFmt formatCode="m/d/yyyy" sourceLinked="0"/>
        <c:majorTickMark val="none"/>
        <c:tickLblPos val="nextTo"/>
        <c:txPr>
          <a:bodyPr rot="0" vert="horz"/>
          <a:lstStyle/>
          <a:p>
            <a:pPr>
              <a:defRPr sz="1000" b="0" i="0" u="none" strike="noStrike" baseline="0">
                <a:solidFill>
                  <a:srgbClr val="333333"/>
                </a:solidFill>
                <a:latin typeface="Calibri"/>
                <a:ea typeface="Calibri"/>
                <a:cs typeface="Calibri"/>
              </a:defRPr>
            </a:pPr>
            <a:endParaRPr lang="en-US"/>
          </a:p>
        </c:txPr>
        <c:crossAx val="132517248"/>
        <c:crosses val="autoZero"/>
        <c:auto val="1"/>
        <c:lblOffset val="100"/>
      </c:dateAx>
      <c:valAx>
        <c:axId val="132517248"/>
        <c:scaling>
          <c:orientation val="minMax"/>
        </c:scaling>
        <c:axPos val="l"/>
        <c:numFmt formatCode="General" sourceLinked="1"/>
        <c:majorTickMark val="none"/>
        <c:tickLblPos val="nextTo"/>
        <c:spPr>
          <a:ln w="9525">
            <a:noFill/>
          </a:ln>
        </c:spPr>
        <c:txPr>
          <a:bodyPr rot="0" vert="horz"/>
          <a:lstStyle/>
          <a:p>
            <a:pPr>
              <a:defRPr sz="1000" b="0" i="0" u="none" strike="noStrike" baseline="0">
                <a:solidFill>
                  <a:srgbClr val="333333"/>
                </a:solidFill>
                <a:latin typeface="Calibri"/>
                <a:ea typeface="Calibri"/>
                <a:cs typeface="Calibri"/>
              </a:defRPr>
            </a:pPr>
            <a:endParaRPr lang="en-US"/>
          </a:p>
        </c:txPr>
        <c:crossAx val="132515712"/>
        <c:crosses val="autoZero"/>
        <c:crossBetween val="between"/>
      </c:valAx>
    </c:plotArea>
    <c:legend>
      <c:legendPos val="b"/>
      <c:layout>
        <c:manualLayout>
          <c:xMode val="edge"/>
          <c:yMode val="edge"/>
          <c:x val="5.0000059247673048E-2"/>
          <c:y val="0.8567837872724926"/>
          <c:w val="0.90000011849534611"/>
          <c:h val="7.8281313196506219E-2"/>
        </c:manualLayout>
      </c:layout>
      <c:txPr>
        <a:bodyPr/>
        <a:lstStyle/>
        <a:p>
          <a:pPr>
            <a:defRPr sz="845" b="0" i="0" u="none" strike="noStrike" baseline="0">
              <a:solidFill>
                <a:srgbClr val="333333"/>
              </a:solidFill>
              <a:latin typeface="Calibri"/>
              <a:ea typeface="Calibri"/>
              <a:cs typeface="Calibri"/>
            </a:defRPr>
          </a:pPr>
          <a:endParaRPr lang="en-US"/>
        </a:p>
      </c:txPr>
    </c:legend>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111" r="0.75000000000000111"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radarChart>
        <c:radarStyle val="marker"/>
        <c:ser>
          <c:idx val="0"/>
          <c:order val="0"/>
          <c:spPr>
            <a:ln w="25400">
              <a:solidFill>
                <a:srgbClr val="0070C0"/>
              </a:solidFill>
              <a:prstDash val="solid"/>
            </a:ln>
          </c:spPr>
          <c:marker>
            <c:symbol val="none"/>
          </c:marker>
          <c:cat>
            <c:strRef>
              <c:f>Dashboard!$O$4:$T$4</c:f>
              <c:strCache>
                <c:ptCount val="6"/>
                <c:pt idx="0">
                  <c:v>Low Risk</c:v>
                </c:pt>
                <c:pt idx="1">
                  <c:v>High Growth</c:v>
                </c:pt>
                <c:pt idx="2">
                  <c:v>Under Valued</c:v>
                </c:pt>
                <c:pt idx="3">
                  <c:v>Well Managed</c:v>
                </c:pt>
                <c:pt idx="4">
                  <c:v>Good Financial Health</c:v>
                </c:pt>
                <c:pt idx="5">
                  <c:v>Strong Moat</c:v>
                </c:pt>
              </c:strCache>
            </c:strRef>
          </c:cat>
          <c:val>
            <c:numRef>
              <c:f>Dashboard!$O$5:$T$5</c:f>
              <c:numCache>
                <c:formatCode>General</c:formatCode>
                <c:ptCount val="6"/>
                <c:pt idx="0">
                  <c:v>4</c:v>
                </c:pt>
                <c:pt idx="1">
                  <c:v>4</c:v>
                </c:pt>
                <c:pt idx="2">
                  <c:v>4</c:v>
                </c:pt>
                <c:pt idx="3">
                  <c:v>4</c:v>
                </c:pt>
                <c:pt idx="4">
                  <c:v>4</c:v>
                </c:pt>
                <c:pt idx="5">
                  <c:v>4</c:v>
                </c:pt>
              </c:numCache>
            </c:numRef>
          </c:val>
        </c:ser>
        <c:axId val="314276864"/>
        <c:axId val="115090176"/>
      </c:radarChart>
      <c:catAx>
        <c:axId val="314276864"/>
        <c:scaling>
          <c:orientation val="minMax"/>
        </c:scaling>
        <c:axPos val="b"/>
        <c:majorGridlines>
          <c:spPr>
            <a:ln>
              <a:solidFill>
                <a:schemeClr val="bg1">
                  <a:lumMod val="85000"/>
                </a:schemeClr>
              </a:solidFill>
              <a:prstDash val="sysDot"/>
            </a:ln>
          </c:spPr>
        </c:majorGridlines>
        <c:numFmt formatCode="General" sourceLinked="1"/>
        <c:tickLblPos val="nextTo"/>
        <c:txPr>
          <a:bodyPr rot="0" vert="horz"/>
          <a:lstStyle/>
          <a:p>
            <a:pPr>
              <a:defRPr sz="1000" b="1" i="0" u="none" strike="noStrike" baseline="0">
                <a:solidFill>
                  <a:schemeClr val="tx1">
                    <a:lumMod val="65000"/>
                    <a:lumOff val="35000"/>
                  </a:schemeClr>
                </a:solidFill>
                <a:latin typeface="Calibri"/>
                <a:ea typeface="Calibri"/>
                <a:cs typeface="Calibri"/>
              </a:defRPr>
            </a:pPr>
            <a:endParaRPr lang="en-US"/>
          </a:p>
        </c:txPr>
        <c:crossAx val="115090176"/>
        <c:crosses val="autoZero"/>
        <c:lblAlgn val="ctr"/>
        <c:lblOffset val="100"/>
      </c:catAx>
      <c:valAx>
        <c:axId val="115090176"/>
        <c:scaling>
          <c:orientation val="minMax"/>
          <c:max val="5"/>
          <c:min val="0"/>
        </c:scaling>
        <c:axPos val="l"/>
        <c:majorGridlines>
          <c:spPr>
            <a:ln cmpd="sng">
              <a:solidFill>
                <a:schemeClr val="bg1">
                  <a:lumMod val="85000"/>
                </a:schemeClr>
              </a:solidFill>
              <a:prstDash val="sysDot"/>
            </a:ln>
          </c:spPr>
        </c:majorGridlines>
        <c:numFmt formatCode="General" sourceLinked="1"/>
        <c:majorTickMark val="cross"/>
        <c:tickLblPos val="nextTo"/>
        <c:spPr>
          <a:ln>
            <a:solidFill>
              <a:schemeClr val="bg1">
                <a:lumMod val="85000"/>
              </a:schemeClr>
            </a:solidFill>
            <a:prstDash val="sysDot"/>
          </a:ln>
        </c:spPr>
        <c:txPr>
          <a:bodyPr rot="0" vert="horz"/>
          <a:lstStyle/>
          <a:p>
            <a:pPr>
              <a:defRPr sz="1000" b="0" i="0" u="none" strike="noStrike" baseline="0">
                <a:solidFill>
                  <a:schemeClr val="bg1">
                    <a:lumMod val="50000"/>
                  </a:schemeClr>
                </a:solidFill>
                <a:latin typeface="Calibri"/>
                <a:ea typeface="Calibri"/>
                <a:cs typeface="Calibri"/>
              </a:defRPr>
            </a:pPr>
            <a:endParaRPr lang="en-US"/>
          </a:p>
        </c:txPr>
        <c:crossAx val="314276864"/>
        <c:crosses val="autoZero"/>
        <c:crossBetween val="between"/>
      </c:valAx>
      <c:spPr>
        <a:ln>
          <a:noFill/>
        </a:ln>
      </c:spPr>
    </c:plotArea>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 Valuation'!$C$27:$M$27</c:f>
              <c:numCache>
                <c:formatCode>0.0%</c:formatCode>
                <c:ptCount val="11"/>
                <c:pt idx="0">
                  <c:v>0.23103376406836182</c:v>
                </c:pt>
                <c:pt idx="1">
                  <c:v>0.35086335349285652</c:v>
                </c:pt>
                <c:pt idx="2">
                  <c:v>0.22084221356654662</c:v>
                </c:pt>
                <c:pt idx="3">
                  <c:v>0.2835068209736859</c:v>
                </c:pt>
                <c:pt idx="4">
                  <c:v>0.30175544794188863</c:v>
                </c:pt>
                <c:pt idx="5">
                  <c:v>0.31103360811667724</c:v>
                </c:pt>
                <c:pt idx="6">
                  <c:v>0.28930857071150706</c:v>
                </c:pt>
                <c:pt idx="7">
                  <c:v>0.30833099579242634</c:v>
                </c:pt>
                <c:pt idx="8">
                  <c:v>0.33721549314521498</c:v>
                </c:pt>
                <c:pt idx="9">
                  <c:v>0.2742518759605822</c:v>
                </c:pt>
                <c:pt idx="10">
                  <c:v>0.29848872355266215</c:v>
                </c:pt>
              </c:numCache>
            </c:numRef>
          </c:val>
        </c:ser>
        <c:axId val="115112192"/>
        <c:axId val="115113984"/>
      </c:barChart>
      <c:catAx>
        <c:axId val="115112192"/>
        <c:scaling>
          <c:orientation val="minMax"/>
        </c:scaling>
        <c:delete val="1"/>
        <c:axPos val="b"/>
        <c:tickLblPos val="none"/>
        <c:crossAx val="115113984"/>
        <c:crosses val="autoZero"/>
        <c:auto val="1"/>
        <c:lblAlgn val="ctr"/>
        <c:lblOffset val="100"/>
      </c:catAx>
      <c:valAx>
        <c:axId val="115113984"/>
        <c:scaling>
          <c:orientation val="minMax"/>
        </c:scaling>
        <c:delete val="1"/>
        <c:axPos val="l"/>
        <c:numFmt formatCode="0.0%" sourceLinked="1"/>
        <c:tickLblPos val="none"/>
        <c:crossAx val="115112192"/>
        <c:crosses val="autoZero"/>
        <c:crossBetween val="between"/>
      </c:valAx>
      <c:spPr>
        <a:noFill/>
        <a:ln w="25400">
          <a:noFill/>
        </a:ln>
      </c:spPr>
    </c:plotArea>
    <c:plotVisOnly val="1"/>
    <c:dispBlanksAs val="gap"/>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DCFData!$B$45:$L$45</c:f>
              <c:numCache>
                <c:formatCode>0.0%</c:formatCode>
                <c:ptCount val="11"/>
                <c:pt idx="0">
                  <c:v>0.10836836445400333</c:v>
                </c:pt>
                <c:pt idx="1">
                  <c:v>0.19923352578140555</c:v>
                </c:pt>
                <c:pt idx="2">
                  <c:v>0.15359844612553669</c:v>
                </c:pt>
                <c:pt idx="3">
                  <c:v>0.20837293290249001</c:v>
                </c:pt>
                <c:pt idx="4">
                  <c:v>0.22698297058555686</c:v>
                </c:pt>
                <c:pt idx="5">
                  <c:v>0.21230090027700832</c:v>
                </c:pt>
                <c:pt idx="6">
                  <c:v>0.19142311524410494</c:v>
                </c:pt>
                <c:pt idx="7">
                  <c:v>0.19045638839796236</c:v>
                </c:pt>
                <c:pt idx="8">
                  <c:v>0.15862133734034561</c:v>
                </c:pt>
                <c:pt idx="9">
                  <c:v>0.19577282994514358</c:v>
                </c:pt>
                <c:pt idx="10">
                  <c:v>0.20477891916033944</c:v>
                </c:pt>
              </c:numCache>
            </c:numRef>
          </c:val>
        </c:ser>
        <c:axId val="115132672"/>
        <c:axId val="115146752"/>
      </c:barChart>
      <c:catAx>
        <c:axId val="115132672"/>
        <c:scaling>
          <c:orientation val="minMax"/>
        </c:scaling>
        <c:delete val="1"/>
        <c:axPos val="b"/>
        <c:tickLblPos val="none"/>
        <c:crossAx val="115146752"/>
        <c:crosses val="autoZero"/>
        <c:auto val="1"/>
        <c:lblAlgn val="ctr"/>
        <c:lblOffset val="100"/>
      </c:catAx>
      <c:valAx>
        <c:axId val="115146752"/>
        <c:scaling>
          <c:orientation val="minMax"/>
        </c:scaling>
        <c:delete val="1"/>
        <c:axPos val="l"/>
        <c:numFmt formatCode="0.0%" sourceLinked="1"/>
        <c:tickLblPos val="none"/>
        <c:crossAx val="115132672"/>
        <c:crosses val="autoZero"/>
        <c:crossBetween val="between"/>
      </c:valAx>
      <c:spPr>
        <a:noFill/>
        <a:ln w="25400">
          <a:noFill/>
        </a:ln>
      </c:spPr>
    </c:plotArea>
    <c:plotVisOnly val="1"/>
    <c:dispBlanksAs val="gap"/>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DCFData!$B$47:$L$47</c:f>
              <c:numCache>
                <c:formatCode>0.0%</c:formatCode>
                <c:ptCount val="11"/>
                <c:pt idx="0">
                  <c:v>0.10449265623500048</c:v>
                </c:pt>
                <c:pt idx="1">
                  <c:v>0.17705312932149708</c:v>
                </c:pt>
                <c:pt idx="2">
                  <c:v>0.12448471490959552</c:v>
                </c:pt>
                <c:pt idx="3">
                  <c:v>0.15898617511520738</c:v>
                </c:pt>
                <c:pt idx="4">
                  <c:v>0.15472276311169278</c:v>
                </c:pt>
                <c:pt idx="5">
                  <c:v>0.16556223876032217</c:v>
                </c:pt>
                <c:pt idx="6">
                  <c:v>0.16954243567066049</c:v>
                </c:pt>
                <c:pt idx="7">
                  <c:v>0.13822829277311702</c:v>
                </c:pt>
                <c:pt idx="8">
                  <c:v>0.14331548162590391</c:v>
                </c:pt>
                <c:pt idx="9">
                  <c:v>0.14020669392451357</c:v>
                </c:pt>
                <c:pt idx="10">
                  <c:v>0.14982174124000591</c:v>
                </c:pt>
              </c:numCache>
            </c:numRef>
          </c:val>
        </c:ser>
        <c:axId val="115169920"/>
        <c:axId val="115175808"/>
      </c:barChart>
      <c:catAx>
        <c:axId val="115169920"/>
        <c:scaling>
          <c:orientation val="minMax"/>
        </c:scaling>
        <c:delete val="1"/>
        <c:axPos val="b"/>
        <c:tickLblPos val="none"/>
        <c:crossAx val="115175808"/>
        <c:crosses val="autoZero"/>
        <c:auto val="1"/>
        <c:lblAlgn val="ctr"/>
        <c:lblOffset val="100"/>
      </c:catAx>
      <c:valAx>
        <c:axId val="115175808"/>
        <c:scaling>
          <c:orientation val="minMax"/>
        </c:scaling>
        <c:delete val="1"/>
        <c:axPos val="l"/>
        <c:numFmt formatCode="0.0%" sourceLinked="1"/>
        <c:tickLblPos val="none"/>
        <c:crossAx val="115169920"/>
        <c:crosses val="autoZero"/>
        <c:crossBetween val="between"/>
      </c:valAx>
      <c:spPr>
        <a:noFill/>
        <a:ln w="25400">
          <a:noFill/>
        </a:ln>
      </c:spPr>
    </c:plotArea>
    <c:plotVisOnly val="1"/>
    <c:dispBlanksAs val="gap"/>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col"/>
        <c:grouping val="clustered"/>
        <c:ser>
          <c:idx val="0"/>
          <c:order val="0"/>
          <c:spPr>
            <a:solidFill>
              <a:srgbClr val="00B050"/>
            </a:solidFill>
          </c:spPr>
          <c:val>
            <c:numRef>
              <c:f>DCFData!$B$48:$L$48</c:f>
              <c:numCache>
                <c:formatCode>0.0%</c:formatCode>
                <c:ptCount val="11"/>
                <c:pt idx="0">
                  <c:v>0.23368398454272221</c:v>
                </c:pt>
                <c:pt idx="1">
                  <c:v>0.34919936653176137</c:v>
                </c:pt>
                <c:pt idx="2">
                  <c:v>0.25847457627118642</c:v>
                </c:pt>
                <c:pt idx="3">
                  <c:v>0.30851667849538678</c:v>
                </c:pt>
                <c:pt idx="4">
                  <c:v>0.30417320363978662</c:v>
                </c:pt>
                <c:pt idx="5">
                  <c:v>0.29789055334760012</c:v>
                </c:pt>
                <c:pt idx="6">
                  <c:v>0.30023640661938533</c:v>
                </c:pt>
                <c:pt idx="7">
                  <c:v>0.27506438557763063</c:v>
                </c:pt>
                <c:pt idx="8">
                  <c:v>0.28365572489253615</c:v>
                </c:pt>
                <c:pt idx="9">
                  <c:v>0.27517238598330579</c:v>
                </c:pt>
                <c:pt idx="10">
                  <c:v>0.28554197491154715</c:v>
                </c:pt>
              </c:numCache>
            </c:numRef>
          </c:val>
        </c:ser>
        <c:axId val="115182208"/>
        <c:axId val="115192192"/>
      </c:barChart>
      <c:catAx>
        <c:axId val="115182208"/>
        <c:scaling>
          <c:orientation val="minMax"/>
        </c:scaling>
        <c:delete val="1"/>
        <c:axPos val="b"/>
        <c:tickLblPos val="none"/>
        <c:crossAx val="115192192"/>
        <c:crosses val="autoZero"/>
        <c:auto val="1"/>
        <c:lblAlgn val="ctr"/>
        <c:lblOffset val="100"/>
      </c:catAx>
      <c:valAx>
        <c:axId val="115192192"/>
        <c:scaling>
          <c:orientation val="minMax"/>
        </c:scaling>
        <c:delete val="1"/>
        <c:axPos val="l"/>
        <c:numFmt formatCode="0.0%" sourceLinked="1"/>
        <c:tickLblPos val="none"/>
        <c:crossAx val="115182208"/>
        <c:crosses val="autoZero"/>
        <c:crossBetween val="between"/>
      </c:valAx>
      <c:spPr>
        <a:noFill/>
        <a:ln w="25400">
          <a:noFill/>
        </a:ln>
      </c:spPr>
    </c:plotArea>
    <c:plotVisOnly val="1"/>
    <c:dispBlanksAs val="gap"/>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5875"/>
          </c:spPr>
          <c:marker>
            <c:symbol val="none"/>
          </c:marker>
          <c:val>
            <c:numRef>
              <c:f>DCFData!$B$39:$L$39</c:f>
              <c:numCache>
                <c:formatCode>0.0%</c:formatCode>
                <c:ptCount val="11"/>
                <c:pt idx="0">
                  <c:v>0.69674454980936551</c:v>
                </c:pt>
                <c:pt idx="1">
                  <c:v>0.69918375472825001</c:v>
                </c:pt>
                <c:pt idx="2">
                  <c:v>0.63683295849519528</c:v>
                </c:pt>
                <c:pt idx="3">
                  <c:v>0.6311537730469492</c:v>
                </c:pt>
                <c:pt idx="4">
                  <c:v>0.65221746653310264</c:v>
                </c:pt>
                <c:pt idx="5">
                  <c:v>0.64529951523545703</c:v>
                </c:pt>
                <c:pt idx="6">
                  <c:v>0.6610760544669545</c:v>
                </c:pt>
                <c:pt idx="7">
                  <c:v>0.63939425442700215</c:v>
                </c:pt>
                <c:pt idx="8">
                  <c:v>0.64393939393939392</c:v>
                </c:pt>
                <c:pt idx="9">
                  <c:v>0.6422071636011617</c:v>
                </c:pt>
                <c:pt idx="10">
                  <c:v>0.64783385439928542</c:v>
                </c:pt>
              </c:numCache>
            </c:numRef>
          </c:val>
        </c:ser>
        <c:marker val="1"/>
        <c:axId val="115203072"/>
        <c:axId val="115208960"/>
      </c:lineChart>
      <c:catAx>
        <c:axId val="115203072"/>
        <c:scaling>
          <c:orientation val="minMax"/>
        </c:scaling>
        <c:delete val="1"/>
        <c:axPos val="b"/>
        <c:tickLblPos val="none"/>
        <c:crossAx val="115208960"/>
        <c:crosses val="autoZero"/>
        <c:auto val="1"/>
        <c:lblAlgn val="ctr"/>
        <c:lblOffset val="100"/>
      </c:catAx>
      <c:valAx>
        <c:axId val="115208960"/>
        <c:scaling>
          <c:orientation val="minMax"/>
        </c:scaling>
        <c:delete val="1"/>
        <c:axPos val="l"/>
        <c:numFmt formatCode="0.0%" sourceLinked="1"/>
        <c:tickLblPos val="none"/>
        <c:crossAx val="115203072"/>
        <c:crosses val="autoZero"/>
        <c:crossBetween val="between"/>
      </c:valAx>
      <c:spPr>
        <a:noFill/>
        <a:ln w="25400">
          <a:noFill/>
        </a:ln>
      </c:spPr>
    </c:plotArea>
    <c:plotVisOnly val="1"/>
    <c:dispBlanksAs val="gap"/>
  </c:chart>
  <c:spPr>
    <a:noFill/>
    <a:ln>
      <a:noFill/>
    </a:ln>
  </c:spPr>
  <c:printSettings>
    <c:headerFooter/>
    <c:pageMargins b="0.75000000000000033" l="0.70000000000000029" r="0.70000000000000029" t="0.75000000000000033" header="0.30000000000000016" footer="0.30000000000000016"/>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5875"/>
          </c:spPr>
          <c:marker>
            <c:symbol val="none"/>
          </c:marker>
          <c:val>
            <c:numRef>
              <c:f>DCFData!$B$40:$L$40</c:f>
              <c:numCache>
                <c:formatCode>0.0%</c:formatCode>
                <c:ptCount val="11"/>
                <c:pt idx="0">
                  <c:v>0.18041841822270016</c:v>
                </c:pt>
                <c:pt idx="1">
                  <c:v>0.26637467648815449</c:v>
                </c:pt>
                <c:pt idx="2">
                  <c:v>0.27898180331220607</c:v>
                </c:pt>
                <c:pt idx="3">
                  <c:v>0.24809922068047899</c:v>
                </c:pt>
                <c:pt idx="4">
                  <c:v>0.25944813769237773</c:v>
                </c:pt>
                <c:pt idx="5">
                  <c:v>0.26337430747922436</c:v>
                </c:pt>
                <c:pt idx="6">
                  <c:v>0.26187313184988376</c:v>
                </c:pt>
                <c:pt idx="7">
                  <c:v>0.25130817479294454</c:v>
                </c:pt>
                <c:pt idx="8">
                  <c:v>0.26440020035061357</c:v>
                </c:pt>
                <c:pt idx="9">
                  <c:v>0.26560180703452729</c:v>
                </c:pt>
                <c:pt idx="10">
                  <c:v>0.28277930198430423</c:v>
                </c:pt>
              </c:numCache>
            </c:numRef>
          </c:val>
        </c:ser>
        <c:marker val="1"/>
        <c:axId val="119156096"/>
        <c:axId val="119178368"/>
      </c:lineChart>
      <c:catAx>
        <c:axId val="119156096"/>
        <c:scaling>
          <c:orientation val="minMax"/>
        </c:scaling>
        <c:delete val="1"/>
        <c:axPos val="b"/>
        <c:tickLblPos val="none"/>
        <c:crossAx val="119178368"/>
        <c:crosses val="autoZero"/>
        <c:auto val="1"/>
        <c:lblAlgn val="ctr"/>
        <c:lblOffset val="100"/>
      </c:catAx>
      <c:valAx>
        <c:axId val="119178368"/>
        <c:scaling>
          <c:orientation val="minMax"/>
        </c:scaling>
        <c:delete val="1"/>
        <c:axPos val="l"/>
        <c:numFmt formatCode="0.0%" sourceLinked="1"/>
        <c:tickLblPos val="none"/>
        <c:crossAx val="119156096"/>
        <c:crosses val="autoZero"/>
        <c:crossBetween val="between"/>
      </c:valAx>
      <c:spPr>
        <a:noFill/>
        <a:ln w="25400">
          <a:noFill/>
        </a:ln>
      </c:spPr>
    </c:plotArea>
    <c:plotVisOnly val="1"/>
    <c:dispBlanksAs val="gap"/>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5875"/>
          </c:spPr>
          <c:marker>
            <c:symbol val="none"/>
          </c:marker>
          <c:val>
            <c:numRef>
              <c:f>DCFData!$B$41:$L$41</c:f>
              <c:numCache>
                <c:formatCode>0.0%</c:formatCode>
                <c:ptCount val="11"/>
                <c:pt idx="0">
                  <c:v>0.10641313911428292</c:v>
                </c:pt>
                <c:pt idx="1">
                  <c:v>0.19754130997411906</c:v>
                </c:pt>
                <c:pt idx="2">
                  <c:v>0.15589858924555305</c:v>
                </c:pt>
                <c:pt idx="3">
                  <c:v>0.20656719254894507</c:v>
                </c:pt>
                <c:pt idx="4">
                  <c:v>0.22069938985520443</c:v>
                </c:pt>
                <c:pt idx="5">
                  <c:v>0.21087257617728533</c:v>
                </c:pt>
                <c:pt idx="6">
                  <c:v>0.2108933909000332</c:v>
                </c:pt>
                <c:pt idx="7">
                  <c:v>0.20726340229407075</c:v>
                </c:pt>
                <c:pt idx="8">
                  <c:v>0.18178687703481092</c:v>
                </c:pt>
                <c:pt idx="9">
                  <c:v>0.2202000645369474</c:v>
                </c:pt>
                <c:pt idx="10">
                  <c:v>0.22656798315574556</c:v>
                </c:pt>
              </c:numCache>
            </c:numRef>
          </c:val>
        </c:ser>
        <c:marker val="1"/>
        <c:axId val="119205888"/>
        <c:axId val="119207424"/>
      </c:lineChart>
      <c:catAx>
        <c:axId val="119205888"/>
        <c:scaling>
          <c:orientation val="minMax"/>
        </c:scaling>
        <c:delete val="1"/>
        <c:axPos val="b"/>
        <c:tickLblPos val="none"/>
        <c:crossAx val="119207424"/>
        <c:crosses val="autoZero"/>
        <c:auto val="1"/>
        <c:lblAlgn val="ctr"/>
        <c:lblOffset val="100"/>
      </c:catAx>
      <c:valAx>
        <c:axId val="119207424"/>
        <c:scaling>
          <c:orientation val="minMax"/>
        </c:scaling>
        <c:delete val="1"/>
        <c:axPos val="l"/>
        <c:numFmt formatCode="0.0%" sourceLinked="1"/>
        <c:tickLblPos val="none"/>
        <c:crossAx val="119205888"/>
        <c:crosses val="autoZero"/>
        <c:crossBetween val="between"/>
      </c:valAx>
      <c:spPr>
        <a:noFill/>
        <a:ln w="25400">
          <a:noFill/>
        </a:ln>
      </c:spPr>
    </c:plotArea>
    <c:plotVisOnly val="1"/>
    <c:dispBlanksAs val="gap"/>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1.8503402549899999E-2"/>
          <c:w val="1"/>
          <c:h val="0.98149643148429089"/>
        </c:manualLayout>
      </c:layout>
      <c:barChart>
        <c:barDir val="col"/>
        <c:grouping val="clustered"/>
        <c:ser>
          <c:idx val="0"/>
          <c:order val="0"/>
          <c:spPr>
            <a:solidFill>
              <a:srgbClr val="00B050"/>
            </a:solidFill>
          </c:spPr>
          <c:val>
            <c:numRef>
              <c:f>DCFData!$B$19:$L$19</c:f>
              <c:numCache>
                <c:formatCode>_("$"* #,##0.0_);_("$"* \(#,##0.0\);_("$"* "-"?_);_(@_)</c:formatCode>
                <c:ptCount val="11"/>
                <c:pt idx="0">
                  <c:v>14254</c:v>
                </c:pt>
                <c:pt idx="1">
                  <c:v>14048</c:v>
                </c:pt>
                <c:pt idx="2">
                  <c:v>12459</c:v>
                </c:pt>
                <c:pt idx="3">
                  <c:v>13282</c:v>
                </c:pt>
                <c:pt idx="4">
                  <c:v>14324</c:v>
                </c:pt>
                <c:pt idx="5">
                  <c:v>14909</c:v>
                </c:pt>
                <c:pt idx="6">
                  <c:v>15924</c:v>
                </c:pt>
                <c:pt idx="7">
                  <c:v>18451</c:v>
                </c:pt>
                <c:pt idx="8">
                  <c:v>20570</c:v>
                </c:pt>
                <c:pt idx="9">
                  <c:v>19902</c:v>
                </c:pt>
                <c:pt idx="10">
                  <c:v>20307</c:v>
                </c:pt>
              </c:numCache>
            </c:numRef>
          </c:val>
        </c:ser>
        <c:axId val="119222656"/>
        <c:axId val="119224192"/>
      </c:barChart>
      <c:catAx>
        <c:axId val="119222656"/>
        <c:scaling>
          <c:orientation val="minMax"/>
        </c:scaling>
        <c:delete val="1"/>
        <c:axPos val="b"/>
        <c:tickLblPos val="none"/>
        <c:crossAx val="119224192"/>
        <c:crosses val="autoZero"/>
        <c:auto val="1"/>
        <c:lblAlgn val="ctr"/>
        <c:lblOffset val="100"/>
      </c:catAx>
      <c:valAx>
        <c:axId val="119224192"/>
        <c:scaling>
          <c:orientation val="minMax"/>
        </c:scaling>
        <c:delete val="1"/>
        <c:axPos val="l"/>
        <c:numFmt formatCode="_(&quot;$&quot;* #,##0.0_);_(&quot;$&quot;* \(#,##0.0\);_(&quot;$&quot;* &quot;-&quot;?_);_(@_)" sourceLinked="1"/>
        <c:tickLblPos val="none"/>
        <c:crossAx val="119222656"/>
        <c:crosses val="autoZero"/>
        <c:crossBetween val="between"/>
      </c:valAx>
      <c:spPr>
        <a:noFill/>
        <a:ln w="25400">
          <a:noFill/>
        </a:ln>
      </c:spPr>
    </c:plotArea>
    <c:plotVisOnly val="1"/>
    <c:dispBlanksAs val="gap"/>
  </c:chart>
  <c:spPr>
    <a:noFill/>
    <a:ln>
      <a:noFill/>
    </a:ln>
  </c:spPr>
  <c:printSettings>
    <c:headerFooter/>
    <c:pageMargins b="0.75000000000000033" l="0.70000000000000029" r="0.70000000000000029" t="0.75000000000000033" header="0.30000000000000016" footer="0.30000000000000016"/>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1.8503402549899999E-2"/>
          <c:w val="1"/>
          <c:h val="0.98149643148429089"/>
        </c:manualLayout>
      </c:layout>
      <c:barChart>
        <c:barDir val="col"/>
        <c:grouping val="clustered"/>
        <c:ser>
          <c:idx val="0"/>
          <c:order val="0"/>
          <c:spPr>
            <a:solidFill>
              <a:srgbClr val="00B050"/>
            </a:solidFill>
          </c:spPr>
          <c:val>
            <c:numRef>
              <c:f>DCFData!$B$20:$L$20</c:f>
              <c:numCache>
                <c:formatCode>_("$"* #,##0.0_);_("$"* \(#,##0.0\);_("$"* "-"?_);_(@_)</c:formatCode>
                <c:ptCount val="11"/>
                <c:pt idx="0">
                  <c:v>3691</c:v>
                </c:pt>
                <c:pt idx="1">
                  <c:v>5352</c:v>
                </c:pt>
                <c:pt idx="2">
                  <c:v>5458</c:v>
                </c:pt>
                <c:pt idx="3">
                  <c:v>5221</c:v>
                </c:pt>
                <c:pt idx="4">
                  <c:v>5698</c:v>
                </c:pt>
                <c:pt idx="5">
                  <c:v>6085</c:v>
                </c:pt>
                <c:pt idx="6">
                  <c:v>6308</c:v>
                </c:pt>
                <c:pt idx="7">
                  <c:v>7252</c:v>
                </c:pt>
                <c:pt idx="8">
                  <c:v>8446</c:v>
                </c:pt>
                <c:pt idx="9">
                  <c:v>8231</c:v>
                </c:pt>
                <c:pt idx="10">
                  <c:v>8864</c:v>
                </c:pt>
              </c:numCache>
            </c:numRef>
          </c:val>
        </c:ser>
        <c:axId val="119247616"/>
        <c:axId val="119249152"/>
      </c:barChart>
      <c:catAx>
        <c:axId val="119247616"/>
        <c:scaling>
          <c:orientation val="minMax"/>
        </c:scaling>
        <c:delete val="1"/>
        <c:axPos val="b"/>
        <c:tickLblPos val="none"/>
        <c:crossAx val="119249152"/>
        <c:crosses val="autoZero"/>
        <c:auto val="1"/>
        <c:lblAlgn val="ctr"/>
        <c:lblOffset val="100"/>
      </c:catAx>
      <c:valAx>
        <c:axId val="119249152"/>
        <c:scaling>
          <c:orientation val="minMax"/>
        </c:scaling>
        <c:delete val="1"/>
        <c:axPos val="l"/>
        <c:numFmt formatCode="_(&quot;$&quot;* #,##0.0_);_(&quot;$&quot;* \(#,##0.0\);_(&quot;$&quot;* &quot;-&quot;?_);_(@_)" sourceLinked="1"/>
        <c:tickLblPos val="none"/>
        <c:crossAx val="119247616"/>
        <c:crosses val="autoZero"/>
        <c:crossBetween val="between"/>
      </c:valAx>
      <c:spPr>
        <a:noFill/>
        <a:ln w="25400">
          <a:noFill/>
        </a:ln>
      </c:spPr>
    </c:plotArea>
    <c:plotVisOnly val="1"/>
    <c:dispBlanksAs val="gap"/>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1.8503402549899999E-2"/>
          <c:w val="1"/>
          <c:h val="0.98149643148429089"/>
        </c:manualLayout>
      </c:layout>
      <c:barChart>
        <c:barDir val="col"/>
        <c:grouping val="clustered"/>
        <c:ser>
          <c:idx val="0"/>
          <c:order val="0"/>
          <c:spPr>
            <a:solidFill>
              <a:srgbClr val="00B050"/>
            </a:solidFill>
          </c:spPr>
          <c:val>
            <c:numRef>
              <c:f>DCFData!$B$21:$L$21</c:f>
              <c:numCache>
                <c:formatCode>_("$"* #,##0.0_);_("$"* \(#,##0.0\);_("$"* "-"?_);_(@_)</c:formatCode>
                <c:ptCount val="11"/>
                <c:pt idx="0">
                  <c:v>2177</c:v>
                </c:pt>
                <c:pt idx="1">
                  <c:v>3969</c:v>
                </c:pt>
                <c:pt idx="2">
                  <c:v>3050</c:v>
                </c:pt>
                <c:pt idx="3">
                  <c:v>4347</c:v>
                </c:pt>
                <c:pt idx="4">
                  <c:v>4847</c:v>
                </c:pt>
                <c:pt idx="5">
                  <c:v>4872</c:v>
                </c:pt>
                <c:pt idx="6">
                  <c:v>5080</c:v>
                </c:pt>
                <c:pt idx="7">
                  <c:v>5981</c:v>
                </c:pt>
                <c:pt idx="8">
                  <c:v>5807</c:v>
                </c:pt>
                <c:pt idx="9">
                  <c:v>6824</c:v>
                </c:pt>
                <c:pt idx="10">
                  <c:v>7102</c:v>
                </c:pt>
              </c:numCache>
            </c:numRef>
          </c:val>
        </c:ser>
        <c:axId val="119264384"/>
        <c:axId val="119265920"/>
      </c:barChart>
      <c:catAx>
        <c:axId val="119264384"/>
        <c:scaling>
          <c:orientation val="minMax"/>
        </c:scaling>
        <c:delete val="1"/>
        <c:axPos val="b"/>
        <c:tickLblPos val="none"/>
        <c:crossAx val="119265920"/>
        <c:crosses val="autoZero"/>
        <c:auto val="1"/>
        <c:lblAlgn val="ctr"/>
        <c:lblOffset val="100"/>
      </c:catAx>
      <c:valAx>
        <c:axId val="119265920"/>
        <c:scaling>
          <c:orientation val="minMax"/>
        </c:scaling>
        <c:delete val="1"/>
        <c:axPos val="l"/>
        <c:numFmt formatCode="_(&quot;$&quot;* #,##0.0_);_(&quot;$&quot;* \(#,##0.0\);_(&quot;$&quot;* &quot;-&quot;?_);_(@_)" sourceLinked="1"/>
        <c:tickLblPos val="none"/>
        <c:crossAx val="119264384"/>
        <c:crosses val="autoZero"/>
        <c:crossBetween val="between"/>
      </c:valAx>
      <c:spPr>
        <a:noFill/>
        <a:ln w="25400">
          <a:noFill/>
        </a:ln>
      </c:spPr>
    </c:plotArea>
    <c:plotVisOnly val="1"/>
    <c:dispBlanksAs val="gap"/>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barChart>
        <c:barDir val="bar"/>
        <c:grouping val="clustered"/>
        <c:ser>
          <c:idx val="0"/>
          <c:order val="0"/>
          <c:dLbls>
            <c:delete val="1"/>
          </c:dLbls>
          <c:val>
            <c:numRef>
              <c:f>DashData!$E$11:$E$15</c:f>
              <c:numCache>
                <c:formatCode>0.0</c:formatCode>
                <c:ptCount val="5"/>
                <c:pt idx="0">
                  <c:v>-50</c:v>
                </c:pt>
                <c:pt idx="1">
                  <c:v>-50</c:v>
                </c:pt>
                <c:pt idx="2">
                  <c:v>-50</c:v>
                </c:pt>
                <c:pt idx="3">
                  <c:v>-50</c:v>
                </c:pt>
                <c:pt idx="4">
                  <c:v>4.7231247744872302</c:v>
                </c:pt>
              </c:numCache>
            </c:numRef>
          </c:val>
        </c:ser>
        <c:dLbls>
          <c:showVal val="1"/>
        </c:dLbls>
        <c:gapWidth val="75"/>
        <c:axId val="119285248"/>
        <c:axId val="119286784"/>
      </c:barChart>
      <c:catAx>
        <c:axId val="119285248"/>
        <c:scaling>
          <c:orientation val="maxMin"/>
        </c:scaling>
        <c:axPos val="l"/>
        <c:majorTickMark val="none"/>
        <c:tickLblPos val="none"/>
        <c:crossAx val="119286784"/>
        <c:crosses val="autoZero"/>
        <c:auto val="1"/>
        <c:lblAlgn val="ctr"/>
        <c:lblOffset val="100"/>
      </c:catAx>
      <c:valAx>
        <c:axId val="119286784"/>
        <c:scaling>
          <c:orientation val="minMax"/>
        </c:scaling>
        <c:delete val="1"/>
        <c:axPos val="t"/>
        <c:numFmt formatCode="0.0" sourceLinked="1"/>
        <c:tickLblPos val="none"/>
        <c:crossAx val="119285248"/>
        <c:crosses val="autoZero"/>
        <c:crossBetween val="between"/>
      </c:valAx>
      <c:spPr>
        <a:noFill/>
        <a:ln w="25400">
          <a:noFill/>
        </a:ln>
      </c:spPr>
    </c:plotArea>
    <c:plotVisOnly val="1"/>
    <c:dispBlanksAs val="gap"/>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Valuation'!$C$11:$M$11</c:f>
              <c:numCache>
                <c:formatCode>"$"#,##0.0_);\("$"#,##0.0\)</c:formatCode>
                <c:ptCount val="11"/>
                <c:pt idx="0">
                  <c:v>3585</c:v>
                </c:pt>
                <c:pt idx="1">
                  <c:v>4110</c:v>
                </c:pt>
                <c:pt idx="2">
                  <c:v>4742</c:v>
                </c:pt>
                <c:pt idx="3">
                  <c:v>5456</c:v>
                </c:pt>
                <c:pt idx="4">
                  <c:v>5968</c:v>
                </c:pt>
                <c:pt idx="5">
                  <c:v>6423</c:v>
                </c:pt>
                <c:pt idx="6">
                  <c:v>5957</c:v>
                </c:pt>
                <c:pt idx="7">
                  <c:v>7150</c:v>
                </c:pt>
                <c:pt idx="8">
                  <c:v>7571</c:v>
                </c:pt>
                <c:pt idx="9">
                  <c:v>8186</c:v>
                </c:pt>
                <c:pt idx="10">
                  <c:v>8639</c:v>
                </c:pt>
              </c:numCache>
            </c:numRef>
          </c:val>
        </c:ser>
        <c:marker val="1"/>
        <c:axId val="72403584"/>
        <c:axId val="72409472"/>
      </c:lineChart>
      <c:catAx>
        <c:axId val="72403584"/>
        <c:scaling>
          <c:orientation val="minMax"/>
        </c:scaling>
        <c:delete val="1"/>
        <c:axPos val="b"/>
        <c:tickLblPos val="none"/>
        <c:crossAx val="72409472"/>
        <c:crosses val="autoZero"/>
        <c:auto val="1"/>
        <c:lblAlgn val="ctr"/>
        <c:lblOffset val="100"/>
      </c:catAx>
      <c:valAx>
        <c:axId val="72409472"/>
        <c:scaling>
          <c:orientation val="minMax"/>
        </c:scaling>
        <c:delete val="1"/>
        <c:axPos val="l"/>
        <c:numFmt formatCode="&quot;$&quot;#,##0.0_);\(&quot;$&quot;#,##0.0\)" sourceLinked="1"/>
        <c:tickLblPos val="none"/>
        <c:crossAx val="72403584"/>
        <c:crosses val="autoZero"/>
        <c:crossBetween val="between"/>
      </c:valAx>
      <c:spPr>
        <a:noFill/>
        <a:ln w="25400">
          <a:noFill/>
        </a:ln>
      </c:spPr>
    </c:plotArea>
    <c:plotVisOnly val="1"/>
    <c:dispBlanksAs val="gap"/>
  </c:chart>
  <c:spPr>
    <a:noFill/>
    <a:ln>
      <a:noFill/>
    </a:ln>
  </c:spPr>
  <c:printSettings>
    <c:headerFooter/>
    <c:pageMargins b="0.75000000000000011" l="0.70000000000000007" r="0.70000000000000007" t="0.75000000000000011" header="0.30000000000000004" footer="0.30000000000000004"/>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Valuation'!$C$12:$M$12</c:f>
              <c:numCache>
                <c:formatCode>"$"#,##0.0_);\("$"#,##0.0\)</c:formatCode>
                <c:ptCount val="11"/>
                <c:pt idx="0">
                  <c:v>733</c:v>
                </c:pt>
                <c:pt idx="1">
                  <c:v>769</c:v>
                </c:pt>
                <c:pt idx="2">
                  <c:v>851</c:v>
                </c:pt>
                <c:pt idx="3">
                  <c:v>812</c:v>
                </c:pt>
                <c:pt idx="4">
                  <c:v>755</c:v>
                </c:pt>
                <c:pt idx="5">
                  <c:v>899</c:v>
                </c:pt>
                <c:pt idx="6">
                  <c:v>1407</c:v>
                </c:pt>
                <c:pt idx="7">
                  <c:v>1648</c:v>
                </c:pt>
                <c:pt idx="8">
                  <c:v>1968</c:v>
                </c:pt>
                <c:pt idx="9">
                  <c:v>1993</c:v>
                </c:pt>
                <c:pt idx="10">
                  <c:v>1919</c:v>
                </c:pt>
              </c:numCache>
            </c:numRef>
          </c:val>
        </c:ser>
        <c:marker val="1"/>
        <c:axId val="72416256"/>
        <c:axId val="119325440"/>
      </c:lineChart>
      <c:catAx>
        <c:axId val="72416256"/>
        <c:scaling>
          <c:orientation val="minMax"/>
        </c:scaling>
        <c:delete val="1"/>
        <c:axPos val="b"/>
        <c:tickLblPos val="none"/>
        <c:crossAx val="119325440"/>
        <c:crosses val="autoZero"/>
        <c:auto val="1"/>
        <c:lblAlgn val="ctr"/>
        <c:lblOffset val="100"/>
      </c:catAx>
      <c:valAx>
        <c:axId val="119325440"/>
        <c:scaling>
          <c:orientation val="minMax"/>
        </c:scaling>
        <c:delete val="1"/>
        <c:axPos val="l"/>
        <c:numFmt formatCode="&quot;$&quot;#,##0.0_);\(&quot;$&quot;#,##0.0\)" sourceLinked="1"/>
        <c:tickLblPos val="none"/>
        <c:crossAx val="72416256"/>
        <c:crosses val="autoZero"/>
        <c:crossBetween val="between"/>
      </c:valAx>
      <c:spPr>
        <a:noFill/>
        <a:ln w="25400">
          <a:noFill/>
        </a:ln>
      </c:spPr>
    </c:plotArea>
    <c:plotVisOnly val="1"/>
    <c:dispBlanksAs val="gap"/>
  </c:chart>
  <c:spPr>
    <a:noFill/>
    <a:ln>
      <a:noFill/>
    </a:ln>
  </c:sp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Valuation'!$C$13:$M$13</c:f>
              <c:numCache>
                <c:formatCode>"$"#,##0.0_);\("$"#,##0.0\)</c:formatCode>
                <c:ptCount val="11"/>
                <c:pt idx="0">
                  <c:v>1399.4542512503679</c:v>
                </c:pt>
                <c:pt idx="1">
                  <c:v>2652.6666666666665</c:v>
                </c:pt>
                <c:pt idx="2">
                  <c:v>2748.277141298418</c:v>
                </c:pt>
                <c:pt idx="3">
                  <c:v>2815.4636942675161</c:v>
                </c:pt>
                <c:pt idx="4">
                  <c:v>3154.990356798457</c:v>
                </c:pt>
                <c:pt idx="5">
                  <c:v>3097.980269058296</c:v>
                </c:pt>
                <c:pt idx="6">
                  <c:v>3060.5107935542719</c:v>
                </c:pt>
                <c:pt idx="7">
                  <c:v>3373.7610821796011</c:v>
                </c:pt>
                <c:pt idx="8">
                  <c:v>4371.4477752386074</c:v>
                </c:pt>
                <c:pt idx="9">
                  <c:v>4102.9946344735081</c:v>
                </c:pt>
                <c:pt idx="10">
                  <c:v>4464.9973181720661</c:v>
                </c:pt>
              </c:numCache>
            </c:numRef>
          </c:val>
        </c:ser>
        <c:marker val="1"/>
        <c:axId val="131673472"/>
        <c:axId val="131679360"/>
      </c:lineChart>
      <c:catAx>
        <c:axId val="131673472"/>
        <c:scaling>
          <c:orientation val="minMax"/>
        </c:scaling>
        <c:delete val="1"/>
        <c:axPos val="b"/>
        <c:tickLblPos val="none"/>
        <c:crossAx val="131679360"/>
        <c:crosses val="autoZero"/>
        <c:auto val="1"/>
        <c:lblAlgn val="ctr"/>
        <c:lblOffset val="100"/>
      </c:catAx>
      <c:valAx>
        <c:axId val="131679360"/>
        <c:scaling>
          <c:orientation val="minMax"/>
        </c:scaling>
        <c:delete val="1"/>
        <c:axPos val="l"/>
        <c:numFmt formatCode="&quot;$&quot;#,##0.0_);\(&quot;$&quot;#,##0.0\)" sourceLinked="1"/>
        <c:tickLblPos val="none"/>
        <c:crossAx val="131673472"/>
        <c:crosses val="autoZero"/>
        <c:crossBetween val="between"/>
      </c:valAx>
      <c:spPr>
        <a:noFill/>
        <a:ln w="25400">
          <a:noFill/>
        </a:ln>
      </c:spPr>
    </c:plotArea>
    <c:plotVisOnly val="1"/>
    <c:dispBlanksAs val="gap"/>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Valuation'!$C$14:$M$14</c:f>
              <c:numCache>
                <c:formatCode>"$"#,##0.0_);\("$"#,##0.0\)</c:formatCode>
                <c:ptCount val="11"/>
                <c:pt idx="0">
                  <c:v>2217</c:v>
                </c:pt>
                <c:pt idx="1">
                  <c:v>4003</c:v>
                </c:pt>
                <c:pt idx="2">
                  <c:v>3005</c:v>
                </c:pt>
                <c:pt idx="3">
                  <c:v>4385</c:v>
                </c:pt>
                <c:pt idx="4">
                  <c:v>4985</c:v>
                </c:pt>
                <c:pt idx="5">
                  <c:v>4905</c:v>
                </c:pt>
                <c:pt idx="6">
                  <c:v>4611</c:v>
                </c:pt>
                <c:pt idx="7">
                  <c:v>5496</c:v>
                </c:pt>
                <c:pt idx="8">
                  <c:v>5067</c:v>
                </c:pt>
                <c:pt idx="9">
                  <c:v>6067</c:v>
                </c:pt>
                <c:pt idx="10">
                  <c:v>6419</c:v>
                </c:pt>
              </c:numCache>
            </c:numRef>
          </c:val>
        </c:ser>
        <c:marker val="1"/>
        <c:axId val="114626560"/>
        <c:axId val="114628096"/>
      </c:lineChart>
      <c:catAx>
        <c:axId val="114626560"/>
        <c:scaling>
          <c:orientation val="minMax"/>
        </c:scaling>
        <c:delete val="1"/>
        <c:axPos val="b"/>
        <c:tickLblPos val="none"/>
        <c:crossAx val="114628096"/>
        <c:crosses val="autoZero"/>
        <c:auto val="1"/>
        <c:lblAlgn val="ctr"/>
        <c:lblOffset val="100"/>
      </c:catAx>
      <c:valAx>
        <c:axId val="114628096"/>
        <c:scaling>
          <c:orientation val="minMax"/>
        </c:scaling>
        <c:delete val="1"/>
        <c:axPos val="l"/>
        <c:numFmt formatCode="&quot;$&quot;#,##0.0_);\(&quot;$&quot;#,##0.0\)" sourceLinked="1"/>
        <c:tickLblPos val="none"/>
        <c:crossAx val="114626560"/>
        <c:crosses val="autoZero"/>
        <c:crossBetween val="between"/>
      </c:valAx>
      <c:spPr>
        <a:noFill/>
        <a:ln w="25400">
          <a:noFill/>
        </a:ln>
      </c:spPr>
    </c:plotArea>
    <c:plotVisOnly val="1"/>
    <c:dispBlanksAs val="gap"/>
  </c:chart>
  <c:spPr>
    <a:noFill/>
    <a:ln>
      <a:noFill/>
    </a:ln>
  </c:spPr>
  <c:printSettings>
    <c:headerFooter/>
    <c:pageMargins b="0.75000000000000089" l="0.70000000000000062" r="0.70000000000000062" t="0.750000000000000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Valuation'!$C$18:$M$18</c:f>
              <c:numCache>
                <c:formatCode>0.0%</c:formatCode>
                <c:ptCount val="11"/>
                <c:pt idx="0">
                  <c:v>0.69674454980936551</c:v>
                </c:pt>
                <c:pt idx="1">
                  <c:v>0.69918375472825001</c:v>
                </c:pt>
                <c:pt idx="2">
                  <c:v>0.63683295849519528</c:v>
                </c:pt>
                <c:pt idx="3">
                  <c:v>0.6311537730469492</c:v>
                </c:pt>
                <c:pt idx="4">
                  <c:v>0.65221746653310264</c:v>
                </c:pt>
                <c:pt idx="5">
                  <c:v>0.64529951523545703</c:v>
                </c:pt>
                <c:pt idx="6">
                  <c:v>0.6610760544669545</c:v>
                </c:pt>
                <c:pt idx="7">
                  <c:v>0.63939425442700215</c:v>
                </c:pt>
                <c:pt idx="8">
                  <c:v>0.64393939393939392</c:v>
                </c:pt>
                <c:pt idx="9">
                  <c:v>0.6422071636011617</c:v>
                </c:pt>
                <c:pt idx="10">
                  <c:v>0.64783385439928542</c:v>
                </c:pt>
              </c:numCache>
            </c:numRef>
          </c:val>
        </c:ser>
        <c:marker val="1"/>
        <c:axId val="114651520"/>
        <c:axId val="114653056"/>
      </c:lineChart>
      <c:catAx>
        <c:axId val="114651520"/>
        <c:scaling>
          <c:orientation val="minMax"/>
        </c:scaling>
        <c:delete val="1"/>
        <c:axPos val="b"/>
        <c:tickLblPos val="none"/>
        <c:crossAx val="114653056"/>
        <c:crosses val="autoZero"/>
        <c:auto val="1"/>
        <c:lblAlgn val="ctr"/>
        <c:lblOffset val="100"/>
      </c:catAx>
      <c:valAx>
        <c:axId val="114653056"/>
        <c:scaling>
          <c:orientation val="minMax"/>
        </c:scaling>
        <c:delete val="1"/>
        <c:axPos val="l"/>
        <c:numFmt formatCode="0.0%" sourceLinked="1"/>
        <c:tickLblPos val="none"/>
        <c:crossAx val="114651520"/>
        <c:crosses val="autoZero"/>
        <c:crossBetween val="between"/>
      </c:valAx>
      <c:spPr>
        <a:noFill/>
        <a:ln w="25400">
          <a:noFill/>
        </a:ln>
      </c:spPr>
    </c:plotArea>
    <c:plotVisOnly val="1"/>
    <c:dispBlanksAs val="gap"/>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Valuation'!$C$19:$M$19</c:f>
              <c:numCache>
                <c:formatCode>0.0%</c:formatCode>
                <c:ptCount val="11"/>
                <c:pt idx="0">
                  <c:v>0.18041841822270016</c:v>
                </c:pt>
                <c:pt idx="1">
                  <c:v>0.26637467648815449</c:v>
                </c:pt>
                <c:pt idx="2">
                  <c:v>0.27898180331220607</c:v>
                </c:pt>
                <c:pt idx="3">
                  <c:v>0.24809922068047899</c:v>
                </c:pt>
                <c:pt idx="4">
                  <c:v>0.25944813769237773</c:v>
                </c:pt>
                <c:pt idx="5">
                  <c:v>0.26337430747922436</c:v>
                </c:pt>
                <c:pt idx="6">
                  <c:v>0.26187313184988376</c:v>
                </c:pt>
                <c:pt idx="7">
                  <c:v>0.25130817479294454</c:v>
                </c:pt>
                <c:pt idx="8">
                  <c:v>0.26440020035061357</c:v>
                </c:pt>
                <c:pt idx="9">
                  <c:v>0.26560180703452729</c:v>
                </c:pt>
                <c:pt idx="10">
                  <c:v>0.28277930198430423</c:v>
                </c:pt>
              </c:numCache>
            </c:numRef>
          </c:val>
        </c:ser>
        <c:marker val="1"/>
        <c:axId val="114668288"/>
        <c:axId val="114669824"/>
      </c:lineChart>
      <c:catAx>
        <c:axId val="114668288"/>
        <c:scaling>
          <c:orientation val="minMax"/>
        </c:scaling>
        <c:delete val="1"/>
        <c:axPos val="b"/>
        <c:tickLblPos val="none"/>
        <c:crossAx val="114669824"/>
        <c:crosses val="autoZero"/>
        <c:auto val="1"/>
        <c:lblAlgn val="ctr"/>
        <c:lblOffset val="100"/>
      </c:catAx>
      <c:valAx>
        <c:axId val="114669824"/>
        <c:scaling>
          <c:orientation val="minMax"/>
        </c:scaling>
        <c:delete val="1"/>
        <c:axPos val="l"/>
        <c:numFmt formatCode="0.0%" sourceLinked="1"/>
        <c:tickLblPos val="none"/>
        <c:crossAx val="114668288"/>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Valuation'!$C$20:$M$20</c:f>
              <c:numCache>
                <c:formatCode>0.0%</c:formatCode>
                <c:ptCount val="11"/>
                <c:pt idx="0">
                  <c:v>0.10641313911428292</c:v>
                </c:pt>
                <c:pt idx="1">
                  <c:v>0.19754130997411906</c:v>
                </c:pt>
                <c:pt idx="2">
                  <c:v>0.15589858924555305</c:v>
                </c:pt>
                <c:pt idx="3">
                  <c:v>0.20656719254894507</c:v>
                </c:pt>
                <c:pt idx="4">
                  <c:v>0.22069938985520443</c:v>
                </c:pt>
                <c:pt idx="5">
                  <c:v>0.21087257617728533</c:v>
                </c:pt>
                <c:pt idx="6">
                  <c:v>0.2108933909000332</c:v>
                </c:pt>
                <c:pt idx="7">
                  <c:v>0.20726340229407075</c:v>
                </c:pt>
                <c:pt idx="8">
                  <c:v>0.18178687703481092</c:v>
                </c:pt>
                <c:pt idx="9">
                  <c:v>0.2202000645369474</c:v>
                </c:pt>
                <c:pt idx="10">
                  <c:v>0.22656798315574556</c:v>
                </c:pt>
              </c:numCache>
            </c:numRef>
          </c:val>
        </c:ser>
        <c:marker val="1"/>
        <c:axId val="119354496"/>
        <c:axId val="119356032"/>
      </c:lineChart>
      <c:catAx>
        <c:axId val="119354496"/>
        <c:scaling>
          <c:orientation val="minMax"/>
        </c:scaling>
        <c:delete val="1"/>
        <c:axPos val="b"/>
        <c:tickLblPos val="none"/>
        <c:crossAx val="119356032"/>
        <c:crosses val="autoZero"/>
        <c:auto val="1"/>
        <c:lblAlgn val="ctr"/>
        <c:lblOffset val="100"/>
      </c:catAx>
      <c:valAx>
        <c:axId val="119356032"/>
        <c:scaling>
          <c:orientation val="minMax"/>
        </c:scaling>
        <c:delete val="1"/>
        <c:axPos val="l"/>
        <c:numFmt formatCode="0.0%" sourceLinked="1"/>
        <c:tickLblPos val="none"/>
        <c:crossAx val="119354496"/>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Valuation'!$C$23:$M$23</c:f>
              <c:numCache>
                <c:formatCode>"$"#,##0.00</c:formatCode>
                <c:ptCount val="11"/>
                <c:pt idx="0">
                  <c:v>0.88</c:v>
                </c:pt>
                <c:pt idx="1">
                  <c:v>1.6</c:v>
                </c:pt>
                <c:pt idx="2">
                  <c:v>1.23</c:v>
                </c:pt>
                <c:pt idx="3">
                  <c:v>1.77</c:v>
                </c:pt>
                <c:pt idx="4">
                  <c:v>2</c:v>
                </c:pt>
                <c:pt idx="5">
                  <c:v>2.04</c:v>
                </c:pt>
                <c:pt idx="6">
                  <c:v>2.16</c:v>
                </c:pt>
                <c:pt idx="7">
                  <c:v>2.57</c:v>
                </c:pt>
                <c:pt idx="8">
                  <c:v>2.4900000000000002</c:v>
                </c:pt>
                <c:pt idx="9">
                  <c:v>2.93</c:v>
                </c:pt>
                <c:pt idx="10">
                  <c:v>3.04</c:v>
                </c:pt>
              </c:numCache>
            </c:numRef>
          </c:val>
        </c:ser>
        <c:marker val="1"/>
        <c:axId val="119375360"/>
        <c:axId val="119376896"/>
      </c:lineChart>
      <c:catAx>
        <c:axId val="119375360"/>
        <c:scaling>
          <c:orientation val="minMax"/>
        </c:scaling>
        <c:delete val="1"/>
        <c:axPos val="b"/>
        <c:tickLblPos val="none"/>
        <c:crossAx val="119376896"/>
        <c:crosses val="autoZero"/>
        <c:auto val="1"/>
        <c:lblAlgn val="ctr"/>
        <c:lblOffset val="100"/>
      </c:catAx>
      <c:valAx>
        <c:axId val="119376896"/>
        <c:scaling>
          <c:orientation val="minMax"/>
        </c:scaling>
        <c:delete val="1"/>
        <c:axPos val="l"/>
        <c:numFmt formatCode="&quot;$&quot;#,##0.00" sourceLinked="1"/>
        <c:tickLblPos val="none"/>
        <c:crossAx val="119375360"/>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
          <c:y val="0"/>
          <c:w val="1"/>
          <c:h val="1"/>
        </c:manualLayout>
      </c:layout>
      <c:lineChart>
        <c:grouping val="standard"/>
        <c:ser>
          <c:idx val="0"/>
          <c:order val="0"/>
          <c:tx>
            <c:strRef>
              <c:f>'DCF Valuation'!$C$24</c:f>
              <c:strCache>
                <c:ptCount val="1"/>
                <c:pt idx="0">
                  <c:v>36.0%</c:v>
                </c:pt>
              </c:strCache>
            </c:strRef>
          </c:tx>
          <c:spPr>
            <a:ln w="19050"/>
          </c:spPr>
          <c:marker>
            <c:symbol val="none"/>
          </c:marker>
          <c:val>
            <c:numRef>
              <c:f>'DCF Valuation'!$D$24:$M$24</c:f>
              <c:numCache>
                <c:formatCode>0.0%</c:formatCode>
                <c:ptCount val="10"/>
                <c:pt idx="0">
                  <c:v>0.29823633156966489</c:v>
                </c:pt>
                <c:pt idx="1">
                  <c:v>0.2769594471722131</c:v>
                </c:pt>
                <c:pt idx="2">
                  <c:v>0.20891719745222931</c:v>
                </c:pt>
                <c:pt idx="3">
                  <c:v>0.22099003535840567</c:v>
                </c:pt>
                <c:pt idx="4">
                  <c:v>0.27174887892376681</c:v>
                </c:pt>
                <c:pt idx="5">
                  <c:v>0.22772879294618426</c:v>
                </c:pt>
                <c:pt idx="6">
                  <c:v>0.24031500063508193</c:v>
                </c:pt>
                <c:pt idx="7">
                  <c:v>0.2193843258502487</c:v>
                </c:pt>
                <c:pt idx="8">
                  <c:v>0.22803487592219987</c:v>
                </c:pt>
                <c:pt idx="9">
                  <c:v>0.22924265179146106</c:v>
                </c:pt>
              </c:numCache>
            </c:numRef>
          </c:val>
        </c:ser>
        <c:marker val="1"/>
        <c:axId val="119400320"/>
        <c:axId val="119401856"/>
      </c:lineChart>
      <c:catAx>
        <c:axId val="119400320"/>
        <c:scaling>
          <c:orientation val="minMax"/>
        </c:scaling>
        <c:delete val="1"/>
        <c:axPos val="b"/>
        <c:tickLblPos val="none"/>
        <c:crossAx val="119401856"/>
        <c:crosses val="autoZero"/>
        <c:auto val="1"/>
        <c:lblAlgn val="ctr"/>
        <c:lblOffset val="100"/>
      </c:catAx>
      <c:valAx>
        <c:axId val="119401856"/>
        <c:scaling>
          <c:orientation val="minMax"/>
        </c:scaling>
        <c:delete val="1"/>
        <c:axPos val="l"/>
        <c:numFmt formatCode="0.0%" sourceLinked="1"/>
        <c:tickLblPos val="none"/>
        <c:crossAx val="119400320"/>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Valuation'!$C$27:$M$27</c:f>
              <c:numCache>
                <c:formatCode>0.0%</c:formatCode>
                <c:ptCount val="11"/>
                <c:pt idx="0">
                  <c:v>0.23103376406836182</c:v>
                </c:pt>
                <c:pt idx="1">
                  <c:v>0.35086335349285652</c:v>
                </c:pt>
                <c:pt idx="2">
                  <c:v>0.22084221356654662</c:v>
                </c:pt>
                <c:pt idx="3">
                  <c:v>0.2835068209736859</c:v>
                </c:pt>
                <c:pt idx="4">
                  <c:v>0.30175544794188863</c:v>
                </c:pt>
                <c:pt idx="5">
                  <c:v>0.31103360811667724</c:v>
                </c:pt>
                <c:pt idx="6">
                  <c:v>0.28930857071150706</c:v>
                </c:pt>
                <c:pt idx="7">
                  <c:v>0.30833099579242634</c:v>
                </c:pt>
                <c:pt idx="8">
                  <c:v>0.33721549314521498</c:v>
                </c:pt>
                <c:pt idx="9">
                  <c:v>0.2742518759605822</c:v>
                </c:pt>
                <c:pt idx="10">
                  <c:v>0.29848872355266215</c:v>
                </c:pt>
              </c:numCache>
            </c:numRef>
          </c:val>
        </c:ser>
        <c:marker val="1"/>
        <c:axId val="119417088"/>
        <c:axId val="119435264"/>
      </c:lineChart>
      <c:catAx>
        <c:axId val="119417088"/>
        <c:scaling>
          <c:orientation val="minMax"/>
        </c:scaling>
        <c:delete val="1"/>
        <c:axPos val="b"/>
        <c:tickLblPos val="none"/>
        <c:crossAx val="119435264"/>
        <c:crosses val="autoZero"/>
        <c:auto val="1"/>
        <c:lblAlgn val="ctr"/>
        <c:lblOffset val="100"/>
      </c:catAx>
      <c:valAx>
        <c:axId val="119435264"/>
        <c:scaling>
          <c:orientation val="minMax"/>
        </c:scaling>
        <c:delete val="1"/>
        <c:axPos val="l"/>
        <c:numFmt formatCode="0.0%" sourceLinked="1"/>
        <c:tickLblPos val="none"/>
        <c:crossAx val="119417088"/>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Valuation'!$C$28:$M$28</c:f>
              <c:numCache>
                <c:formatCode>0.0%</c:formatCode>
                <c:ptCount val="11"/>
                <c:pt idx="0">
                  <c:v>0.10836836445400333</c:v>
                </c:pt>
                <c:pt idx="1">
                  <c:v>0.19923352578140555</c:v>
                </c:pt>
                <c:pt idx="2">
                  <c:v>0.15359844612553669</c:v>
                </c:pt>
                <c:pt idx="3">
                  <c:v>0.20837293290249001</c:v>
                </c:pt>
                <c:pt idx="4">
                  <c:v>0.22698297058555686</c:v>
                </c:pt>
                <c:pt idx="5">
                  <c:v>0.21230090027700832</c:v>
                </c:pt>
                <c:pt idx="6">
                  <c:v>0.19142311524410494</c:v>
                </c:pt>
                <c:pt idx="7">
                  <c:v>0.19045638839796236</c:v>
                </c:pt>
                <c:pt idx="8">
                  <c:v>0.15862133734034561</c:v>
                </c:pt>
                <c:pt idx="9">
                  <c:v>0.19577282994514358</c:v>
                </c:pt>
                <c:pt idx="10">
                  <c:v>0.20477891916033944</c:v>
                </c:pt>
              </c:numCache>
            </c:numRef>
          </c:val>
        </c:ser>
        <c:marker val="1"/>
        <c:axId val="119446144"/>
        <c:axId val="119452032"/>
      </c:lineChart>
      <c:catAx>
        <c:axId val="119446144"/>
        <c:scaling>
          <c:orientation val="minMax"/>
        </c:scaling>
        <c:delete val="1"/>
        <c:axPos val="b"/>
        <c:tickLblPos val="none"/>
        <c:crossAx val="119452032"/>
        <c:crosses val="autoZero"/>
        <c:auto val="1"/>
        <c:lblAlgn val="ctr"/>
        <c:lblOffset val="100"/>
      </c:catAx>
      <c:valAx>
        <c:axId val="119452032"/>
        <c:scaling>
          <c:orientation val="minMax"/>
        </c:scaling>
        <c:delete val="1"/>
        <c:axPos val="l"/>
        <c:numFmt formatCode="0.0%" sourceLinked="1"/>
        <c:tickLblPos val="none"/>
        <c:crossAx val="119446144"/>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Valuation'!$C$29:$M$29</c:f>
              <c:numCache>
                <c:formatCode>0.0%</c:formatCode>
                <c:ptCount val="11"/>
                <c:pt idx="0">
                  <c:v>5.8198874296435275</c:v>
                </c:pt>
                <c:pt idx="1">
                  <c:v>5.7289099526066352</c:v>
                </c:pt>
                <c:pt idx="2">
                  <c:v>5.4907264296754255</c:v>
                </c:pt>
                <c:pt idx="3">
                  <c:v>6.1996805111821089</c:v>
                </c:pt>
                <c:pt idx="4">
                  <c:v>5.3788732394366194</c:v>
                </c:pt>
                <c:pt idx="5">
                  <c:v>5.7549157303370784</c:v>
                </c:pt>
                <c:pt idx="6">
                  <c:v>4.975015234613041</c:v>
                </c:pt>
                <c:pt idx="7">
                  <c:v>4.6873873873873872</c:v>
                </c:pt>
                <c:pt idx="8">
                  <c:v>5.2007315957933242</c:v>
                </c:pt>
                <c:pt idx="9">
                  <c:v>4.7102803738317753</c:v>
                </c:pt>
                <c:pt idx="10">
                  <c:v>4.7438762354963471</c:v>
                </c:pt>
              </c:numCache>
            </c:numRef>
          </c:val>
        </c:ser>
        <c:marker val="1"/>
        <c:axId val="119458816"/>
        <c:axId val="119481088"/>
      </c:lineChart>
      <c:catAx>
        <c:axId val="119458816"/>
        <c:scaling>
          <c:orientation val="minMax"/>
        </c:scaling>
        <c:delete val="1"/>
        <c:axPos val="b"/>
        <c:tickLblPos val="none"/>
        <c:crossAx val="119481088"/>
        <c:crosses val="autoZero"/>
        <c:auto val="1"/>
        <c:lblAlgn val="ctr"/>
        <c:lblOffset val="100"/>
      </c:catAx>
      <c:valAx>
        <c:axId val="119481088"/>
        <c:scaling>
          <c:orientation val="minMax"/>
        </c:scaling>
        <c:delete val="1"/>
        <c:axPos val="l"/>
        <c:numFmt formatCode="0.0%" sourceLinked="1"/>
        <c:tickLblPos val="none"/>
        <c:crossAx val="119458816"/>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Valuation'!$C$30:$M$30</c:f>
              <c:numCache>
                <c:formatCode>0.0%</c:formatCode>
                <c:ptCount val="11"/>
                <c:pt idx="0">
                  <c:v>0.10449265623500048</c:v>
                </c:pt>
                <c:pt idx="1">
                  <c:v>0.17705312932149708</c:v>
                </c:pt>
                <c:pt idx="2">
                  <c:v>0.12448471490959552</c:v>
                </c:pt>
                <c:pt idx="3">
                  <c:v>0.15898617511520738</c:v>
                </c:pt>
                <c:pt idx="4">
                  <c:v>0.15472276311169278</c:v>
                </c:pt>
                <c:pt idx="5">
                  <c:v>0.16556223876032217</c:v>
                </c:pt>
                <c:pt idx="6">
                  <c:v>0.16954243567066049</c:v>
                </c:pt>
                <c:pt idx="7">
                  <c:v>0.13822829277311702</c:v>
                </c:pt>
                <c:pt idx="8">
                  <c:v>0.14331548162590391</c:v>
                </c:pt>
                <c:pt idx="9">
                  <c:v>0.14020669392451357</c:v>
                </c:pt>
                <c:pt idx="10">
                  <c:v>0.14982174124000591</c:v>
                </c:pt>
              </c:numCache>
            </c:numRef>
          </c:val>
        </c:ser>
        <c:marker val="1"/>
        <c:axId val="119491968"/>
        <c:axId val="119497856"/>
      </c:lineChart>
      <c:catAx>
        <c:axId val="119491968"/>
        <c:scaling>
          <c:orientation val="minMax"/>
        </c:scaling>
        <c:delete val="1"/>
        <c:axPos val="b"/>
        <c:tickLblPos val="none"/>
        <c:crossAx val="119497856"/>
        <c:crosses val="autoZero"/>
        <c:auto val="1"/>
        <c:lblAlgn val="ctr"/>
        <c:lblOffset val="100"/>
      </c:catAx>
      <c:valAx>
        <c:axId val="119497856"/>
        <c:scaling>
          <c:orientation val="minMax"/>
        </c:scaling>
        <c:delete val="1"/>
        <c:axPos val="l"/>
        <c:numFmt formatCode="0.0%" sourceLinked="1"/>
        <c:tickLblPos val="none"/>
        <c:crossAx val="119491968"/>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Valuation'!$C$31:$M$31</c:f>
              <c:numCache>
                <c:formatCode>0.0%</c:formatCode>
                <c:ptCount val="11"/>
                <c:pt idx="0">
                  <c:v>0.23368398454272221</c:v>
                </c:pt>
                <c:pt idx="1">
                  <c:v>0.34919936653176137</c:v>
                </c:pt>
                <c:pt idx="2">
                  <c:v>0.25847457627118642</c:v>
                </c:pt>
                <c:pt idx="3">
                  <c:v>0.30851667849538678</c:v>
                </c:pt>
                <c:pt idx="4">
                  <c:v>0.30417320363978662</c:v>
                </c:pt>
                <c:pt idx="5">
                  <c:v>0.29789055334760012</c:v>
                </c:pt>
                <c:pt idx="6">
                  <c:v>0.30023640661938533</c:v>
                </c:pt>
                <c:pt idx="7">
                  <c:v>0.27506438557763063</c:v>
                </c:pt>
                <c:pt idx="8">
                  <c:v>0.28365572489253615</c:v>
                </c:pt>
                <c:pt idx="9">
                  <c:v>0.27517238598330579</c:v>
                </c:pt>
                <c:pt idx="10">
                  <c:v>0.28554197491154715</c:v>
                </c:pt>
              </c:numCache>
            </c:numRef>
          </c:val>
        </c:ser>
        <c:marker val="1"/>
        <c:axId val="119521280"/>
        <c:axId val="119522816"/>
      </c:lineChart>
      <c:catAx>
        <c:axId val="119521280"/>
        <c:scaling>
          <c:orientation val="minMax"/>
        </c:scaling>
        <c:delete val="1"/>
        <c:axPos val="b"/>
        <c:tickLblPos val="none"/>
        <c:crossAx val="119522816"/>
        <c:crosses val="autoZero"/>
        <c:auto val="1"/>
        <c:lblAlgn val="ctr"/>
        <c:lblOffset val="100"/>
      </c:catAx>
      <c:valAx>
        <c:axId val="119522816"/>
        <c:scaling>
          <c:orientation val="minMax"/>
        </c:scaling>
        <c:delete val="1"/>
        <c:axPos val="l"/>
        <c:numFmt formatCode="0.0%" sourceLinked="1"/>
        <c:tickLblPos val="none"/>
        <c:crossAx val="119521280"/>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Valuation'!$C$34:$M$34</c:f>
              <c:numCache>
                <c:formatCode>0.0%</c:formatCode>
                <c:ptCount val="11"/>
                <c:pt idx="0">
                  <c:v>1.2363675397166165</c:v>
                </c:pt>
                <c:pt idx="1">
                  <c:v>0.97228576456097127</c:v>
                </c:pt>
                <c:pt idx="2">
                  <c:v>1.0763559322033898</c:v>
                </c:pt>
                <c:pt idx="3">
                  <c:v>0.94052519517388222</c:v>
                </c:pt>
                <c:pt idx="4">
                  <c:v>0.96592406652023843</c:v>
                </c:pt>
                <c:pt idx="5">
                  <c:v>0.79926627942525219</c:v>
                </c:pt>
                <c:pt idx="6">
                  <c:v>0.77086288416075655</c:v>
                </c:pt>
                <c:pt idx="7">
                  <c:v>0.98992825607064017</c:v>
                </c:pt>
                <c:pt idx="8">
                  <c:v>0.97923993747557636</c:v>
                </c:pt>
                <c:pt idx="9">
                  <c:v>0.96261946046211544</c:v>
                </c:pt>
                <c:pt idx="10">
                  <c:v>0.90587809585075585</c:v>
                </c:pt>
              </c:numCache>
            </c:numRef>
          </c:val>
        </c:ser>
        <c:marker val="1"/>
        <c:axId val="119542144"/>
        <c:axId val="119543680"/>
      </c:lineChart>
      <c:catAx>
        <c:axId val="119542144"/>
        <c:scaling>
          <c:orientation val="minMax"/>
        </c:scaling>
        <c:delete val="1"/>
        <c:axPos val="b"/>
        <c:tickLblPos val="none"/>
        <c:crossAx val="119543680"/>
        <c:crosses val="autoZero"/>
        <c:auto val="1"/>
        <c:lblAlgn val="ctr"/>
        <c:lblOffset val="100"/>
      </c:catAx>
      <c:valAx>
        <c:axId val="119543680"/>
        <c:scaling>
          <c:orientation val="minMax"/>
        </c:scaling>
        <c:delete val="1"/>
        <c:axPos val="l"/>
        <c:numFmt formatCode="0.0%" sourceLinked="1"/>
        <c:tickLblPos val="none"/>
        <c:crossAx val="119542144"/>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Valuation'!$C$35:$M$35</c:f>
              <c:numCache>
                <c:formatCode>0.0%</c:formatCode>
                <c:ptCount val="11"/>
                <c:pt idx="0">
                  <c:v>8.2257905625061564E-2</c:v>
                </c:pt>
                <c:pt idx="1">
                  <c:v>9.6861342868494238E-2</c:v>
                </c:pt>
                <c:pt idx="2">
                  <c:v>0.18626301634370043</c:v>
                </c:pt>
                <c:pt idx="3">
                  <c:v>0.15156259408683084</c:v>
                </c:pt>
                <c:pt idx="4">
                  <c:v>6.7692487713550201E-2</c:v>
                </c:pt>
                <c:pt idx="5">
                  <c:v>6.5908961105717062E-2</c:v>
                </c:pt>
                <c:pt idx="6">
                  <c:v>7.2063178677196443E-2</c:v>
                </c:pt>
                <c:pt idx="7">
                  <c:v>0.13096998521242156</c:v>
                </c:pt>
                <c:pt idx="8">
                  <c:v>0.11959747129402658</c:v>
                </c:pt>
                <c:pt idx="9">
                  <c:v>0.16943532721548663</c:v>
                </c:pt>
                <c:pt idx="10">
                  <c:v>0.15086545355228567</c:v>
                </c:pt>
              </c:numCache>
            </c:numRef>
          </c:val>
        </c:ser>
        <c:marker val="1"/>
        <c:axId val="119567104"/>
        <c:axId val="119568640"/>
      </c:lineChart>
      <c:catAx>
        <c:axId val="119567104"/>
        <c:scaling>
          <c:orientation val="minMax"/>
        </c:scaling>
        <c:delete val="1"/>
        <c:axPos val="b"/>
        <c:tickLblPos val="none"/>
        <c:crossAx val="119568640"/>
        <c:crosses val="autoZero"/>
        <c:auto val="1"/>
        <c:lblAlgn val="ctr"/>
        <c:lblOffset val="100"/>
      </c:catAx>
      <c:valAx>
        <c:axId val="119568640"/>
        <c:scaling>
          <c:orientation val="minMax"/>
        </c:scaling>
        <c:delete val="1"/>
        <c:axPos val="l"/>
        <c:numFmt formatCode="0.0%" sourceLinked="1"/>
        <c:tickLblPos val="none"/>
        <c:crossAx val="119567104"/>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19050"/>
          </c:spPr>
          <c:marker>
            <c:symbol val="none"/>
          </c:marker>
          <c:val>
            <c:numRef>
              <c:f>'DCF Valuation'!$C$36:$M$36</c:f>
              <c:numCache>
                <c:formatCode>0.0%</c:formatCode>
                <c:ptCount val="11"/>
                <c:pt idx="0">
                  <c:v>0.192481333564855</c:v>
                </c:pt>
                <c:pt idx="1">
                  <c:v>0.36222966247398425</c:v>
                </c:pt>
                <c:pt idx="2">
                  <c:v>0.23659554365797969</c:v>
                </c:pt>
                <c:pt idx="3">
                  <c:v>0.33089345004527621</c:v>
                </c:pt>
                <c:pt idx="4">
                  <c:v>0.32386954261954259</c:v>
                </c:pt>
                <c:pt idx="5">
                  <c:v>0.37522949816401469</c:v>
                </c:pt>
                <c:pt idx="6">
                  <c:v>0.3535229625086253</c:v>
                </c:pt>
                <c:pt idx="7">
                  <c:v>0.25533101045296169</c:v>
                </c:pt>
                <c:pt idx="8">
                  <c:v>0.25275602334513891</c:v>
                </c:pt>
                <c:pt idx="9">
                  <c:v>0.25414711796246647</c:v>
                </c:pt>
                <c:pt idx="10">
                  <c:v>0.28489636500821092</c:v>
                </c:pt>
              </c:numCache>
            </c:numRef>
          </c:val>
        </c:ser>
        <c:marker val="1"/>
        <c:axId val="119596160"/>
        <c:axId val="119597696"/>
      </c:lineChart>
      <c:catAx>
        <c:axId val="119596160"/>
        <c:scaling>
          <c:orientation val="minMax"/>
        </c:scaling>
        <c:delete val="1"/>
        <c:axPos val="b"/>
        <c:tickLblPos val="none"/>
        <c:crossAx val="119597696"/>
        <c:crosses val="autoZero"/>
        <c:auto val="1"/>
        <c:lblAlgn val="ctr"/>
        <c:lblOffset val="100"/>
      </c:catAx>
      <c:valAx>
        <c:axId val="119597696"/>
        <c:scaling>
          <c:orientation val="minMax"/>
        </c:scaling>
        <c:delete val="1"/>
        <c:axPos val="l"/>
        <c:numFmt formatCode="0.0%" sourceLinked="1"/>
        <c:tickLblPos val="none"/>
        <c:crossAx val="119596160"/>
        <c:crosses val="autoZero"/>
        <c:crossBetween val="between"/>
      </c:valAx>
      <c:spPr>
        <a:noFill/>
        <a:ln w="25400">
          <a:noFill/>
        </a:ln>
      </c:spPr>
    </c:plotArea>
    <c:plotVisOnly val="1"/>
    <c:dispBlanksAs val="gap"/>
  </c:chart>
  <c:spPr>
    <a:noFill/>
    <a:ln>
      <a:noFill/>
    </a:ln>
  </c:spPr>
  <c:printSettings>
    <c:headerFooter/>
    <c:pageMargins b="0.75000000000000133" l="0.70000000000000062" r="0.70000000000000062" t="0.75000000000000133"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4.0849130598649298E-3"/>
          <c:y val="0"/>
          <c:w val="0.98551405201128639"/>
          <c:h val="0.78488558793164542"/>
        </c:manualLayout>
      </c:layout>
      <c:barChart>
        <c:barDir val="col"/>
        <c:grouping val="clustered"/>
        <c:ser>
          <c:idx val="1"/>
          <c:order val="0"/>
          <c:tx>
            <c:v>EPS</c:v>
          </c:tx>
          <c:spPr>
            <a:solidFill>
              <a:schemeClr val="tx2">
                <a:lumMod val="60000"/>
                <a:lumOff val="40000"/>
              </a:schemeClr>
            </a:solidFill>
          </c:spPr>
          <c:dPt>
            <c:idx val="10"/>
            <c:spPr>
              <a:solidFill>
                <a:srgbClr val="FF9900"/>
              </a:solidFill>
            </c:spPr>
          </c:dPt>
          <c:dPt>
            <c:idx val="11"/>
            <c:spPr>
              <a:solidFill>
                <a:srgbClr val="FF9900"/>
              </a:solidFill>
            </c:spPr>
          </c:dPt>
          <c:cat>
            <c:strRef>
              <c:f>GrahamData!$B$28:$M$28</c:f>
              <c:strCache>
                <c:ptCount val="12"/>
                <c:pt idx="0">
                  <c:v>2000</c:v>
                </c:pt>
                <c:pt idx="1">
                  <c:v>2001</c:v>
                </c:pt>
                <c:pt idx="2">
                  <c:v>2002</c:v>
                </c:pt>
                <c:pt idx="3">
                  <c:v>2003</c:v>
                </c:pt>
                <c:pt idx="4">
                  <c:v>2004</c:v>
                </c:pt>
                <c:pt idx="5">
                  <c:v>2005</c:v>
                </c:pt>
                <c:pt idx="6">
                  <c:v>2006</c:v>
                </c:pt>
                <c:pt idx="7">
                  <c:v>2007</c:v>
                </c:pt>
                <c:pt idx="8">
                  <c:v>2008</c:v>
                </c:pt>
                <c:pt idx="9">
                  <c:v>2009</c:v>
                </c:pt>
                <c:pt idx="10">
                  <c:v>2010E</c:v>
                </c:pt>
                <c:pt idx="11">
                  <c:v>2011E</c:v>
                </c:pt>
              </c:strCache>
            </c:strRef>
          </c:cat>
          <c:val>
            <c:numRef>
              <c:f>GrahamData!$B$29:$M$29</c:f>
              <c:numCache>
                <c:formatCode>_("$"* #,##0.00_);_("$"* \(#,##0.00\);_("$"* "-"??_);_(@_)</c:formatCode>
                <c:ptCount val="12"/>
                <c:pt idx="0">
                  <c:v>0.88</c:v>
                </c:pt>
                <c:pt idx="1">
                  <c:v>1.6</c:v>
                </c:pt>
                <c:pt idx="2">
                  <c:v>1.23</c:v>
                </c:pt>
                <c:pt idx="3">
                  <c:v>1.77</c:v>
                </c:pt>
                <c:pt idx="4">
                  <c:v>2</c:v>
                </c:pt>
                <c:pt idx="5">
                  <c:v>2.04</c:v>
                </c:pt>
                <c:pt idx="6">
                  <c:v>2.16</c:v>
                </c:pt>
                <c:pt idx="7">
                  <c:v>2.57</c:v>
                </c:pt>
                <c:pt idx="8">
                  <c:v>2.4900000000000002</c:v>
                </c:pt>
                <c:pt idx="9">
                  <c:v>2.93</c:v>
                </c:pt>
                <c:pt idx="10">
                  <c:v>2.8558181818181652</c:v>
                </c:pt>
                <c:pt idx="11" formatCode="&quot;$&quot;#,##0.00_);\(&quot;$&quot;#,##0.00\)">
                  <c:v>3.1333621140516326</c:v>
                </c:pt>
              </c:numCache>
            </c:numRef>
          </c:val>
        </c:ser>
        <c:axId val="111539328"/>
        <c:axId val="111540864"/>
      </c:barChart>
      <c:catAx>
        <c:axId val="111539328"/>
        <c:scaling>
          <c:orientation val="minMax"/>
        </c:scaling>
        <c:axPos val="b"/>
        <c:numFmt formatCode="General" sourceLinked="1"/>
        <c:majorTickMark val="none"/>
        <c:tickLblPos val="nextTo"/>
        <c:spPr>
          <a:ln>
            <a:solidFill>
              <a:schemeClr val="bg1">
                <a:lumMod val="75000"/>
              </a:schemeClr>
            </a:solidFill>
          </a:ln>
        </c:spPr>
        <c:txPr>
          <a:bodyPr/>
          <a:lstStyle/>
          <a:p>
            <a:pPr>
              <a:defRPr baseline="0">
                <a:solidFill>
                  <a:schemeClr val="tx1"/>
                </a:solidFill>
              </a:defRPr>
            </a:pPr>
            <a:endParaRPr lang="en-US"/>
          </a:p>
        </c:txPr>
        <c:crossAx val="111540864"/>
        <c:crosses val="autoZero"/>
        <c:auto val="1"/>
        <c:lblAlgn val="ctr"/>
        <c:lblOffset val="100"/>
      </c:catAx>
      <c:valAx>
        <c:axId val="111540864"/>
        <c:scaling>
          <c:orientation val="minMax"/>
        </c:scaling>
        <c:delete val="1"/>
        <c:axPos val="l"/>
        <c:majorGridlines>
          <c:spPr>
            <a:ln w="6350">
              <a:solidFill>
                <a:schemeClr val="bg1">
                  <a:lumMod val="95000"/>
                </a:schemeClr>
              </a:solidFill>
              <a:prstDash val="sysDash"/>
            </a:ln>
          </c:spPr>
        </c:majorGridlines>
        <c:numFmt formatCode="_(&quot;$&quot;* #,##0.00_);_(&quot;$&quot;* \(#,##0.00\);_(&quot;$&quot;* &quot;-&quot;??_);_(@_)" sourceLinked="1"/>
        <c:tickLblPos val="none"/>
        <c:crossAx val="111539328"/>
        <c:crosses val="autoZero"/>
        <c:crossBetween val="between"/>
      </c:valAx>
    </c:plotArea>
    <c:plotVisOnly val="1"/>
    <c:dispBlanksAs val="gap"/>
  </c:chart>
  <c:spPr>
    <a:ln>
      <a:noFill/>
    </a:ln>
  </c:spPr>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Charts!$B$17:$L$17</c:f>
              <c:numCache>
                <c:formatCode>"$"#,##0.0</c:formatCode>
                <c:ptCount val="11"/>
                <c:pt idx="0">
                  <c:v>2852</c:v>
                </c:pt>
                <c:pt idx="1">
                  <c:v>3341</c:v>
                </c:pt>
                <c:pt idx="2">
                  <c:v>3891</c:v>
                </c:pt>
                <c:pt idx="3">
                  <c:v>4644</c:v>
                </c:pt>
                <c:pt idx="4">
                  <c:v>5213</c:v>
                </c:pt>
                <c:pt idx="5">
                  <c:v>5524</c:v>
                </c:pt>
                <c:pt idx="6">
                  <c:v>4550</c:v>
                </c:pt>
                <c:pt idx="7">
                  <c:v>5502</c:v>
                </c:pt>
                <c:pt idx="8">
                  <c:v>5603</c:v>
                </c:pt>
                <c:pt idx="9">
                  <c:v>6193</c:v>
                </c:pt>
                <c:pt idx="10">
                  <c:v>6720</c:v>
                </c:pt>
              </c:numCache>
            </c:numRef>
          </c:val>
        </c:ser>
        <c:dLbls>
          <c:showVal val="1"/>
        </c:dLbls>
        <c:marker val="1"/>
        <c:axId val="314304000"/>
        <c:axId val="314305920"/>
      </c:lineChart>
      <c:catAx>
        <c:axId val="314304000"/>
        <c:scaling>
          <c:orientation val="minMax"/>
        </c:scaling>
        <c:delete val="1"/>
        <c:axPos val="b"/>
        <c:tickLblPos val="none"/>
        <c:crossAx val="314305920"/>
        <c:crosses val="autoZero"/>
        <c:auto val="1"/>
        <c:lblAlgn val="ctr"/>
        <c:lblOffset val="100"/>
      </c:catAx>
      <c:valAx>
        <c:axId val="314305920"/>
        <c:scaling>
          <c:orientation val="minMax"/>
        </c:scaling>
        <c:delete val="1"/>
        <c:axPos val="l"/>
        <c:majorGridlines>
          <c:spPr>
            <a:ln w="3175">
              <a:solidFill>
                <a:sysClr val="window" lastClr="FFFFFF">
                  <a:lumMod val="85000"/>
                  <a:alpha val="47000"/>
                </a:sysClr>
              </a:solidFill>
              <a:prstDash val="sysDash"/>
            </a:ln>
          </c:spPr>
        </c:majorGridlines>
        <c:numFmt formatCode="&quot;$&quot;#,##0.0" sourceLinked="1"/>
        <c:tickLblPos val="none"/>
        <c:crossAx val="31430400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56" r="0.75000000000000056"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Charts!$B$32:$L$32</c:f>
              <c:numCache>
                <c:formatCode>"$"#,##0.0</c:formatCode>
                <c:ptCount val="11"/>
                <c:pt idx="0">
                  <c:v>45.95</c:v>
                </c:pt>
                <c:pt idx="1">
                  <c:v>35.409999999999997</c:v>
                </c:pt>
                <c:pt idx="2">
                  <c:v>33.380000000000003</c:v>
                </c:pt>
                <c:pt idx="3">
                  <c:v>43.24</c:v>
                </c:pt>
                <c:pt idx="4">
                  <c:v>36.69</c:v>
                </c:pt>
                <c:pt idx="5">
                  <c:v>35.93</c:v>
                </c:pt>
                <c:pt idx="6">
                  <c:v>43.12</c:v>
                </c:pt>
                <c:pt idx="7">
                  <c:v>54.08</c:v>
                </c:pt>
                <c:pt idx="8">
                  <c:v>41.68</c:v>
                </c:pt>
                <c:pt idx="9">
                  <c:v>53.09</c:v>
                </c:pt>
                <c:pt idx="10">
                  <c:v>52.4</c:v>
                </c:pt>
              </c:numCache>
            </c:numRef>
          </c:val>
        </c:ser>
        <c:dLbls>
          <c:showVal val="1"/>
        </c:dLbls>
        <c:marker val="1"/>
        <c:axId val="314517376"/>
        <c:axId val="314535936"/>
      </c:lineChart>
      <c:catAx>
        <c:axId val="314517376"/>
        <c:scaling>
          <c:orientation val="minMax"/>
        </c:scaling>
        <c:delete val="1"/>
        <c:axPos val="b"/>
        <c:tickLblPos val="none"/>
        <c:crossAx val="314535936"/>
        <c:crosses val="autoZero"/>
        <c:auto val="1"/>
        <c:lblAlgn val="ctr"/>
        <c:lblOffset val="100"/>
      </c:catAx>
      <c:valAx>
        <c:axId val="314535936"/>
        <c:scaling>
          <c:orientation val="minMax"/>
        </c:scaling>
        <c:delete val="1"/>
        <c:axPos val="l"/>
        <c:majorGridlines>
          <c:spPr>
            <a:ln w="3175">
              <a:solidFill>
                <a:sysClr val="window" lastClr="FFFFFF">
                  <a:lumMod val="85000"/>
                  <a:alpha val="47000"/>
                </a:sysClr>
              </a:solidFill>
              <a:prstDash val="sysDash"/>
            </a:ln>
          </c:spPr>
        </c:majorGridlines>
        <c:numFmt formatCode="&quot;$&quot;#,##0.0" sourceLinked="1"/>
        <c:tickLblPos val="none"/>
        <c:crossAx val="314517376"/>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Charts!$B$47:$L$47</c:f>
              <c:numCache>
                <c:formatCode>0.0%</c:formatCode>
                <c:ptCount val="11"/>
                <c:pt idx="0">
                  <c:v>0.10836836445400333</c:v>
                </c:pt>
                <c:pt idx="1">
                  <c:v>0.19923352578140555</c:v>
                </c:pt>
                <c:pt idx="2">
                  <c:v>0.15359844612553669</c:v>
                </c:pt>
                <c:pt idx="3">
                  <c:v>0.20837293290249001</c:v>
                </c:pt>
                <c:pt idx="4">
                  <c:v>0.22698297058555686</c:v>
                </c:pt>
                <c:pt idx="5">
                  <c:v>0.21230090027700832</c:v>
                </c:pt>
                <c:pt idx="6">
                  <c:v>0.19142311524410494</c:v>
                </c:pt>
                <c:pt idx="7">
                  <c:v>0.19045638839796236</c:v>
                </c:pt>
                <c:pt idx="8">
                  <c:v>0.15862133734034561</c:v>
                </c:pt>
                <c:pt idx="9">
                  <c:v>0.19577282994514358</c:v>
                </c:pt>
                <c:pt idx="10">
                  <c:v>0.20477891916033944</c:v>
                </c:pt>
              </c:numCache>
            </c:numRef>
          </c:val>
        </c:ser>
        <c:dLbls>
          <c:showVal val="1"/>
        </c:dLbls>
        <c:marker val="1"/>
        <c:axId val="314546048"/>
        <c:axId val="314560512"/>
      </c:lineChart>
      <c:catAx>
        <c:axId val="314546048"/>
        <c:scaling>
          <c:orientation val="minMax"/>
        </c:scaling>
        <c:delete val="1"/>
        <c:axPos val="b"/>
        <c:tickLblPos val="none"/>
        <c:crossAx val="314560512"/>
        <c:crosses val="autoZero"/>
        <c:auto val="1"/>
        <c:lblAlgn val="ctr"/>
        <c:lblOffset val="100"/>
      </c:catAx>
      <c:valAx>
        <c:axId val="31456051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31454604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Charts!$B$62:$L$62</c:f>
              <c:numCache>
                <c:formatCode>0.0%</c:formatCode>
                <c:ptCount val="11"/>
                <c:pt idx="0">
                  <c:v>0.23103376406836182</c:v>
                </c:pt>
                <c:pt idx="1">
                  <c:v>0.35086335349285652</c:v>
                </c:pt>
                <c:pt idx="2">
                  <c:v>0.22084221356654662</c:v>
                </c:pt>
                <c:pt idx="3">
                  <c:v>0.2835068209736859</c:v>
                </c:pt>
                <c:pt idx="4">
                  <c:v>0.30175544794188863</c:v>
                </c:pt>
                <c:pt idx="5">
                  <c:v>0.31103360811667724</c:v>
                </c:pt>
                <c:pt idx="6">
                  <c:v>0.28930857071150706</c:v>
                </c:pt>
                <c:pt idx="7">
                  <c:v>0.30833099579242634</c:v>
                </c:pt>
                <c:pt idx="8">
                  <c:v>0.33721549314521498</c:v>
                </c:pt>
                <c:pt idx="9">
                  <c:v>0.2742518759605822</c:v>
                </c:pt>
                <c:pt idx="10">
                  <c:v>0.29848872355266215</c:v>
                </c:pt>
              </c:numCache>
            </c:numRef>
          </c:val>
        </c:ser>
        <c:dLbls>
          <c:showVal val="1"/>
        </c:dLbls>
        <c:marker val="1"/>
        <c:axId val="314570624"/>
        <c:axId val="314580992"/>
      </c:lineChart>
      <c:catAx>
        <c:axId val="314570624"/>
        <c:scaling>
          <c:orientation val="minMax"/>
        </c:scaling>
        <c:delete val="1"/>
        <c:axPos val="b"/>
        <c:tickLblPos val="none"/>
        <c:crossAx val="314580992"/>
        <c:crosses val="autoZero"/>
        <c:auto val="1"/>
        <c:lblAlgn val="ctr"/>
        <c:lblOffset val="100"/>
      </c:catAx>
      <c:valAx>
        <c:axId val="31458099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31457062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Charts!$N$17:$X$17</c:f>
              <c:numCache>
                <c:formatCode>"$"#,##0.0</c:formatCode>
                <c:ptCount val="11"/>
                <c:pt idx="0">
                  <c:v>2217</c:v>
                </c:pt>
                <c:pt idx="1">
                  <c:v>4003</c:v>
                </c:pt>
                <c:pt idx="2">
                  <c:v>3005</c:v>
                </c:pt>
                <c:pt idx="3">
                  <c:v>4385</c:v>
                </c:pt>
                <c:pt idx="4">
                  <c:v>4985</c:v>
                </c:pt>
                <c:pt idx="5">
                  <c:v>4905</c:v>
                </c:pt>
                <c:pt idx="6">
                  <c:v>4611</c:v>
                </c:pt>
                <c:pt idx="7">
                  <c:v>5496</c:v>
                </c:pt>
                <c:pt idx="8">
                  <c:v>5067</c:v>
                </c:pt>
                <c:pt idx="9">
                  <c:v>6067</c:v>
                </c:pt>
                <c:pt idx="10">
                  <c:v>6419</c:v>
                </c:pt>
              </c:numCache>
            </c:numRef>
          </c:val>
        </c:ser>
        <c:dLbls>
          <c:showVal val="1"/>
        </c:dLbls>
        <c:marker val="1"/>
        <c:axId val="314607872"/>
        <c:axId val="319459712"/>
      </c:lineChart>
      <c:catAx>
        <c:axId val="314607872"/>
        <c:scaling>
          <c:orientation val="minMax"/>
        </c:scaling>
        <c:delete val="1"/>
        <c:axPos val="b"/>
        <c:tickLblPos val="none"/>
        <c:crossAx val="319459712"/>
        <c:crosses val="autoZero"/>
        <c:auto val="1"/>
        <c:lblAlgn val="ctr"/>
        <c:lblOffset val="100"/>
      </c:catAx>
      <c:valAx>
        <c:axId val="319459712"/>
        <c:scaling>
          <c:orientation val="minMax"/>
        </c:scaling>
        <c:delete val="1"/>
        <c:axPos val="l"/>
        <c:majorGridlines>
          <c:spPr>
            <a:ln w="3175">
              <a:solidFill>
                <a:sysClr val="window" lastClr="FFFFFF">
                  <a:lumMod val="85000"/>
                  <a:alpha val="47000"/>
                </a:sysClr>
              </a:solidFill>
              <a:prstDash val="sysDash"/>
            </a:ln>
          </c:spPr>
        </c:majorGridlines>
        <c:numFmt formatCode="&quot;$&quot;#,##0.0" sourceLinked="1"/>
        <c:tickLblPos val="none"/>
        <c:crossAx val="314607872"/>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111" r="0.75000000000000111"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Charts!$N$32:$X$32</c:f>
              <c:numCache>
                <c:formatCode>"$"#,##0.00</c:formatCode>
                <c:ptCount val="11"/>
                <c:pt idx="0">
                  <c:v>0.88</c:v>
                </c:pt>
                <c:pt idx="1">
                  <c:v>1.6</c:v>
                </c:pt>
                <c:pt idx="2">
                  <c:v>1.23</c:v>
                </c:pt>
                <c:pt idx="3">
                  <c:v>1.77</c:v>
                </c:pt>
                <c:pt idx="4">
                  <c:v>2</c:v>
                </c:pt>
                <c:pt idx="5">
                  <c:v>2.04</c:v>
                </c:pt>
                <c:pt idx="6">
                  <c:v>2.16</c:v>
                </c:pt>
                <c:pt idx="7">
                  <c:v>2.57</c:v>
                </c:pt>
                <c:pt idx="8">
                  <c:v>2.4900000000000002</c:v>
                </c:pt>
                <c:pt idx="9">
                  <c:v>2.93</c:v>
                </c:pt>
                <c:pt idx="10">
                  <c:v>0.88</c:v>
                </c:pt>
              </c:numCache>
            </c:numRef>
          </c:val>
        </c:ser>
        <c:dLbls>
          <c:showVal val="1"/>
        </c:dLbls>
        <c:marker val="1"/>
        <c:axId val="319474304"/>
        <c:axId val="319484672"/>
      </c:lineChart>
      <c:catAx>
        <c:axId val="319474304"/>
        <c:scaling>
          <c:orientation val="minMax"/>
        </c:scaling>
        <c:delete val="1"/>
        <c:axPos val="b"/>
        <c:tickLblPos val="none"/>
        <c:crossAx val="319484672"/>
        <c:crosses val="autoZero"/>
        <c:auto val="1"/>
        <c:lblAlgn val="ctr"/>
        <c:lblOffset val="100"/>
      </c:catAx>
      <c:valAx>
        <c:axId val="319484672"/>
        <c:scaling>
          <c:orientation val="minMax"/>
        </c:scaling>
        <c:delete val="1"/>
        <c:axPos val="l"/>
        <c:majorGridlines>
          <c:spPr>
            <a:ln w="3175">
              <a:solidFill>
                <a:sysClr val="window" lastClr="FFFFFF">
                  <a:lumMod val="85000"/>
                  <a:alpha val="47000"/>
                </a:sysClr>
              </a:solidFill>
              <a:prstDash val="sysDash"/>
            </a:ln>
          </c:spPr>
        </c:majorGridlines>
        <c:numFmt formatCode="&quot;$&quot;#,##0.00" sourceLinked="1"/>
        <c:tickLblPos val="none"/>
        <c:crossAx val="31947430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Charts!$N$47:$X$47</c:f>
              <c:numCache>
                <c:formatCode>0.0</c:formatCode>
                <c:ptCount val="11"/>
                <c:pt idx="0">
                  <c:v>40.033856942496499</c:v>
                </c:pt>
                <c:pt idx="1">
                  <c:v>26.350296917090688</c:v>
                </c:pt>
                <c:pt idx="2">
                  <c:v>21.198144435877669</c:v>
                </c:pt>
                <c:pt idx="3">
                  <c:v>22.732657192075798</c:v>
                </c:pt>
                <c:pt idx="4">
                  <c:v>16.957072127373873</c:v>
                </c:pt>
                <c:pt idx="5">
                  <c:v>15.408792541636496</c:v>
                </c:pt>
                <c:pt idx="6">
                  <c:v>21.967507692307692</c:v>
                </c:pt>
                <c:pt idx="7">
                  <c:v>22.783976735732463</c:v>
                </c:pt>
                <c:pt idx="8">
                  <c:v>17.218757094413707</c:v>
                </c:pt>
                <c:pt idx="9">
                  <c:v>19.742656224769902</c:v>
                </c:pt>
                <c:pt idx="10">
                  <c:v>17.981309523809522</c:v>
                </c:pt>
              </c:numCache>
            </c:numRef>
          </c:val>
        </c:ser>
        <c:dLbls>
          <c:showVal val="1"/>
        </c:dLbls>
        <c:marker val="1"/>
        <c:axId val="115411968"/>
        <c:axId val="115430528"/>
      </c:lineChart>
      <c:catAx>
        <c:axId val="115411968"/>
        <c:scaling>
          <c:orientation val="minMax"/>
        </c:scaling>
        <c:delete val="1"/>
        <c:axPos val="b"/>
        <c:tickLblPos val="none"/>
        <c:crossAx val="115430528"/>
        <c:crosses val="autoZero"/>
        <c:auto val="1"/>
        <c:lblAlgn val="ctr"/>
        <c:lblOffset val="100"/>
      </c:catAx>
      <c:valAx>
        <c:axId val="115430528"/>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541196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Charts!$N$62:$X$62</c:f>
              <c:numCache>
                <c:formatCode>0.0%</c:formatCode>
                <c:ptCount val="11"/>
                <c:pt idx="0">
                  <c:v>2.4978857306613544E-2</c:v>
                </c:pt>
                <c:pt idx="1">
                  <c:v>3.7950236505737603E-2</c:v>
                </c:pt>
                <c:pt idx="2">
                  <c:v>4.7173940295807633E-2</c:v>
                </c:pt>
                <c:pt idx="3">
                  <c:v>4.3989578145250098E-2</c:v>
                </c:pt>
                <c:pt idx="4">
                  <c:v>5.8972444799930746E-2</c:v>
                </c:pt>
                <c:pt idx="5">
                  <c:v>6.4898011787612453E-2</c:v>
                </c:pt>
                <c:pt idx="6">
                  <c:v>4.5521777618412654E-2</c:v>
                </c:pt>
                <c:pt idx="7">
                  <c:v>4.3890494253871169E-2</c:v>
                </c:pt>
                <c:pt idx="8">
                  <c:v>5.8076201117003429E-2</c:v>
                </c:pt>
                <c:pt idx="9">
                  <c:v>5.0651745571366494E-2</c:v>
                </c:pt>
                <c:pt idx="10">
                  <c:v>5.5613302172229102E-2</c:v>
                </c:pt>
              </c:numCache>
            </c:numRef>
          </c:val>
        </c:ser>
        <c:dLbls>
          <c:showVal val="1"/>
        </c:dLbls>
        <c:marker val="1"/>
        <c:axId val="115445120"/>
        <c:axId val="115467776"/>
      </c:lineChart>
      <c:catAx>
        <c:axId val="115445120"/>
        <c:scaling>
          <c:orientation val="minMax"/>
        </c:scaling>
        <c:delete val="1"/>
        <c:axPos val="b"/>
        <c:tickLblPos val="none"/>
        <c:crossAx val="115467776"/>
        <c:crosses val="autoZero"/>
        <c:auto val="1"/>
        <c:lblAlgn val="ctr"/>
        <c:lblOffset val="100"/>
      </c:catAx>
      <c:valAx>
        <c:axId val="11546777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544512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Charts!$B$76:$L$76</c:f>
              <c:numCache>
                <c:formatCode>0.0%</c:formatCode>
                <c:ptCount val="11"/>
                <c:pt idx="0">
                  <c:v>3.7851179067619638E-2</c:v>
                </c:pt>
                <c:pt idx="1">
                  <c:v>7.0361077043241668E-2</c:v>
                </c:pt>
                <c:pt idx="2">
                  <c:v>7.5453534282573481E-2</c:v>
                </c:pt>
                <c:pt idx="3">
                  <c:v>5.7858468522267455E-2</c:v>
                </c:pt>
                <c:pt idx="4">
                  <c:v>7.8207117436227588E-2</c:v>
                </c:pt>
                <c:pt idx="5">
                  <c:v>8.6063132342333801E-2</c:v>
                </c:pt>
                <c:pt idx="6">
                  <c:v>7.3407574332513825E-2</c:v>
                </c:pt>
                <c:pt idx="7">
                  <c:v>6.4542879942419931E-2</c:v>
                </c:pt>
                <c:pt idx="8">
                  <c:v>0.10580123452224199</c:v>
                </c:pt>
                <c:pt idx="9">
                  <c:v>8.2766836090436557E-2</c:v>
                </c:pt>
                <c:pt idx="10">
                  <c:v>8.7243836609250516E-2</c:v>
                </c:pt>
              </c:numCache>
            </c:numRef>
          </c:val>
        </c:ser>
        <c:dLbls>
          <c:showVal val="1"/>
        </c:dLbls>
        <c:marker val="1"/>
        <c:axId val="121012224"/>
        <c:axId val="121014144"/>
      </c:lineChart>
      <c:catAx>
        <c:axId val="121012224"/>
        <c:scaling>
          <c:orientation val="minMax"/>
        </c:scaling>
        <c:delete val="1"/>
        <c:axPos val="b"/>
        <c:tickLblPos val="none"/>
        <c:crossAx val="121014144"/>
        <c:crosses val="autoZero"/>
        <c:auto val="1"/>
        <c:lblAlgn val="ctr"/>
        <c:lblOffset val="100"/>
      </c:catAx>
      <c:valAx>
        <c:axId val="12101414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2101222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Charts!$N$76:$X$76</c:f>
              <c:numCache>
                <c:formatCode>0.0%</c:formatCode>
                <c:ptCount val="11"/>
                <c:pt idx="0">
                  <c:v>0.73663366336633662</c:v>
                </c:pt>
                <c:pt idx="1">
                  <c:v>0.96367621731642394</c:v>
                </c:pt>
                <c:pt idx="2">
                  <c:v>0.75872093023255816</c:v>
                </c:pt>
                <c:pt idx="3">
                  <c:v>0.63378223196575845</c:v>
                </c:pt>
                <c:pt idx="4">
                  <c:v>0.51255929699043468</c:v>
                </c:pt>
                <c:pt idx="5">
                  <c:v>0.66492940396095901</c:v>
                </c:pt>
                <c:pt idx="6">
                  <c:v>0.76329927314863588</c:v>
                </c:pt>
                <c:pt idx="7">
                  <c:v>0.65737051792828682</c:v>
                </c:pt>
                <c:pt idx="8">
                  <c:v>0.75340097707628706</c:v>
                </c:pt>
                <c:pt idx="9">
                  <c:v>0.52093320549696387</c:v>
                </c:pt>
                <c:pt idx="10">
                  <c:v>0.57251822770611327</c:v>
                </c:pt>
              </c:numCache>
            </c:numRef>
          </c:val>
        </c:ser>
        <c:dLbls>
          <c:showVal val="1"/>
        </c:dLbls>
        <c:marker val="1"/>
        <c:axId val="121037184"/>
        <c:axId val="121039104"/>
      </c:lineChart>
      <c:catAx>
        <c:axId val="121037184"/>
        <c:scaling>
          <c:orientation val="minMax"/>
        </c:scaling>
        <c:delete val="1"/>
        <c:axPos val="b"/>
        <c:tickLblPos val="none"/>
        <c:crossAx val="121039104"/>
        <c:crosses val="autoZero"/>
        <c:auto val="1"/>
        <c:lblAlgn val="ctr"/>
        <c:lblOffset val="100"/>
      </c:catAx>
      <c:valAx>
        <c:axId val="12103910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2103718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Charts!$B$91:$L$91</c:f>
              <c:numCache>
                <c:formatCode>0.0%</c:formatCode>
                <c:ptCount val="11"/>
                <c:pt idx="0">
                  <c:v>0.69674454980936551</c:v>
                </c:pt>
                <c:pt idx="1">
                  <c:v>0.69918375472825001</c:v>
                </c:pt>
                <c:pt idx="2">
                  <c:v>0.63683295849519528</c:v>
                </c:pt>
                <c:pt idx="3">
                  <c:v>0.6311537730469492</c:v>
                </c:pt>
                <c:pt idx="4">
                  <c:v>0.65221746653310264</c:v>
                </c:pt>
                <c:pt idx="5">
                  <c:v>0.64529951523545703</c:v>
                </c:pt>
                <c:pt idx="6">
                  <c:v>0.6610760544669545</c:v>
                </c:pt>
                <c:pt idx="7">
                  <c:v>0.63939425442700215</c:v>
                </c:pt>
                <c:pt idx="8">
                  <c:v>0.64393939393939392</c:v>
                </c:pt>
                <c:pt idx="9">
                  <c:v>0.6422071636011617</c:v>
                </c:pt>
                <c:pt idx="10">
                  <c:v>0.64783385439928542</c:v>
                </c:pt>
              </c:numCache>
            </c:numRef>
          </c:val>
        </c:ser>
        <c:dLbls>
          <c:showVal val="1"/>
        </c:dLbls>
        <c:marker val="1"/>
        <c:axId val="122966784"/>
        <c:axId val="122968704"/>
      </c:lineChart>
      <c:catAx>
        <c:axId val="122966784"/>
        <c:scaling>
          <c:orientation val="minMax"/>
        </c:scaling>
        <c:delete val="1"/>
        <c:axPos val="b"/>
        <c:tickLblPos val="none"/>
        <c:crossAx val="122968704"/>
        <c:crosses val="autoZero"/>
        <c:auto val="1"/>
        <c:lblAlgn val="ctr"/>
        <c:lblOffset val="100"/>
      </c:catAx>
      <c:valAx>
        <c:axId val="122968704"/>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2296678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Charts!$N$91:$X$91</c:f>
              <c:numCache>
                <c:formatCode>0.0%</c:formatCode>
                <c:ptCount val="11"/>
                <c:pt idx="0">
                  <c:v>0.10641313911428292</c:v>
                </c:pt>
                <c:pt idx="1">
                  <c:v>0.19754130997411906</c:v>
                </c:pt>
                <c:pt idx="2">
                  <c:v>0.15589858924555305</c:v>
                </c:pt>
                <c:pt idx="3">
                  <c:v>0.20656719254894507</c:v>
                </c:pt>
                <c:pt idx="4">
                  <c:v>0.22069938985520443</c:v>
                </c:pt>
                <c:pt idx="5">
                  <c:v>0.21087257617728533</c:v>
                </c:pt>
                <c:pt idx="6">
                  <c:v>0.2108933909000332</c:v>
                </c:pt>
                <c:pt idx="7">
                  <c:v>0.20726340229407075</c:v>
                </c:pt>
                <c:pt idx="8">
                  <c:v>0.18178687703481092</c:v>
                </c:pt>
                <c:pt idx="9">
                  <c:v>0.2202000645369474</c:v>
                </c:pt>
                <c:pt idx="10">
                  <c:v>0.22656798315574556</c:v>
                </c:pt>
              </c:numCache>
            </c:numRef>
          </c:val>
        </c:ser>
        <c:dLbls>
          <c:showVal val="1"/>
        </c:dLbls>
        <c:marker val="1"/>
        <c:axId val="122983552"/>
        <c:axId val="122985472"/>
      </c:lineChart>
      <c:catAx>
        <c:axId val="122983552"/>
        <c:scaling>
          <c:orientation val="minMax"/>
        </c:scaling>
        <c:delete val="1"/>
        <c:axPos val="b"/>
        <c:tickLblPos val="none"/>
        <c:crossAx val="122985472"/>
        <c:crosses val="autoZero"/>
        <c:auto val="1"/>
        <c:lblAlgn val="ctr"/>
        <c:lblOffset val="100"/>
      </c:catAx>
      <c:valAx>
        <c:axId val="12298547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22983552"/>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Charts!$B$106:$L$106</c:f>
              <c:numCache>
                <c:formatCode>0.0</c:formatCode>
                <c:ptCount val="11"/>
                <c:pt idx="0">
                  <c:v>5</c:v>
                </c:pt>
                <c:pt idx="1">
                  <c:v>7</c:v>
                </c:pt>
                <c:pt idx="2">
                  <c:v>5</c:v>
                </c:pt>
                <c:pt idx="3">
                  <c:v>7</c:v>
                </c:pt>
                <c:pt idx="4">
                  <c:v>7</c:v>
                </c:pt>
                <c:pt idx="5">
                  <c:v>6</c:v>
                </c:pt>
                <c:pt idx="6">
                  <c:v>7</c:v>
                </c:pt>
                <c:pt idx="7">
                  <c:v>4</c:v>
                </c:pt>
                <c:pt idx="8">
                  <c:v>8</c:v>
                </c:pt>
                <c:pt idx="9">
                  <c:v>5</c:v>
                </c:pt>
                <c:pt idx="10">
                  <c:v>8</c:v>
                </c:pt>
              </c:numCache>
            </c:numRef>
          </c:val>
        </c:ser>
        <c:dLbls>
          <c:showVal val="1"/>
        </c:dLbls>
        <c:marker val="1"/>
        <c:axId val="123000320"/>
        <c:axId val="123002240"/>
      </c:lineChart>
      <c:catAx>
        <c:axId val="123000320"/>
        <c:scaling>
          <c:orientation val="minMax"/>
        </c:scaling>
        <c:delete val="1"/>
        <c:axPos val="b"/>
        <c:tickLblPos val="none"/>
        <c:crossAx val="123002240"/>
        <c:crosses val="autoZero"/>
        <c:auto val="1"/>
        <c:lblAlgn val="ctr"/>
        <c:lblOffset val="100"/>
      </c:catAx>
      <c:valAx>
        <c:axId val="123002240"/>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23000320"/>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Charts!$N$106:$X$106</c:f>
              <c:numCache>
                <c:formatCode>0.0</c:formatCode>
                <c:ptCount val="11"/>
                <c:pt idx="0">
                  <c:v>8.9091636751457948</c:v>
                </c:pt>
                <c:pt idx="1">
                  <c:v>7.9780194544270184</c:v>
                </c:pt>
                <c:pt idx="2">
                  <c:v>6.9386916386191606</c:v>
                </c:pt>
                <c:pt idx="3">
                  <c:v>7.67029125775636</c:v>
                </c:pt>
                <c:pt idx="4">
                  <c:v>6.1842081316861863</c:v>
                </c:pt>
                <c:pt idx="5">
                  <c:v>6.9840802287429193</c:v>
                </c:pt>
                <c:pt idx="6">
                  <c:v>7.7449195925146848</c:v>
                </c:pt>
                <c:pt idx="7">
                  <c:v>5.9436737434458111</c:v>
                </c:pt>
                <c:pt idx="8">
                  <c:v>5.7981264386627203</c:v>
                </c:pt>
                <c:pt idx="9">
                  <c:v>5.6268713992312431</c:v>
                </c:pt>
                <c:pt idx="10">
                  <c:v>4.8932863169328442</c:v>
                </c:pt>
              </c:numCache>
            </c:numRef>
          </c:val>
        </c:ser>
        <c:dLbls>
          <c:showVal val="1"/>
        </c:dLbls>
        <c:marker val="1"/>
        <c:axId val="291198848"/>
        <c:axId val="291213312"/>
      </c:lineChart>
      <c:catAx>
        <c:axId val="291198848"/>
        <c:scaling>
          <c:orientation val="minMax"/>
        </c:scaling>
        <c:delete val="1"/>
        <c:axPos val="b"/>
        <c:tickLblPos val="none"/>
        <c:crossAx val="291213312"/>
        <c:crosses val="autoZero"/>
        <c:auto val="1"/>
        <c:lblAlgn val="ctr"/>
        <c:lblOffset val="100"/>
      </c:catAx>
      <c:valAx>
        <c:axId val="29121331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29119884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Charts!$B$121:$L$121</c:f>
              <c:numCache>
                <c:formatCode>0.0</c:formatCode>
                <c:ptCount val="11"/>
                <c:pt idx="1">
                  <c:v>-2.3734736335860882</c:v>
                </c:pt>
                <c:pt idx="2">
                  <c:v>-2.4075827162389558</c:v>
                </c:pt>
                <c:pt idx="3">
                  <c:v>-2.645672068482908</c:v>
                </c:pt>
                <c:pt idx="4">
                  <c:v>-2.6886970907498746</c:v>
                </c:pt>
                <c:pt idx="5">
                  <c:v>-2.6342106081542225</c:v>
                </c:pt>
                <c:pt idx="6">
                  <c:v>-2.4422057571486615</c:v>
                </c:pt>
                <c:pt idx="7">
                  <c:v>-2.3525868063672424</c:v>
                </c:pt>
                <c:pt idx="8">
                  <c:v>-2.7661496449184177</c:v>
                </c:pt>
                <c:pt idx="9">
                  <c:v>-2.4266991978492394</c:v>
                </c:pt>
                <c:pt idx="10">
                  <c:v>-2.6454541841182744</c:v>
                </c:pt>
              </c:numCache>
            </c:numRef>
          </c:val>
        </c:ser>
        <c:dLbls>
          <c:showVal val="1"/>
        </c:dLbls>
        <c:marker val="1"/>
        <c:axId val="291219712"/>
        <c:axId val="291230080"/>
      </c:lineChart>
      <c:catAx>
        <c:axId val="291219712"/>
        <c:scaling>
          <c:orientation val="minMax"/>
        </c:scaling>
        <c:delete val="1"/>
        <c:axPos val="b"/>
        <c:tickLblPos val="none"/>
        <c:crossAx val="291230080"/>
        <c:crosses val="autoZero"/>
        <c:auto val="1"/>
        <c:lblAlgn val="ctr"/>
        <c:lblOffset val="100"/>
      </c:catAx>
      <c:valAx>
        <c:axId val="291230080"/>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291219712"/>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089" r="0.75000000000000089"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Charts!$N$121:$X$121</c:f>
              <c:numCache>
                <c:formatCode>0.0%</c:formatCode>
                <c:ptCount val="11"/>
                <c:pt idx="0">
                  <c:v>0.35951750514857311</c:v>
                </c:pt>
                <c:pt idx="1">
                  <c:v>0.29823633156966489</c:v>
                </c:pt>
                <c:pt idx="2">
                  <c:v>0.2769594471722131</c:v>
                </c:pt>
                <c:pt idx="3">
                  <c:v>0.20891719745222931</c:v>
                </c:pt>
                <c:pt idx="4">
                  <c:v>0.22099003535840567</c:v>
                </c:pt>
                <c:pt idx="5">
                  <c:v>0.27174887892376681</c:v>
                </c:pt>
                <c:pt idx="6">
                  <c:v>0.22772879294618426</c:v>
                </c:pt>
                <c:pt idx="7">
                  <c:v>0.24031500063508193</c:v>
                </c:pt>
                <c:pt idx="8">
                  <c:v>0.2193843258502487</c:v>
                </c:pt>
                <c:pt idx="9">
                  <c:v>0.22803487592219987</c:v>
                </c:pt>
                <c:pt idx="10">
                  <c:v>0.22924265179146106</c:v>
                </c:pt>
              </c:numCache>
            </c:numRef>
          </c:val>
        </c:ser>
        <c:dLbls>
          <c:showVal val="1"/>
        </c:dLbls>
        <c:marker val="1"/>
        <c:axId val="291241344"/>
        <c:axId val="291240576"/>
      </c:lineChart>
      <c:catAx>
        <c:axId val="291241344"/>
        <c:scaling>
          <c:orientation val="minMax"/>
        </c:scaling>
        <c:delete val="1"/>
        <c:axPos val="b"/>
        <c:tickLblPos val="none"/>
        <c:crossAx val="291240576"/>
        <c:crosses val="autoZero"/>
        <c:auto val="1"/>
        <c:lblAlgn val="ctr"/>
        <c:lblOffset val="100"/>
      </c:catAx>
      <c:valAx>
        <c:axId val="29124057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29124134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111" r="0.75000000000000111"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Charts!$B$136:$L$136</c:f>
              <c:numCache>
                <c:formatCode>0.0%</c:formatCode>
                <c:ptCount val="11"/>
                <c:pt idx="0">
                  <c:v>1.2363675397166165</c:v>
                </c:pt>
                <c:pt idx="1">
                  <c:v>0.97228576456097127</c:v>
                </c:pt>
                <c:pt idx="2">
                  <c:v>1.0763559322033898</c:v>
                </c:pt>
                <c:pt idx="3">
                  <c:v>0.94052519517388222</c:v>
                </c:pt>
                <c:pt idx="4">
                  <c:v>0.96592406652023843</c:v>
                </c:pt>
                <c:pt idx="5">
                  <c:v>0.79926627942525219</c:v>
                </c:pt>
                <c:pt idx="6">
                  <c:v>0.77086288416075655</c:v>
                </c:pt>
                <c:pt idx="7">
                  <c:v>0.98992825607064017</c:v>
                </c:pt>
                <c:pt idx="8">
                  <c:v>0.97923993747557636</c:v>
                </c:pt>
                <c:pt idx="9">
                  <c:v>0.96261946046211544</c:v>
                </c:pt>
                <c:pt idx="10">
                  <c:v>0.90587809585075585</c:v>
                </c:pt>
              </c:numCache>
            </c:numRef>
          </c:val>
        </c:ser>
        <c:dLbls>
          <c:showVal val="1"/>
        </c:dLbls>
        <c:marker val="1"/>
        <c:axId val="119028736"/>
        <c:axId val="119075968"/>
      </c:lineChart>
      <c:catAx>
        <c:axId val="119028736"/>
        <c:scaling>
          <c:orientation val="minMax"/>
        </c:scaling>
        <c:delete val="1"/>
        <c:axPos val="b"/>
        <c:tickLblPos val="none"/>
        <c:crossAx val="119075968"/>
        <c:crosses val="autoZero"/>
        <c:auto val="1"/>
        <c:lblAlgn val="ctr"/>
        <c:lblOffset val="100"/>
      </c:catAx>
      <c:valAx>
        <c:axId val="119075968"/>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9028736"/>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111" r="0.75000000000000111"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Charts!$N$136:$X$136</c:f>
              <c:numCache>
                <c:formatCode>0.0%</c:formatCode>
                <c:ptCount val="11"/>
                <c:pt idx="0">
                  <c:v>0.192481333564855</c:v>
                </c:pt>
                <c:pt idx="1">
                  <c:v>0.36222966247398425</c:v>
                </c:pt>
                <c:pt idx="2">
                  <c:v>0.23659554365797969</c:v>
                </c:pt>
                <c:pt idx="3">
                  <c:v>0.33089345004527621</c:v>
                </c:pt>
                <c:pt idx="4">
                  <c:v>0.32386954261954259</c:v>
                </c:pt>
                <c:pt idx="5">
                  <c:v>0.37522949816401469</c:v>
                </c:pt>
                <c:pt idx="6">
                  <c:v>0.3535229625086253</c:v>
                </c:pt>
                <c:pt idx="7">
                  <c:v>0.25533101045296169</c:v>
                </c:pt>
                <c:pt idx="8">
                  <c:v>0.25275602334513891</c:v>
                </c:pt>
                <c:pt idx="9">
                  <c:v>0.25414711796246647</c:v>
                </c:pt>
                <c:pt idx="10">
                  <c:v>0.28489636500821092</c:v>
                </c:pt>
              </c:numCache>
            </c:numRef>
          </c:val>
        </c:ser>
        <c:dLbls>
          <c:showVal val="1"/>
        </c:dLbls>
        <c:marker val="1"/>
        <c:axId val="119086464"/>
        <c:axId val="119096832"/>
      </c:lineChart>
      <c:catAx>
        <c:axId val="119086464"/>
        <c:scaling>
          <c:orientation val="minMax"/>
        </c:scaling>
        <c:delete val="1"/>
        <c:axPos val="b"/>
        <c:tickLblPos val="none"/>
        <c:crossAx val="119096832"/>
        <c:crosses val="autoZero"/>
        <c:auto val="1"/>
        <c:lblAlgn val="ctr"/>
        <c:lblOffset val="100"/>
      </c:catAx>
      <c:valAx>
        <c:axId val="119096832"/>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9086464"/>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111" r="0.75000000000000111"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Charts!$B$151:$L$151</c:f>
              <c:numCache>
                <c:formatCode>0.0%</c:formatCode>
                <c:ptCount val="11"/>
                <c:pt idx="0">
                  <c:v>0.46034053156146182</c:v>
                </c:pt>
                <c:pt idx="1">
                  <c:v>1.0266735060271865</c:v>
                </c:pt>
                <c:pt idx="2">
                  <c:v>1.1318267419962336</c:v>
                </c:pt>
                <c:pt idx="3">
                  <c:v>1.5089470061940813</c:v>
                </c:pt>
                <c:pt idx="4">
                  <c:v>0.82793555887726289</c:v>
                </c:pt>
                <c:pt idx="5">
                  <c:v>1.0789705235371756</c:v>
                </c:pt>
                <c:pt idx="6">
                  <c:v>1.4109547123623012</c:v>
                </c:pt>
                <c:pt idx="7">
                  <c:v>0.90812954395241241</c:v>
                </c:pt>
                <c:pt idx="8">
                  <c:v>0.77583830960036748</c:v>
                </c:pt>
                <c:pt idx="9">
                  <c:v>0.89220588235294118</c:v>
                </c:pt>
                <c:pt idx="10">
                  <c:v>0.88955099778270508</c:v>
                </c:pt>
              </c:numCache>
            </c:numRef>
          </c:val>
        </c:ser>
        <c:dLbls>
          <c:showVal val="1"/>
        </c:dLbls>
        <c:marker val="1"/>
        <c:axId val="119115776"/>
        <c:axId val="119117696"/>
      </c:lineChart>
      <c:catAx>
        <c:axId val="119115776"/>
        <c:scaling>
          <c:orientation val="minMax"/>
        </c:scaling>
        <c:delete val="1"/>
        <c:axPos val="b"/>
        <c:tickLblPos val="none"/>
        <c:crossAx val="119117696"/>
        <c:crosses val="autoZero"/>
        <c:auto val="1"/>
        <c:lblAlgn val="ctr"/>
        <c:lblOffset val="100"/>
      </c:catAx>
      <c:valAx>
        <c:axId val="119117696"/>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9115776"/>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111" r="0.75000000000000111"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
          <c:y val="0"/>
          <c:w val="1"/>
          <c:h val="1"/>
        </c:manualLayout>
      </c:layout>
      <c:lineChart>
        <c:grouping val="standard"/>
        <c:ser>
          <c:idx val="0"/>
          <c:order val="0"/>
          <c:spPr>
            <a:ln w="38100">
              <a:solidFill>
                <a:srgbClr val="4684EE"/>
              </a:solidFill>
              <a:prstDash val="solid"/>
            </a:ln>
          </c:spPr>
          <c:marker>
            <c:symbol val="circle"/>
            <c:size val="8"/>
            <c:spPr>
              <a:solidFill>
                <a:srgbClr val="4684EE"/>
              </a:solidFill>
              <a:ln>
                <a:solidFill>
                  <a:srgbClr val="FFFFFF"/>
                </a:solidFill>
                <a:prstDash val="solid"/>
              </a:ln>
            </c:spPr>
          </c:marker>
          <c:dLbls>
            <c:delete val="1"/>
          </c:dLbls>
          <c:val>
            <c:numRef>
              <c:f>Charts!$N$151:$X$151</c:f>
              <c:numCache>
                <c:formatCode>0.0%</c:formatCode>
                <c:ptCount val="11"/>
                <c:pt idx="0">
                  <c:v>2.6550898203592816</c:v>
                </c:pt>
                <c:pt idx="1">
                  <c:v>3.2838392124692373</c:v>
                </c:pt>
                <c:pt idx="2">
                  <c:v>1.112550907071455</c:v>
                </c:pt>
                <c:pt idx="3">
                  <c:v>1.7421533571712355</c:v>
                </c:pt>
                <c:pt idx="4">
                  <c:v>4.3085566119273988</c:v>
                </c:pt>
                <c:pt idx="5">
                  <c:v>4.2504332755632586</c:v>
                </c:pt>
                <c:pt idx="6">
                  <c:v>3.5091324200913241</c:v>
                </c:pt>
                <c:pt idx="7">
                  <c:v>1.6771437290204456</c:v>
                </c:pt>
                <c:pt idx="8">
                  <c:v>1.8220064724919094</c:v>
                </c:pt>
                <c:pt idx="9">
                  <c:v>1.1992488634117415</c:v>
                </c:pt>
                <c:pt idx="10">
                  <c:v>1.4525910839556462</c:v>
                </c:pt>
              </c:numCache>
            </c:numRef>
          </c:val>
        </c:ser>
        <c:dLbls>
          <c:showVal val="1"/>
        </c:dLbls>
        <c:marker val="1"/>
        <c:axId val="119128448"/>
        <c:axId val="119130368"/>
      </c:lineChart>
      <c:catAx>
        <c:axId val="119128448"/>
        <c:scaling>
          <c:orientation val="minMax"/>
        </c:scaling>
        <c:delete val="1"/>
        <c:axPos val="b"/>
        <c:tickLblPos val="none"/>
        <c:crossAx val="119130368"/>
        <c:crosses val="autoZero"/>
        <c:auto val="1"/>
        <c:lblAlgn val="ctr"/>
        <c:lblOffset val="100"/>
      </c:catAx>
      <c:valAx>
        <c:axId val="119130368"/>
        <c:scaling>
          <c:orientation val="minMax"/>
        </c:scaling>
        <c:delete val="1"/>
        <c:axPos val="l"/>
        <c:majorGridlines>
          <c:spPr>
            <a:ln w="3175">
              <a:solidFill>
                <a:sysClr val="window" lastClr="FFFFFF">
                  <a:lumMod val="85000"/>
                  <a:alpha val="47000"/>
                </a:sysClr>
              </a:solidFill>
              <a:prstDash val="sysDash"/>
            </a:ln>
          </c:spPr>
        </c:majorGridlines>
        <c:numFmt formatCode="0.0%" sourceLinked="1"/>
        <c:tickLblPos val="none"/>
        <c:crossAx val="119128448"/>
        <c:crosses val="autoZero"/>
        <c:crossBetween val="between"/>
      </c:valAx>
      <c:spPr>
        <a:noFill/>
        <a:ln w="25400">
          <a:noFill/>
        </a:ln>
      </c:spPr>
    </c:plotArea>
    <c:plotVisOnly val="1"/>
    <c:dispBlanksAs val="gap"/>
  </c:chart>
  <c:spPr>
    <a:solidFill>
      <a:srgbClr val="FFFFFF"/>
    </a:solidFill>
    <a:ln w="9525">
      <a:noFill/>
    </a:ln>
  </c:spPr>
  <c:txPr>
    <a:bodyPr/>
    <a:lstStyle/>
    <a:p>
      <a:pPr>
        <a:defRPr sz="1000" b="0" i="0" u="none" strike="noStrike" baseline="0">
          <a:solidFill>
            <a:srgbClr val="333333"/>
          </a:solidFill>
          <a:latin typeface="Trebuchet MS"/>
          <a:ea typeface="Trebuchet MS"/>
          <a:cs typeface="Trebuchet MS"/>
        </a:defRPr>
      </a:pPr>
      <a:endParaRPr lang="en-US"/>
    </a:p>
  </c:txPr>
  <c:printSettings>
    <c:headerFooter alignWithMargins="0"/>
    <c:pageMargins b="1" l="0.75000000000000111" r="0.75000000000000111"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lang val="en-US"/>
  <c:chart>
    <c:plotArea>
      <c:layout/>
      <c:radarChart>
        <c:radarStyle val="marker"/>
        <c:ser>
          <c:idx val="0"/>
          <c:order val="0"/>
          <c:spPr>
            <a:ln w="12700">
              <a:solidFill>
                <a:srgbClr val="0066CC"/>
              </a:solidFill>
              <a:prstDash val="solid"/>
            </a:ln>
          </c:spPr>
          <c:marker>
            <c:symbol val="none"/>
          </c:marker>
          <c:cat>
            <c:strRef>
              <c:f>Assessment!$A$93:$F$93</c:f>
              <c:strCache>
                <c:ptCount val="6"/>
                <c:pt idx="0">
                  <c:v>Low Risk</c:v>
                </c:pt>
                <c:pt idx="1">
                  <c:v>High Growth</c:v>
                </c:pt>
                <c:pt idx="2">
                  <c:v>Under Valued</c:v>
                </c:pt>
                <c:pt idx="3">
                  <c:v>Well Managed</c:v>
                </c:pt>
                <c:pt idx="4">
                  <c:v>Good Financial Health</c:v>
                </c:pt>
                <c:pt idx="5">
                  <c:v>Strong Moat</c:v>
                </c:pt>
              </c:strCache>
            </c:strRef>
          </c:cat>
          <c:val>
            <c:numRef>
              <c:f>Assessment!$A$94:$F$94</c:f>
              <c:numCache>
                <c:formatCode>0.0</c:formatCode>
                <c:ptCount val="6"/>
                <c:pt idx="0">
                  <c:v>0</c:v>
                </c:pt>
                <c:pt idx="1">
                  <c:v>0</c:v>
                </c:pt>
                <c:pt idx="2">
                  <c:v>0</c:v>
                </c:pt>
                <c:pt idx="3">
                  <c:v>0</c:v>
                </c:pt>
                <c:pt idx="4">
                  <c:v>2</c:v>
                </c:pt>
                <c:pt idx="5">
                  <c:v>0</c:v>
                </c:pt>
              </c:numCache>
            </c:numRef>
          </c:val>
        </c:ser>
        <c:axId val="314472704"/>
        <c:axId val="314474496"/>
      </c:radarChart>
      <c:catAx>
        <c:axId val="314472704"/>
        <c:scaling>
          <c:orientation val="minMax"/>
        </c:scaling>
        <c:axPos val="b"/>
        <c:majorGridlines>
          <c:spPr>
            <a:ln>
              <a:solidFill>
                <a:schemeClr val="bg1">
                  <a:lumMod val="85000"/>
                </a:schemeClr>
              </a:solidFill>
              <a:prstDash val="sysDot"/>
            </a:ln>
          </c:spPr>
        </c:majorGridlines>
        <c:numFmt formatCode="General" sourceLinked="1"/>
        <c:tickLblPos val="nextTo"/>
        <c:txPr>
          <a:bodyPr rot="0" vert="horz"/>
          <a:lstStyle/>
          <a:p>
            <a:pPr>
              <a:defRPr sz="1000" b="1" i="0" u="none" strike="noStrike" baseline="0">
                <a:solidFill>
                  <a:schemeClr val="bg1">
                    <a:lumMod val="50000"/>
                  </a:schemeClr>
                </a:solidFill>
                <a:latin typeface="Calibri"/>
                <a:ea typeface="Calibri"/>
                <a:cs typeface="Calibri"/>
              </a:defRPr>
            </a:pPr>
            <a:endParaRPr lang="en-US"/>
          </a:p>
        </c:txPr>
        <c:crossAx val="314474496"/>
        <c:crosses val="autoZero"/>
        <c:lblAlgn val="ctr"/>
        <c:lblOffset val="100"/>
      </c:catAx>
      <c:valAx>
        <c:axId val="314474496"/>
        <c:scaling>
          <c:orientation val="minMax"/>
          <c:max val="5"/>
          <c:min val="0"/>
        </c:scaling>
        <c:axPos val="l"/>
        <c:majorGridlines>
          <c:spPr>
            <a:ln cmpd="sng">
              <a:solidFill>
                <a:schemeClr val="bg1">
                  <a:lumMod val="85000"/>
                </a:schemeClr>
              </a:solidFill>
              <a:prstDash val="sysDot"/>
            </a:ln>
          </c:spPr>
        </c:majorGridlines>
        <c:numFmt formatCode="0.0" sourceLinked="1"/>
        <c:majorTickMark val="cross"/>
        <c:tickLblPos val="nextTo"/>
        <c:spPr>
          <a:ln>
            <a:solidFill>
              <a:schemeClr val="bg1">
                <a:lumMod val="85000"/>
              </a:schemeClr>
            </a:solidFill>
            <a:prstDash val="sysDot"/>
          </a:ln>
        </c:spPr>
        <c:txPr>
          <a:bodyPr rot="0" vert="horz"/>
          <a:lstStyle/>
          <a:p>
            <a:pPr>
              <a:defRPr sz="1000" b="0" i="0" u="none" strike="noStrike" baseline="0">
                <a:solidFill>
                  <a:schemeClr val="bg1">
                    <a:lumMod val="50000"/>
                  </a:schemeClr>
                </a:solidFill>
                <a:latin typeface="Calibri"/>
                <a:ea typeface="Calibri"/>
                <a:cs typeface="Calibri"/>
              </a:defRPr>
            </a:pPr>
            <a:endParaRPr lang="en-US"/>
          </a:p>
        </c:txPr>
        <c:crossAx val="314472704"/>
        <c:crosses val="autoZero"/>
        <c:crossBetween val="between"/>
      </c:valAx>
      <c:spPr>
        <a:ln>
          <a:noFill/>
        </a:ln>
      </c:spPr>
    </c:plotArea>
    <c:plotVisOnly val="1"/>
    <c:dispBlanksAs val="gap"/>
  </c:chart>
  <c:spPr>
    <a:no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b="1"/>
              <a:t>Historical Price vs</a:t>
            </a:r>
            <a:r>
              <a:rPr lang="en-US" b="1" baseline="0"/>
              <a:t> Intrinsic Value</a:t>
            </a:r>
            <a:endParaRPr lang="en-US" b="1"/>
          </a:p>
        </c:rich>
      </c:tx>
    </c:title>
    <c:plotArea>
      <c:layout>
        <c:manualLayout>
          <c:layoutTarget val="inner"/>
          <c:xMode val="edge"/>
          <c:yMode val="edge"/>
          <c:x val="5.3691275167785227E-2"/>
          <c:y val="8.4714548802946626E-2"/>
          <c:w val="0.92483221476510069"/>
          <c:h val="0.77348066298342555"/>
        </c:manualLayout>
      </c:layout>
      <c:lineChart>
        <c:grouping val="standard"/>
        <c:ser>
          <c:idx val="0"/>
          <c:order val="0"/>
          <c:tx>
            <c:strRef>
              <c:f>PriceValueGraph!$G$37</c:f>
              <c:strCache>
                <c:ptCount val="1"/>
                <c:pt idx="0">
                  <c:v>Historical Price</c:v>
                </c:pt>
              </c:strCache>
            </c:strRef>
          </c:tx>
          <c:spPr>
            <a:ln w="12700">
              <a:solidFill>
                <a:schemeClr val="tx2"/>
              </a:solidFill>
            </a:ln>
          </c:spPr>
          <c:marker>
            <c:symbol val="none"/>
          </c:marker>
          <c:cat>
            <c:numRef>
              <c:f>PriceValueGraph!$E$38:$E$387</c:f>
              <c:numCache>
                <c:formatCode>m/d/yyyy</c:formatCode>
                <c:ptCount val="350"/>
                <c:pt idx="0" formatCode="m/d/yyyy;@">
                  <c:v>40365</c:v>
                </c:pt>
                <c:pt idx="1">
                  <c:v>40357</c:v>
                </c:pt>
                <c:pt idx="2">
                  <c:v>40350</c:v>
                </c:pt>
                <c:pt idx="3">
                  <c:v>40343</c:v>
                </c:pt>
                <c:pt idx="4">
                  <c:v>40336</c:v>
                </c:pt>
                <c:pt idx="5">
                  <c:v>40330</c:v>
                </c:pt>
                <c:pt idx="6">
                  <c:v>40322</c:v>
                </c:pt>
                <c:pt idx="7">
                  <c:v>40315</c:v>
                </c:pt>
                <c:pt idx="8">
                  <c:v>40308</c:v>
                </c:pt>
                <c:pt idx="9">
                  <c:v>40301</c:v>
                </c:pt>
                <c:pt idx="10">
                  <c:v>40294</c:v>
                </c:pt>
                <c:pt idx="11">
                  <c:v>40287</c:v>
                </c:pt>
                <c:pt idx="12">
                  <c:v>40280</c:v>
                </c:pt>
                <c:pt idx="13">
                  <c:v>40273</c:v>
                </c:pt>
                <c:pt idx="14">
                  <c:v>40266</c:v>
                </c:pt>
                <c:pt idx="15">
                  <c:v>40259</c:v>
                </c:pt>
                <c:pt idx="16">
                  <c:v>40252</c:v>
                </c:pt>
                <c:pt idx="17">
                  <c:v>40245</c:v>
                </c:pt>
                <c:pt idx="18">
                  <c:v>40238</c:v>
                </c:pt>
                <c:pt idx="19">
                  <c:v>40231</c:v>
                </c:pt>
                <c:pt idx="20">
                  <c:v>40225</c:v>
                </c:pt>
                <c:pt idx="21">
                  <c:v>40217</c:v>
                </c:pt>
                <c:pt idx="22">
                  <c:v>40210</c:v>
                </c:pt>
                <c:pt idx="23">
                  <c:v>40203</c:v>
                </c:pt>
                <c:pt idx="24">
                  <c:v>40197</c:v>
                </c:pt>
                <c:pt idx="25">
                  <c:v>40189</c:v>
                </c:pt>
                <c:pt idx="26">
                  <c:v>40182</c:v>
                </c:pt>
                <c:pt idx="27">
                  <c:v>40175</c:v>
                </c:pt>
                <c:pt idx="28">
                  <c:v>40168</c:v>
                </c:pt>
                <c:pt idx="29">
                  <c:v>40161</c:v>
                </c:pt>
                <c:pt idx="30">
                  <c:v>40154</c:v>
                </c:pt>
                <c:pt idx="31">
                  <c:v>40147</c:v>
                </c:pt>
                <c:pt idx="32">
                  <c:v>40140</c:v>
                </c:pt>
                <c:pt idx="33">
                  <c:v>40133</c:v>
                </c:pt>
                <c:pt idx="34">
                  <c:v>40126</c:v>
                </c:pt>
                <c:pt idx="35">
                  <c:v>40119</c:v>
                </c:pt>
                <c:pt idx="36">
                  <c:v>40112</c:v>
                </c:pt>
                <c:pt idx="37">
                  <c:v>40105</c:v>
                </c:pt>
                <c:pt idx="38">
                  <c:v>40098</c:v>
                </c:pt>
                <c:pt idx="39">
                  <c:v>40091</c:v>
                </c:pt>
                <c:pt idx="40">
                  <c:v>40084</c:v>
                </c:pt>
                <c:pt idx="41">
                  <c:v>40077</c:v>
                </c:pt>
                <c:pt idx="42">
                  <c:v>40070</c:v>
                </c:pt>
                <c:pt idx="43">
                  <c:v>40064</c:v>
                </c:pt>
                <c:pt idx="44">
                  <c:v>40056</c:v>
                </c:pt>
                <c:pt idx="45">
                  <c:v>40049</c:v>
                </c:pt>
                <c:pt idx="46">
                  <c:v>40042</c:v>
                </c:pt>
                <c:pt idx="47">
                  <c:v>40035</c:v>
                </c:pt>
                <c:pt idx="48">
                  <c:v>40028</c:v>
                </c:pt>
                <c:pt idx="49">
                  <c:v>40021</c:v>
                </c:pt>
                <c:pt idx="50">
                  <c:v>40014</c:v>
                </c:pt>
                <c:pt idx="51">
                  <c:v>40007</c:v>
                </c:pt>
                <c:pt idx="52">
                  <c:v>40000</c:v>
                </c:pt>
                <c:pt idx="53">
                  <c:v>39993</c:v>
                </c:pt>
                <c:pt idx="54">
                  <c:v>39986</c:v>
                </c:pt>
                <c:pt idx="55">
                  <c:v>39979</c:v>
                </c:pt>
                <c:pt idx="56">
                  <c:v>39972</c:v>
                </c:pt>
                <c:pt idx="57">
                  <c:v>39965</c:v>
                </c:pt>
                <c:pt idx="58">
                  <c:v>39959</c:v>
                </c:pt>
                <c:pt idx="59">
                  <c:v>39951</c:v>
                </c:pt>
                <c:pt idx="60">
                  <c:v>39944</c:v>
                </c:pt>
                <c:pt idx="61">
                  <c:v>39937</c:v>
                </c:pt>
                <c:pt idx="62">
                  <c:v>39930</c:v>
                </c:pt>
                <c:pt idx="63">
                  <c:v>39923</c:v>
                </c:pt>
                <c:pt idx="64">
                  <c:v>39916</c:v>
                </c:pt>
                <c:pt idx="65">
                  <c:v>39909</c:v>
                </c:pt>
                <c:pt idx="66">
                  <c:v>39902</c:v>
                </c:pt>
                <c:pt idx="67">
                  <c:v>39895</c:v>
                </c:pt>
                <c:pt idx="68">
                  <c:v>39888</c:v>
                </c:pt>
                <c:pt idx="69">
                  <c:v>39881</c:v>
                </c:pt>
                <c:pt idx="70">
                  <c:v>39874</c:v>
                </c:pt>
                <c:pt idx="71">
                  <c:v>39867</c:v>
                </c:pt>
                <c:pt idx="72">
                  <c:v>39861</c:v>
                </c:pt>
                <c:pt idx="73">
                  <c:v>39853</c:v>
                </c:pt>
                <c:pt idx="74">
                  <c:v>39846</c:v>
                </c:pt>
                <c:pt idx="75">
                  <c:v>39839</c:v>
                </c:pt>
                <c:pt idx="76">
                  <c:v>39833</c:v>
                </c:pt>
                <c:pt idx="77">
                  <c:v>39825</c:v>
                </c:pt>
                <c:pt idx="78">
                  <c:v>39818</c:v>
                </c:pt>
                <c:pt idx="79">
                  <c:v>39811</c:v>
                </c:pt>
                <c:pt idx="80">
                  <c:v>39804</c:v>
                </c:pt>
                <c:pt idx="81">
                  <c:v>39797</c:v>
                </c:pt>
                <c:pt idx="82">
                  <c:v>39790</c:v>
                </c:pt>
                <c:pt idx="83">
                  <c:v>39783</c:v>
                </c:pt>
                <c:pt idx="84">
                  <c:v>39776</c:v>
                </c:pt>
                <c:pt idx="85">
                  <c:v>39769</c:v>
                </c:pt>
                <c:pt idx="86">
                  <c:v>39762</c:v>
                </c:pt>
                <c:pt idx="87">
                  <c:v>39755</c:v>
                </c:pt>
                <c:pt idx="88">
                  <c:v>39748</c:v>
                </c:pt>
                <c:pt idx="89">
                  <c:v>39741</c:v>
                </c:pt>
                <c:pt idx="90">
                  <c:v>39734</c:v>
                </c:pt>
                <c:pt idx="91">
                  <c:v>39727</c:v>
                </c:pt>
                <c:pt idx="92">
                  <c:v>39720</c:v>
                </c:pt>
                <c:pt idx="93">
                  <c:v>39713</c:v>
                </c:pt>
                <c:pt idx="94">
                  <c:v>39706</c:v>
                </c:pt>
                <c:pt idx="95">
                  <c:v>39699</c:v>
                </c:pt>
                <c:pt idx="96">
                  <c:v>39693</c:v>
                </c:pt>
                <c:pt idx="97">
                  <c:v>39685</c:v>
                </c:pt>
                <c:pt idx="98">
                  <c:v>39678</c:v>
                </c:pt>
                <c:pt idx="99">
                  <c:v>39671</c:v>
                </c:pt>
                <c:pt idx="100">
                  <c:v>39664</c:v>
                </c:pt>
                <c:pt idx="101">
                  <c:v>39657</c:v>
                </c:pt>
                <c:pt idx="102">
                  <c:v>39650</c:v>
                </c:pt>
                <c:pt idx="103">
                  <c:v>39643</c:v>
                </c:pt>
                <c:pt idx="104">
                  <c:v>39636</c:v>
                </c:pt>
                <c:pt idx="105">
                  <c:v>39629</c:v>
                </c:pt>
                <c:pt idx="106">
                  <c:v>39622</c:v>
                </c:pt>
                <c:pt idx="107">
                  <c:v>39615</c:v>
                </c:pt>
                <c:pt idx="108">
                  <c:v>39608</c:v>
                </c:pt>
                <c:pt idx="109">
                  <c:v>39601</c:v>
                </c:pt>
                <c:pt idx="110">
                  <c:v>39595</c:v>
                </c:pt>
                <c:pt idx="111">
                  <c:v>39587</c:v>
                </c:pt>
                <c:pt idx="112">
                  <c:v>39580</c:v>
                </c:pt>
                <c:pt idx="113">
                  <c:v>39573</c:v>
                </c:pt>
                <c:pt idx="114">
                  <c:v>39566</c:v>
                </c:pt>
                <c:pt idx="115">
                  <c:v>39559</c:v>
                </c:pt>
                <c:pt idx="116">
                  <c:v>39552</c:v>
                </c:pt>
                <c:pt idx="117">
                  <c:v>39545</c:v>
                </c:pt>
                <c:pt idx="118">
                  <c:v>39538</c:v>
                </c:pt>
                <c:pt idx="119">
                  <c:v>39531</c:v>
                </c:pt>
                <c:pt idx="120">
                  <c:v>39524</c:v>
                </c:pt>
                <c:pt idx="121">
                  <c:v>39517</c:v>
                </c:pt>
                <c:pt idx="122">
                  <c:v>39510</c:v>
                </c:pt>
                <c:pt idx="123">
                  <c:v>39503</c:v>
                </c:pt>
                <c:pt idx="124">
                  <c:v>39497</c:v>
                </c:pt>
                <c:pt idx="125">
                  <c:v>39489</c:v>
                </c:pt>
                <c:pt idx="126">
                  <c:v>39482</c:v>
                </c:pt>
                <c:pt idx="127">
                  <c:v>39475</c:v>
                </c:pt>
                <c:pt idx="128">
                  <c:v>39469</c:v>
                </c:pt>
                <c:pt idx="129">
                  <c:v>39461</c:v>
                </c:pt>
                <c:pt idx="130">
                  <c:v>39454</c:v>
                </c:pt>
                <c:pt idx="131">
                  <c:v>39447</c:v>
                </c:pt>
                <c:pt idx="132">
                  <c:v>39440</c:v>
                </c:pt>
                <c:pt idx="133">
                  <c:v>39433</c:v>
                </c:pt>
                <c:pt idx="134">
                  <c:v>39426</c:v>
                </c:pt>
                <c:pt idx="135">
                  <c:v>39419</c:v>
                </c:pt>
                <c:pt idx="136">
                  <c:v>39412</c:v>
                </c:pt>
                <c:pt idx="137">
                  <c:v>39405</c:v>
                </c:pt>
                <c:pt idx="138">
                  <c:v>39398</c:v>
                </c:pt>
                <c:pt idx="139">
                  <c:v>39391</c:v>
                </c:pt>
                <c:pt idx="140">
                  <c:v>39384</c:v>
                </c:pt>
                <c:pt idx="141">
                  <c:v>39377</c:v>
                </c:pt>
                <c:pt idx="142">
                  <c:v>39370</c:v>
                </c:pt>
                <c:pt idx="143">
                  <c:v>39363</c:v>
                </c:pt>
                <c:pt idx="144">
                  <c:v>39356</c:v>
                </c:pt>
                <c:pt idx="145">
                  <c:v>39349</c:v>
                </c:pt>
                <c:pt idx="146">
                  <c:v>39342</c:v>
                </c:pt>
                <c:pt idx="147">
                  <c:v>39335</c:v>
                </c:pt>
                <c:pt idx="148">
                  <c:v>39329</c:v>
                </c:pt>
                <c:pt idx="149">
                  <c:v>39321</c:v>
                </c:pt>
                <c:pt idx="150">
                  <c:v>39314</c:v>
                </c:pt>
                <c:pt idx="151">
                  <c:v>39307</c:v>
                </c:pt>
                <c:pt idx="152">
                  <c:v>39300</c:v>
                </c:pt>
                <c:pt idx="153">
                  <c:v>39293</c:v>
                </c:pt>
                <c:pt idx="154">
                  <c:v>39286</c:v>
                </c:pt>
                <c:pt idx="155">
                  <c:v>39279</c:v>
                </c:pt>
                <c:pt idx="156">
                  <c:v>39272</c:v>
                </c:pt>
                <c:pt idx="157">
                  <c:v>39265</c:v>
                </c:pt>
                <c:pt idx="158">
                  <c:v>39258</c:v>
                </c:pt>
                <c:pt idx="159">
                  <c:v>39251</c:v>
                </c:pt>
                <c:pt idx="160">
                  <c:v>39244</c:v>
                </c:pt>
                <c:pt idx="161">
                  <c:v>39237</c:v>
                </c:pt>
                <c:pt idx="162">
                  <c:v>39231</c:v>
                </c:pt>
                <c:pt idx="163">
                  <c:v>39223</c:v>
                </c:pt>
                <c:pt idx="164">
                  <c:v>39216</c:v>
                </c:pt>
                <c:pt idx="165">
                  <c:v>39209</c:v>
                </c:pt>
                <c:pt idx="166">
                  <c:v>39202</c:v>
                </c:pt>
                <c:pt idx="167">
                  <c:v>39195</c:v>
                </c:pt>
                <c:pt idx="168">
                  <c:v>39188</c:v>
                </c:pt>
                <c:pt idx="169">
                  <c:v>39181</c:v>
                </c:pt>
                <c:pt idx="170">
                  <c:v>39174</c:v>
                </c:pt>
                <c:pt idx="171">
                  <c:v>39167</c:v>
                </c:pt>
                <c:pt idx="172">
                  <c:v>39160</c:v>
                </c:pt>
                <c:pt idx="173">
                  <c:v>39153</c:v>
                </c:pt>
                <c:pt idx="174">
                  <c:v>39146</c:v>
                </c:pt>
                <c:pt idx="175">
                  <c:v>39139</c:v>
                </c:pt>
                <c:pt idx="176">
                  <c:v>39133</c:v>
                </c:pt>
                <c:pt idx="177">
                  <c:v>39125</c:v>
                </c:pt>
                <c:pt idx="178">
                  <c:v>39118</c:v>
                </c:pt>
                <c:pt idx="179">
                  <c:v>39111</c:v>
                </c:pt>
                <c:pt idx="180">
                  <c:v>39104</c:v>
                </c:pt>
                <c:pt idx="181">
                  <c:v>39098</c:v>
                </c:pt>
                <c:pt idx="182">
                  <c:v>39090</c:v>
                </c:pt>
                <c:pt idx="183">
                  <c:v>39085</c:v>
                </c:pt>
                <c:pt idx="184">
                  <c:v>39077</c:v>
                </c:pt>
                <c:pt idx="185">
                  <c:v>39069</c:v>
                </c:pt>
                <c:pt idx="186">
                  <c:v>39062</c:v>
                </c:pt>
                <c:pt idx="187">
                  <c:v>39055</c:v>
                </c:pt>
                <c:pt idx="188">
                  <c:v>39048</c:v>
                </c:pt>
                <c:pt idx="189">
                  <c:v>39041</c:v>
                </c:pt>
                <c:pt idx="190">
                  <c:v>39034</c:v>
                </c:pt>
                <c:pt idx="191">
                  <c:v>39027</c:v>
                </c:pt>
                <c:pt idx="192">
                  <c:v>39020</c:v>
                </c:pt>
                <c:pt idx="193">
                  <c:v>39013</c:v>
                </c:pt>
                <c:pt idx="194">
                  <c:v>39006</c:v>
                </c:pt>
                <c:pt idx="195">
                  <c:v>38999</c:v>
                </c:pt>
                <c:pt idx="196">
                  <c:v>38992</c:v>
                </c:pt>
                <c:pt idx="197">
                  <c:v>38985</c:v>
                </c:pt>
                <c:pt idx="198">
                  <c:v>38978</c:v>
                </c:pt>
                <c:pt idx="199">
                  <c:v>38971</c:v>
                </c:pt>
                <c:pt idx="200">
                  <c:v>38965</c:v>
                </c:pt>
                <c:pt idx="201">
                  <c:v>38957</c:v>
                </c:pt>
                <c:pt idx="202">
                  <c:v>38950</c:v>
                </c:pt>
                <c:pt idx="203">
                  <c:v>38943</c:v>
                </c:pt>
                <c:pt idx="204">
                  <c:v>38936</c:v>
                </c:pt>
                <c:pt idx="205">
                  <c:v>38929</c:v>
                </c:pt>
                <c:pt idx="206">
                  <c:v>38922</c:v>
                </c:pt>
                <c:pt idx="207">
                  <c:v>38915</c:v>
                </c:pt>
                <c:pt idx="208">
                  <c:v>38908</c:v>
                </c:pt>
                <c:pt idx="209">
                  <c:v>38901</c:v>
                </c:pt>
                <c:pt idx="210">
                  <c:v>38894</c:v>
                </c:pt>
                <c:pt idx="211">
                  <c:v>38887</c:v>
                </c:pt>
                <c:pt idx="212">
                  <c:v>38880</c:v>
                </c:pt>
                <c:pt idx="213">
                  <c:v>38873</c:v>
                </c:pt>
                <c:pt idx="214">
                  <c:v>38867</c:v>
                </c:pt>
                <c:pt idx="215">
                  <c:v>38859</c:v>
                </c:pt>
                <c:pt idx="216">
                  <c:v>38852</c:v>
                </c:pt>
                <c:pt idx="217">
                  <c:v>38845</c:v>
                </c:pt>
                <c:pt idx="218">
                  <c:v>38838</c:v>
                </c:pt>
                <c:pt idx="219">
                  <c:v>38831</c:v>
                </c:pt>
                <c:pt idx="220">
                  <c:v>38824</c:v>
                </c:pt>
                <c:pt idx="221">
                  <c:v>38817</c:v>
                </c:pt>
                <c:pt idx="222">
                  <c:v>38810</c:v>
                </c:pt>
                <c:pt idx="223">
                  <c:v>38803</c:v>
                </c:pt>
                <c:pt idx="224">
                  <c:v>38796</c:v>
                </c:pt>
                <c:pt idx="225">
                  <c:v>38789</c:v>
                </c:pt>
                <c:pt idx="226">
                  <c:v>38782</c:v>
                </c:pt>
                <c:pt idx="227">
                  <c:v>38775</c:v>
                </c:pt>
                <c:pt idx="228">
                  <c:v>38769</c:v>
                </c:pt>
                <c:pt idx="229">
                  <c:v>38761</c:v>
                </c:pt>
                <c:pt idx="230">
                  <c:v>38754</c:v>
                </c:pt>
                <c:pt idx="231">
                  <c:v>38747</c:v>
                </c:pt>
                <c:pt idx="232">
                  <c:v>38740</c:v>
                </c:pt>
                <c:pt idx="233">
                  <c:v>38734</c:v>
                </c:pt>
                <c:pt idx="234">
                  <c:v>38726</c:v>
                </c:pt>
                <c:pt idx="235">
                  <c:v>38720</c:v>
                </c:pt>
                <c:pt idx="236">
                  <c:v>38713</c:v>
                </c:pt>
                <c:pt idx="237">
                  <c:v>38705</c:v>
                </c:pt>
                <c:pt idx="238">
                  <c:v>38698</c:v>
                </c:pt>
                <c:pt idx="239">
                  <c:v>38691</c:v>
                </c:pt>
                <c:pt idx="240">
                  <c:v>38684</c:v>
                </c:pt>
                <c:pt idx="241">
                  <c:v>38677</c:v>
                </c:pt>
                <c:pt idx="242">
                  <c:v>38670</c:v>
                </c:pt>
                <c:pt idx="243">
                  <c:v>38663</c:v>
                </c:pt>
                <c:pt idx="244">
                  <c:v>38656</c:v>
                </c:pt>
                <c:pt idx="245">
                  <c:v>38649</c:v>
                </c:pt>
                <c:pt idx="246">
                  <c:v>38642</c:v>
                </c:pt>
                <c:pt idx="247">
                  <c:v>38635</c:v>
                </c:pt>
                <c:pt idx="248">
                  <c:v>38628</c:v>
                </c:pt>
                <c:pt idx="249">
                  <c:v>38621</c:v>
                </c:pt>
                <c:pt idx="250">
                  <c:v>38614</c:v>
                </c:pt>
                <c:pt idx="251">
                  <c:v>38607</c:v>
                </c:pt>
                <c:pt idx="252">
                  <c:v>38601</c:v>
                </c:pt>
                <c:pt idx="253">
                  <c:v>38593</c:v>
                </c:pt>
                <c:pt idx="254">
                  <c:v>38586</c:v>
                </c:pt>
                <c:pt idx="255">
                  <c:v>38579</c:v>
                </c:pt>
                <c:pt idx="256">
                  <c:v>38572</c:v>
                </c:pt>
                <c:pt idx="257">
                  <c:v>38565</c:v>
                </c:pt>
                <c:pt idx="258">
                  <c:v>38558</c:v>
                </c:pt>
                <c:pt idx="259">
                  <c:v>38551</c:v>
                </c:pt>
                <c:pt idx="260">
                  <c:v>38544</c:v>
                </c:pt>
                <c:pt idx="261">
                  <c:v>38538</c:v>
                </c:pt>
                <c:pt idx="262">
                  <c:v>38530</c:v>
                </c:pt>
                <c:pt idx="263">
                  <c:v>38523</c:v>
                </c:pt>
                <c:pt idx="264">
                  <c:v>38516</c:v>
                </c:pt>
                <c:pt idx="265">
                  <c:v>38509</c:v>
                </c:pt>
                <c:pt idx="266">
                  <c:v>38503</c:v>
                </c:pt>
                <c:pt idx="267">
                  <c:v>38495</c:v>
                </c:pt>
                <c:pt idx="268">
                  <c:v>38488</c:v>
                </c:pt>
                <c:pt idx="269">
                  <c:v>38481</c:v>
                </c:pt>
                <c:pt idx="270">
                  <c:v>38474</c:v>
                </c:pt>
                <c:pt idx="271">
                  <c:v>38467</c:v>
                </c:pt>
                <c:pt idx="272">
                  <c:v>38460</c:v>
                </c:pt>
                <c:pt idx="273">
                  <c:v>38453</c:v>
                </c:pt>
                <c:pt idx="274">
                  <c:v>38446</c:v>
                </c:pt>
                <c:pt idx="275">
                  <c:v>38439</c:v>
                </c:pt>
                <c:pt idx="276">
                  <c:v>38432</c:v>
                </c:pt>
                <c:pt idx="277">
                  <c:v>38425</c:v>
                </c:pt>
                <c:pt idx="278">
                  <c:v>38418</c:v>
                </c:pt>
                <c:pt idx="279">
                  <c:v>38411</c:v>
                </c:pt>
                <c:pt idx="280">
                  <c:v>38405</c:v>
                </c:pt>
                <c:pt idx="281">
                  <c:v>38397</c:v>
                </c:pt>
                <c:pt idx="282">
                  <c:v>38390</c:v>
                </c:pt>
                <c:pt idx="283">
                  <c:v>38383</c:v>
                </c:pt>
                <c:pt idx="284">
                  <c:v>38376</c:v>
                </c:pt>
                <c:pt idx="285">
                  <c:v>38370</c:v>
                </c:pt>
                <c:pt idx="286">
                  <c:v>38362</c:v>
                </c:pt>
                <c:pt idx="287">
                  <c:v>38355</c:v>
                </c:pt>
                <c:pt idx="288">
                  <c:v>38348</c:v>
                </c:pt>
                <c:pt idx="289">
                  <c:v>38341</c:v>
                </c:pt>
                <c:pt idx="290">
                  <c:v>38334</c:v>
                </c:pt>
                <c:pt idx="291">
                  <c:v>38327</c:v>
                </c:pt>
                <c:pt idx="292">
                  <c:v>38320</c:v>
                </c:pt>
                <c:pt idx="293">
                  <c:v>38313</c:v>
                </c:pt>
                <c:pt idx="294">
                  <c:v>38306</c:v>
                </c:pt>
                <c:pt idx="295">
                  <c:v>38299</c:v>
                </c:pt>
                <c:pt idx="296">
                  <c:v>38292</c:v>
                </c:pt>
                <c:pt idx="297">
                  <c:v>38285</c:v>
                </c:pt>
                <c:pt idx="298">
                  <c:v>38278</c:v>
                </c:pt>
                <c:pt idx="299">
                  <c:v>38271</c:v>
                </c:pt>
                <c:pt idx="300">
                  <c:v>38264</c:v>
                </c:pt>
                <c:pt idx="301">
                  <c:v>38257</c:v>
                </c:pt>
                <c:pt idx="302">
                  <c:v>38250</c:v>
                </c:pt>
                <c:pt idx="303">
                  <c:v>38243</c:v>
                </c:pt>
                <c:pt idx="304">
                  <c:v>38237</c:v>
                </c:pt>
                <c:pt idx="305">
                  <c:v>38229</c:v>
                </c:pt>
                <c:pt idx="306">
                  <c:v>38222</c:v>
                </c:pt>
                <c:pt idx="307">
                  <c:v>38215</c:v>
                </c:pt>
                <c:pt idx="308">
                  <c:v>38208</c:v>
                </c:pt>
                <c:pt idx="309">
                  <c:v>38201</c:v>
                </c:pt>
                <c:pt idx="310">
                  <c:v>38194</c:v>
                </c:pt>
                <c:pt idx="311">
                  <c:v>38187</c:v>
                </c:pt>
                <c:pt idx="312">
                  <c:v>38180</c:v>
                </c:pt>
                <c:pt idx="313">
                  <c:v>38174</c:v>
                </c:pt>
                <c:pt idx="314">
                  <c:v>38166</c:v>
                </c:pt>
                <c:pt idx="315">
                  <c:v>38159</c:v>
                </c:pt>
                <c:pt idx="316">
                  <c:v>38152</c:v>
                </c:pt>
                <c:pt idx="317">
                  <c:v>38145</c:v>
                </c:pt>
                <c:pt idx="318">
                  <c:v>38139</c:v>
                </c:pt>
                <c:pt idx="319">
                  <c:v>38131</c:v>
                </c:pt>
                <c:pt idx="320">
                  <c:v>38124</c:v>
                </c:pt>
                <c:pt idx="321">
                  <c:v>38117</c:v>
                </c:pt>
                <c:pt idx="322">
                  <c:v>38110</c:v>
                </c:pt>
                <c:pt idx="323">
                  <c:v>38103</c:v>
                </c:pt>
                <c:pt idx="324">
                  <c:v>38096</c:v>
                </c:pt>
                <c:pt idx="325">
                  <c:v>38089</c:v>
                </c:pt>
                <c:pt idx="326">
                  <c:v>38082</c:v>
                </c:pt>
                <c:pt idx="327">
                  <c:v>38075</c:v>
                </c:pt>
                <c:pt idx="328">
                  <c:v>38068</c:v>
                </c:pt>
                <c:pt idx="329">
                  <c:v>38061</c:v>
                </c:pt>
                <c:pt idx="330">
                  <c:v>38054</c:v>
                </c:pt>
                <c:pt idx="331">
                  <c:v>38047</c:v>
                </c:pt>
                <c:pt idx="332">
                  <c:v>38040</c:v>
                </c:pt>
                <c:pt idx="333">
                  <c:v>38034</c:v>
                </c:pt>
                <c:pt idx="334">
                  <c:v>38026</c:v>
                </c:pt>
                <c:pt idx="335">
                  <c:v>38019</c:v>
                </c:pt>
                <c:pt idx="336">
                  <c:v>38012</c:v>
                </c:pt>
                <c:pt idx="337">
                  <c:v>38006</c:v>
                </c:pt>
                <c:pt idx="338">
                  <c:v>37998</c:v>
                </c:pt>
                <c:pt idx="339">
                  <c:v>37991</c:v>
                </c:pt>
                <c:pt idx="340">
                  <c:v>37984</c:v>
                </c:pt>
                <c:pt idx="341">
                  <c:v>37977</c:v>
                </c:pt>
                <c:pt idx="342">
                  <c:v>37970</c:v>
                </c:pt>
                <c:pt idx="343">
                  <c:v>37963</c:v>
                </c:pt>
                <c:pt idx="344">
                  <c:v>37956</c:v>
                </c:pt>
                <c:pt idx="345">
                  <c:v>37949</c:v>
                </c:pt>
                <c:pt idx="346">
                  <c:v>37942</c:v>
                </c:pt>
                <c:pt idx="347">
                  <c:v>37935</c:v>
                </c:pt>
                <c:pt idx="348">
                  <c:v>37928</c:v>
                </c:pt>
                <c:pt idx="349">
                  <c:v>37921</c:v>
                </c:pt>
              </c:numCache>
            </c:numRef>
          </c:cat>
          <c:val>
            <c:numRef>
              <c:f>PriceValueGraph!$G$38:$G$609</c:f>
              <c:numCache>
                <c:formatCode>General</c:formatCode>
                <c:ptCount val="572"/>
                <c:pt idx="0">
                  <c:v>52.4</c:v>
                </c:pt>
                <c:pt idx="1">
                  <c:v>50.05</c:v>
                </c:pt>
                <c:pt idx="2">
                  <c:v>50.26</c:v>
                </c:pt>
                <c:pt idx="3">
                  <c:v>52.31</c:v>
                </c:pt>
                <c:pt idx="4">
                  <c:v>51.65</c:v>
                </c:pt>
                <c:pt idx="5">
                  <c:v>50.84</c:v>
                </c:pt>
                <c:pt idx="6">
                  <c:v>50.97</c:v>
                </c:pt>
                <c:pt idx="7">
                  <c:v>51.16</c:v>
                </c:pt>
                <c:pt idx="8">
                  <c:v>52.89</c:v>
                </c:pt>
                <c:pt idx="9">
                  <c:v>52.23</c:v>
                </c:pt>
                <c:pt idx="10">
                  <c:v>53</c:v>
                </c:pt>
                <c:pt idx="11">
                  <c:v>53.43</c:v>
                </c:pt>
                <c:pt idx="12">
                  <c:v>54.51</c:v>
                </c:pt>
                <c:pt idx="13">
                  <c:v>54.13</c:v>
                </c:pt>
                <c:pt idx="14">
                  <c:v>54.84</c:v>
                </c:pt>
                <c:pt idx="15">
                  <c:v>54.19</c:v>
                </c:pt>
                <c:pt idx="16">
                  <c:v>54.29</c:v>
                </c:pt>
                <c:pt idx="17">
                  <c:v>52.9</c:v>
                </c:pt>
                <c:pt idx="18">
                  <c:v>53.8</c:v>
                </c:pt>
                <c:pt idx="19">
                  <c:v>51.85</c:v>
                </c:pt>
                <c:pt idx="20">
                  <c:v>54.8</c:v>
                </c:pt>
                <c:pt idx="21">
                  <c:v>53.09</c:v>
                </c:pt>
                <c:pt idx="22">
                  <c:v>52.22</c:v>
                </c:pt>
                <c:pt idx="23">
                  <c:v>53.36</c:v>
                </c:pt>
                <c:pt idx="24">
                  <c:v>53.35</c:v>
                </c:pt>
                <c:pt idx="25">
                  <c:v>55.36</c:v>
                </c:pt>
                <c:pt idx="26">
                  <c:v>54.24</c:v>
                </c:pt>
                <c:pt idx="27">
                  <c:v>56.06</c:v>
                </c:pt>
                <c:pt idx="28">
                  <c:v>56.5</c:v>
                </c:pt>
                <c:pt idx="29">
                  <c:v>55.98</c:v>
                </c:pt>
                <c:pt idx="30">
                  <c:v>58.14</c:v>
                </c:pt>
                <c:pt idx="31">
                  <c:v>56.54</c:v>
                </c:pt>
                <c:pt idx="32">
                  <c:v>56.24</c:v>
                </c:pt>
                <c:pt idx="33">
                  <c:v>56.14</c:v>
                </c:pt>
                <c:pt idx="34">
                  <c:v>55.14</c:v>
                </c:pt>
                <c:pt idx="35">
                  <c:v>53.22</c:v>
                </c:pt>
                <c:pt idx="36">
                  <c:v>52.06</c:v>
                </c:pt>
                <c:pt idx="37">
                  <c:v>52</c:v>
                </c:pt>
                <c:pt idx="38">
                  <c:v>53.72</c:v>
                </c:pt>
                <c:pt idx="39">
                  <c:v>53.37</c:v>
                </c:pt>
                <c:pt idx="40">
                  <c:v>52.61</c:v>
                </c:pt>
                <c:pt idx="41">
                  <c:v>51.73</c:v>
                </c:pt>
                <c:pt idx="42">
                  <c:v>52.5</c:v>
                </c:pt>
                <c:pt idx="43">
                  <c:v>50.31</c:v>
                </c:pt>
                <c:pt idx="44">
                  <c:v>48.39</c:v>
                </c:pt>
                <c:pt idx="45">
                  <c:v>47.52</c:v>
                </c:pt>
                <c:pt idx="46">
                  <c:v>48.35</c:v>
                </c:pt>
                <c:pt idx="47">
                  <c:v>46.95</c:v>
                </c:pt>
                <c:pt idx="48">
                  <c:v>47.8</c:v>
                </c:pt>
                <c:pt idx="49">
                  <c:v>48.28</c:v>
                </c:pt>
                <c:pt idx="50">
                  <c:v>47.82</c:v>
                </c:pt>
                <c:pt idx="51">
                  <c:v>48.75</c:v>
                </c:pt>
                <c:pt idx="52">
                  <c:v>46.8</c:v>
                </c:pt>
                <c:pt idx="53">
                  <c:v>47.35</c:v>
                </c:pt>
                <c:pt idx="54">
                  <c:v>46.62</c:v>
                </c:pt>
                <c:pt idx="55">
                  <c:v>47.28</c:v>
                </c:pt>
                <c:pt idx="56">
                  <c:v>47.36</c:v>
                </c:pt>
                <c:pt idx="57">
                  <c:v>47.49</c:v>
                </c:pt>
                <c:pt idx="58">
                  <c:v>47.22</c:v>
                </c:pt>
                <c:pt idx="59">
                  <c:v>45.43</c:v>
                </c:pt>
                <c:pt idx="60">
                  <c:v>43.18</c:v>
                </c:pt>
                <c:pt idx="61">
                  <c:v>41.22</c:v>
                </c:pt>
                <c:pt idx="62">
                  <c:v>40.79</c:v>
                </c:pt>
                <c:pt idx="63">
                  <c:v>41.1</c:v>
                </c:pt>
                <c:pt idx="64">
                  <c:v>43.24</c:v>
                </c:pt>
                <c:pt idx="65">
                  <c:v>43.21</c:v>
                </c:pt>
                <c:pt idx="66">
                  <c:v>43.19</c:v>
                </c:pt>
                <c:pt idx="67">
                  <c:v>43.32</c:v>
                </c:pt>
                <c:pt idx="68">
                  <c:v>40.96</c:v>
                </c:pt>
                <c:pt idx="69">
                  <c:v>39.590000000000003</c:v>
                </c:pt>
                <c:pt idx="70">
                  <c:v>37.159999999999997</c:v>
                </c:pt>
                <c:pt idx="71">
                  <c:v>38.83</c:v>
                </c:pt>
                <c:pt idx="72">
                  <c:v>40.72</c:v>
                </c:pt>
                <c:pt idx="73">
                  <c:v>41.68</c:v>
                </c:pt>
                <c:pt idx="74">
                  <c:v>41.39</c:v>
                </c:pt>
                <c:pt idx="75">
                  <c:v>40.6</c:v>
                </c:pt>
                <c:pt idx="76">
                  <c:v>40.11</c:v>
                </c:pt>
                <c:pt idx="77">
                  <c:v>41.67</c:v>
                </c:pt>
                <c:pt idx="78">
                  <c:v>42.39</c:v>
                </c:pt>
                <c:pt idx="79">
                  <c:v>43.63</c:v>
                </c:pt>
                <c:pt idx="80">
                  <c:v>42.37</c:v>
                </c:pt>
                <c:pt idx="81">
                  <c:v>42.23</c:v>
                </c:pt>
                <c:pt idx="82">
                  <c:v>42.36</c:v>
                </c:pt>
                <c:pt idx="83">
                  <c:v>43.7</c:v>
                </c:pt>
                <c:pt idx="84">
                  <c:v>44.55</c:v>
                </c:pt>
                <c:pt idx="85">
                  <c:v>41.47</c:v>
                </c:pt>
                <c:pt idx="86">
                  <c:v>42.43</c:v>
                </c:pt>
                <c:pt idx="87">
                  <c:v>43.59</c:v>
                </c:pt>
                <c:pt idx="88">
                  <c:v>41.52</c:v>
                </c:pt>
                <c:pt idx="89">
                  <c:v>39.21</c:v>
                </c:pt>
                <c:pt idx="90">
                  <c:v>41.66</c:v>
                </c:pt>
                <c:pt idx="91">
                  <c:v>39.11</c:v>
                </c:pt>
                <c:pt idx="92">
                  <c:v>49.54</c:v>
                </c:pt>
                <c:pt idx="93">
                  <c:v>49.46</c:v>
                </c:pt>
                <c:pt idx="94">
                  <c:v>49.68</c:v>
                </c:pt>
                <c:pt idx="95">
                  <c:v>51.36</c:v>
                </c:pt>
                <c:pt idx="96">
                  <c:v>48.59</c:v>
                </c:pt>
                <c:pt idx="97">
                  <c:v>48.73</c:v>
                </c:pt>
                <c:pt idx="98">
                  <c:v>50.88</c:v>
                </c:pt>
                <c:pt idx="99">
                  <c:v>51.52</c:v>
                </c:pt>
                <c:pt idx="100">
                  <c:v>51.85</c:v>
                </c:pt>
                <c:pt idx="101">
                  <c:v>49.73</c:v>
                </c:pt>
                <c:pt idx="102">
                  <c:v>48.72</c:v>
                </c:pt>
                <c:pt idx="103">
                  <c:v>46.82</c:v>
                </c:pt>
                <c:pt idx="104">
                  <c:v>47.04</c:v>
                </c:pt>
                <c:pt idx="105">
                  <c:v>48.17</c:v>
                </c:pt>
                <c:pt idx="106">
                  <c:v>48.51</c:v>
                </c:pt>
                <c:pt idx="107">
                  <c:v>50.21</c:v>
                </c:pt>
                <c:pt idx="108">
                  <c:v>51.86</c:v>
                </c:pt>
                <c:pt idx="109">
                  <c:v>51.87</c:v>
                </c:pt>
                <c:pt idx="110">
                  <c:v>53.23</c:v>
                </c:pt>
                <c:pt idx="111">
                  <c:v>54.51</c:v>
                </c:pt>
                <c:pt idx="112">
                  <c:v>53.05</c:v>
                </c:pt>
                <c:pt idx="113">
                  <c:v>52.2</c:v>
                </c:pt>
                <c:pt idx="114">
                  <c:v>54.64</c:v>
                </c:pt>
                <c:pt idx="115">
                  <c:v>55.16</c:v>
                </c:pt>
                <c:pt idx="116">
                  <c:v>55.88</c:v>
                </c:pt>
                <c:pt idx="117">
                  <c:v>56.05</c:v>
                </c:pt>
                <c:pt idx="118">
                  <c:v>56.01</c:v>
                </c:pt>
                <c:pt idx="119">
                  <c:v>56.65</c:v>
                </c:pt>
                <c:pt idx="120">
                  <c:v>56.75</c:v>
                </c:pt>
                <c:pt idx="121">
                  <c:v>53.48</c:v>
                </c:pt>
                <c:pt idx="122">
                  <c:v>54.36</c:v>
                </c:pt>
                <c:pt idx="123">
                  <c:v>54</c:v>
                </c:pt>
                <c:pt idx="124">
                  <c:v>53.82</c:v>
                </c:pt>
                <c:pt idx="125">
                  <c:v>54.28</c:v>
                </c:pt>
                <c:pt idx="126">
                  <c:v>54.73</c:v>
                </c:pt>
                <c:pt idx="127">
                  <c:v>54.74</c:v>
                </c:pt>
                <c:pt idx="128">
                  <c:v>53.95</c:v>
                </c:pt>
                <c:pt idx="129">
                  <c:v>56.11</c:v>
                </c:pt>
                <c:pt idx="130">
                  <c:v>58.9</c:v>
                </c:pt>
                <c:pt idx="131">
                  <c:v>57.13</c:v>
                </c:pt>
                <c:pt idx="132">
                  <c:v>57.52</c:v>
                </c:pt>
                <c:pt idx="133">
                  <c:v>58.26</c:v>
                </c:pt>
                <c:pt idx="134">
                  <c:v>58.94</c:v>
                </c:pt>
                <c:pt idx="135">
                  <c:v>58.33</c:v>
                </c:pt>
                <c:pt idx="136">
                  <c:v>57.36</c:v>
                </c:pt>
                <c:pt idx="137">
                  <c:v>57.24</c:v>
                </c:pt>
                <c:pt idx="138">
                  <c:v>57.53</c:v>
                </c:pt>
                <c:pt idx="139">
                  <c:v>55.89</c:v>
                </c:pt>
                <c:pt idx="140">
                  <c:v>55.59</c:v>
                </c:pt>
                <c:pt idx="141">
                  <c:v>56.57</c:v>
                </c:pt>
                <c:pt idx="142">
                  <c:v>53.98</c:v>
                </c:pt>
                <c:pt idx="143">
                  <c:v>53.1</c:v>
                </c:pt>
                <c:pt idx="144">
                  <c:v>53.35</c:v>
                </c:pt>
                <c:pt idx="145">
                  <c:v>52.8</c:v>
                </c:pt>
                <c:pt idx="146">
                  <c:v>51.95</c:v>
                </c:pt>
                <c:pt idx="147">
                  <c:v>51.82</c:v>
                </c:pt>
                <c:pt idx="148">
                  <c:v>49.85</c:v>
                </c:pt>
                <c:pt idx="149">
                  <c:v>49.11</c:v>
                </c:pt>
                <c:pt idx="150">
                  <c:v>49.31</c:v>
                </c:pt>
                <c:pt idx="151">
                  <c:v>49.72</c:v>
                </c:pt>
                <c:pt idx="152">
                  <c:v>50.2</c:v>
                </c:pt>
                <c:pt idx="153">
                  <c:v>48.65</c:v>
                </c:pt>
                <c:pt idx="154">
                  <c:v>47.74</c:v>
                </c:pt>
                <c:pt idx="155">
                  <c:v>48.59</c:v>
                </c:pt>
                <c:pt idx="156">
                  <c:v>48.5</c:v>
                </c:pt>
                <c:pt idx="157">
                  <c:v>48.03</c:v>
                </c:pt>
                <c:pt idx="158">
                  <c:v>47.76</c:v>
                </c:pt>
                <c:pt idx="159">
                  <c:v>47.13</c:v>
                </c:pt>
                <c:pt idx="160">
                  <c:v>47.1</c:v>
                </c:pt>
                <c:pt idx="161">
                  <c:v>46.87</c:v>
                </c:pt>
                <c:pt idx="162">
                  <c:v>47.89</c:v>
                </c:pt>
                <c:pt idx="163">
                  <c:v>47.07</c:v>
                </c:pt>
                <c:pt idx="164">
                  <c:v>47.74</c:v>
                </c:pt>
                <c:pt idx="165">
                  <c:v>47.79</c:v>
                </c:pt>
                <c:pt idx="166">
                  <c:v>48.26</c:v>
                </c:pt>
                <c:pt idx="167">
                  <c:v>47.22</c:v>
                </c:pt>
                <c:pt idx="168">
                  <c:v>47.25</c:v>
                </c:pt>
                <c:pt idx="169">
                  <c:v>45.24</c:v>
                </c:pt>
                <c:pt idx="170">
                  <c:v>44.92</c:v>
                </c:pt>
                <c:pt idx="171">
                  <c:v>43.54</c:v>
                </c:pt>
                <c:pt idx="172">
                  <c:v>43.58</c:v>
                </c:pt>
                <c:pt idx="173">
                  <c:v>42.82</c:v>
                </c:pt>
                <c:pt idx="174">
                  <c:v>42.84</c:v>
                </c:pt>
                <c:pt idx="175">
                  <c:v>41.33</c:v>
                </c:pt>
                <c:pt idx="176">
                  <c:v>42.56</c:v>
                </c:pt>
                <c:pt idx="177">
                  <c:v>43.11</c:v>
                </c:pt>
                <c:pt idx="178">
                  <c:v>43.01</c:v>
                </c:pt>
                <c:pt idx="179">
                  <c:v>43.45</c:v>
                </c:pt>
                <c:pt idx="180">
                  <c:v>43.08</c:v>
                </c:pt>
                <c:pt idx="181">
                  <c:v>43.46</c:v>
                </c:pt>
                <c:pt idx="182">
                  <c:v>43.72</c:v>
                </c:pt>
                <c:pt idx="183">
                  <c:v>43.46</c:v>
                </c:pt>
                <c:pt idx="184">
                  <c:v>43.45</c:v>
                </c:pt>
                <c:pt idx="185">
                  <c:v>43.57</c:v>
                </c:pt>
                <c:pt idx="186">
                  <c:v>44.07</c:v>
                </c:pt>
                <c:pt idx="187">
                  <c:v>44.05</c:v>
                </c:pt>
                <c:pt idx="188">
                  <c:v>41.94</c:v>
                </c:pt>
                <c:pt idx="189">
                  <c:v>41.98</c:v>
                </c:pt>
                <c:pt idx="190">
                  <c:v>42.28</c:v>
                </c:pt>
                <c:pt idx="191">
                  <c:v>41.57</c:v>
                </c:pt>
                <c:pt idx="192">
                  <c:v>41.6</c:v>
                </c:pt>
                <c:pt idx="193">
                  <c:v>41.93</c:v>
                </c:pt>
                <c:pt idx="194">
                  <c:v>41.82</c:v>
                </c:pt>
                <c:pt idx="195">
                  <c:v>39.380000000000003</c:v>
                </c:pt>
                <c:pt idx="196">
                  <c:v>40.04</c:v>
                </c:pt>
                <c:pt idx="197">
                  <c:v>39.97</c:v>
                </c:pt>
                <c:pt idx="198">
                  <c:v>39.35</c:v>
                </c:pt>
                <c:pt idx="199">
                  <c:v>39.9</c:v>
                </c:pt>
                <c:pt idx="200">
                  <c:v>39.619999999999997</c:v>
                </c:pt>
                <c:pt idx="201">
                  <c:v>40.04</c:v>
                </c:pt>
                <c:pt idx="202">
                  <c:v>39.549999999999997</c:v>
                </c:pt>
                <c:pt idx="203">
                  <c:v>39.369999999999997</c:v>
                </c:pt>
                <c:pt idx="204">
                  <c:v>38.880000000000003</c:v>
                </c:pt>
                <c:pt idx="205">
                  <c:v>38.96</c:v>
                </c:pt>
                <c:pt idx="206">
                  <c:v>39.549999999999997</c:v>
                </c:pt>
                <c:pt idx="207">
                  <c:v>39</c:v>
                </c:pt>
                <c:pt idx="208">
                  <c:v>37.89</c:v>
                </c:pt>
                <c:pt idx="209">
                  <c:v>38.36</c:v>
                </c:pt>
                <c:pt idx="210">
                  <c:v>38.22</c:v>
                </c:pt>
                <c:pt idx="211">
                  <c:v>37.979999999999997</c:v>
                </c:pt>
                <c:pt idx="212">
                  <c:v>38.39</c:v>
                </c:pt>
                <c:pt idx="213">
                  <c:v>38.409999999999997</c:v>
                </c:pt>
                <c:pt idx="214">
                  <c:v>38.71</c:v>
                </c:pt>
                <c:pt idx="215">
                  <c:v>39.24</c:v>
                </c:pt>
                <c:pt idx="216">
                  <c:v>38.5</c:v>
                </c:pt>
                <c:pt idx="217">
                  <c:v>38.090000000000003</c:v>
                </c:pt>
                <c:pt idx="218">
                  <c:v>37.67</c:v>
                </c:pt>
                <c:pt idx="219">
                  <c:v>37.01</c:v>
                </c:pt>
                <c:pt idx="220">
                  <c:v>36.909999999999997</c:v>
                </c:pt>
                <c:pt idx="221">
                  <c:v>36.39</c:v>
                </c:pt>
                <c:pt idx="222">
                  <c:v>36.47</c:v>
                </c:pt>
                <c:pt idx="223">
                  <c:v>36.93</c:v>
                </c:pt>
                <c:pt idx="224">
                  <c:v>37.630000000000003</c:v>
                </c:pt>
                <c:pt idx="225">
                  <c:v>37.74</c:v>
                </c:pt>
                <c:pt idx="226">
                  <c:v>37.450000000000003</c:v>
                </c:pt>
                <c:pt idx="227">
                  <c:v>36.6</c:v>
                </c:pt>
                <c:pt idx="228">
                  <c:v>36.979999999999997</c:v>
                </c:pt>
                <c:pt idx="229">
                  <c:v>36.590000000000003</c:v>
                </c:pt>
                <c:pt idx="230">
                  <c:v>36.04</c:v>
                </c:pt>
                <c:pt idx="231">
                  <c:v>35.799999999999997</c:v>
                </c:pt>
                <c:pt idx="232">
                  <c:v>36.75</c:v>
                </c:pt>
                <c:pt idx="233">
                  <c:v>35.11</c:v>
                </c:pt>
                <c:pt idx="234">
                  <c:v>36.17</c:v>
                </c:pt>
                <c:pt idx="235">
                  <c:v>36.26</c:v>
                </c:pt>
                <c:pt idx="236">
                  <c:v>35.299999999999997</c:v>
                </c:pt>
                <c:pt idx="237">
                  <c:v>36.03</c:v>
                </c:pt>
                <c:pt idx="238">
                  <c:v>36.090000000000003</c:v>
                </c:pt>
                <c:pt idx="239">
                  <c:v>36.35</c:v>
                </c:pt>
                <c:pt idx="240">
                  <c:v>37.5</c:v>
                </c:pt>
                <c:pt idx="241">
                  <c:v>37.229999999999997</c:v>
                </c:pt>
                <c:pt idx="242">
                  <c:v>36.71</c:v>
                </c:pt>
                <c:pt idx="243">
                  <c:v>37.200000000000003</c:v>
                </c:pt>
                <c:pt idx="244">
                  <c:v>36.799999999999997</c:v>
                </c:pt>
                <c:pt idx="245">
                  <c:v>37.26</c:v>
                </c:pt>
                <c:pt idx="246">
                  <c:v>36.479999999999997</c:v>
                </c:pt>
                <c:pt idx="247">
                  <c:v>36.6</c:v>
                </c:pt>
                <c:pt idx="248">
                  <c:v>36.71</c:v>
                </c:pt>
                <c:pt idx="249">
                  <c:v>37.57</c:v>
                </c:pt>
                <c:pt idx="250">
                  <c:v>36.840000000000003</c:v>
                </c:pt>
                <c:pt idx="251">
                  <c:v>37.76</c:v>
                </c:pt>
                <c:pt idx="252">
                  <c:v>38.08</c:v>
                </c:pt>
                <c:pt idx="253">
                  <c:v>37.950000000000003</c:v>
                </c:pt>
                <c:pt idx="254">
                  <c:v>37.659999999999997</c:v>
                </c:pt>
                <c:pt idx="255">
                  <c:v>38.369999999999997</c:v>
                </c:pt>
                <c:pt idx="256">
                  <c:v>37.67</c:v>
                </c:pt>
                <c:pt idx="257">
                  <c:v>38.090000000000003</c:v>
                </c:pt>
                <c:pt idx="258">
                  <c:v>37.83</c:v>
                </c:pt>
                <c:pt idx="259">
                  <c:v>38.06</c:v>
                </c:pt>
                <c:pt idx="260">
                  <c:v>37.24</c:v>
                </c:pt>
                <c:pt idx="261">
                  <c:v>36.94</c:v>
                </c:pt>
                <c:pt idx="262">
                  <c:v>36.49</c:v>
                </c:pt>
                <c:pt idx="263">
                  <c:v>36.479999999999997</c:v>
                </c:pt>
                <c:pt idx="264">
                  <c:v>38.08</c:v>
                </c:pt>
                <c:pt idx="265">
                  <c:v>37.75</c:v>
                </c:pt>
                <c:pt idx="266">
                  <c:v>37.99</c:v>
                </c:pt>
                <c:pt idx="267">
                  <c:v>38.590000000000003</c:v>
                </c:pt>
                <c:pt idx="268">
                  <c:v>38.700000000000003</c:v>
                </c:pt>
                <c:pt idx="269">
                  <c:v>37.89</c:v>
                </c:pt>
                <c:pt idx="270">
                  <c:v>37.96</c:v>
                </c:pt>
                <c:pt idx="271">
                  <c:v>37.31</c:v>
                </c:pt>
                <c:pt idx="272">
                  <c:v>36.19</c:v>
                </c:pt>
                <c:pt idx="273">
                  <c:v>35.47</c:v>
                </c:pt>
                <c:pt idx="274">
                  <c:v>36.159999999999997</c:v>
                </c:pt>
                <c:pt idx="275">
                  <c:v>35.54</c:v>
                </c:pt>
                <c:pt idx="276">
                  <c:v>35.39</c:v>
                </c:pt>
                <c:pt idx="277">
                  <c:v>35.61</c:v>
                </c:pt>
                <c:pt idx="278">
                  <c:v>36.49</c:v>
                </c:pt>
                <c:pt idx="279">
                  <c:v>37.24</c:v>
                </c:pt>
                <c:pt idx="280">
                  <c:v>36.71</c:v>
                </c:pt>
                <c:pt idx="281">
                  <c:v>36.659999999999997</c:v>
                </c:pt>
                <c:pt idx="282">
                  <c:v>36.49</c:v>
                </c:pt>
                <c:pt idx="283">
                  <c:v>36.24</c:v>
                </c:pt>
                <c:pt idx="284">
                  <c:v>35.409999999999997</c:v>
                </c:pt>
                <c:pt idx="285">
                  <c:v>34.909999999999997</c:v>
                </c:pt>
                <c:pt idx="286">
                  <c:v>34.96</c:v>
                </c:pt>
                <c:pt idx="287">
                  <c:v>35.119999999999997</c:v>
                </c:pt>
                <c:pt idx="288">
                  <c:v>35.53</c:v>
                </c:pt>
                <c:pt idx="289">
                  <c:v>35.42</c:v>
                </c:pt>
                <c:pt idx="290">
                  <c:v>34.94</c:v>
                </c:pt>
                <c:pt idx="291">
                  <c:v>34.590000000000003</c:v>
                </c:pt>
                <c:pt idx="292">
                  <c:v>34.74</c:v>
                </c:pt>
                <c:pt idx="293">
                  <c:v>33.799999999999997</c:v>
                </c:pt>
                <c:pt idx="294">
                  <c:v>33.69</c:v>
                </c:pt>
                <c:pt idx="295">
                  <c:v>34.590000000000003</c:v>
                </c:pt>
                <c:pt idx="296">
                  <c:v>35.11</c:v>
                </c:pt>
                <c:pt idx="297">
                  <c:v>34.479999999999997</c:v>
                </c:pt>
                <c:pt idx="298">
                  <c:v>32.99</c:v>
                </c:pt>
                <c:pt idx="299">
                  <c:v>33.24</c:v>
                </c:pt>
                <c:pt idx="300">
                  <c:v>33.92</c:v>
                </c:pt>
                <c:pt idx="301">
                  <c:v>34.18</c:v>
                </c:pt>
                <c:pt idx="302">
                  <c:v>33.909999999999997</c:v>
                </c:pt>
                <c:pt idx="303">
                  <c:v>34.17</c:v>
                </c:pt>
                <c:pt idx="304">
                  <c:v>36.22</c:v>
                </c:pt>
                <c:pt idx="305">
                  <c:v>38.35</c:v>
                </c:pt>
                <c:pt idx="306">
                  <c:v>37.700000000000003</c:v>
                </c:pt>
                <c:pt idx="307">
                  <c:v>37.270000000000003</c:v>
                </c:pt>
                <c:pt idx="308">
                  <c:v>37.409999999999997</c:v>
                </c:pt>
                <c:pt idx="309">
                  <c:v>36.67</c:v>
                </c:pt>
                <c:pt idx="310">
                  <c:v>36.979999999999997</c:v>
                </c:pt>
                <c:pt idx="311">
                  <c:v>38.08</c:v>
                </c:pt>
                <c:pt idx="312">
                  <c:v>42.64</c:v>
                </c:pt>
                <c:pt idx="313">
                  <c:v>43.01</c:v>
                </c:pt>
                <c:pt idx="314">
                  <c:v>42.6</c:v>
                </c:pt>
                <c:pt idx="315">
                  <c:v>42.24</c:v>
                </c:pt>
                <c:pt idx="316">
                  <c:v>43.33</c:v>
                </c:pt>
                <c:pt idx="317">
                  <c:v>43.32</c:v>
                </c:pt>
                <c:pt idx="318">
                  <c:v>43.85</c:v>
                </c:pt>
                <c:pt idx="319">
                  <c:v>43.08</c:v>
                </c:pt>
                <c:pt idx="320">
                  <c:v>41.43</c:v>
                </c:pt>
                <c:pt idx="321">
                  <c:v>41.95</c:v>
                </c:pt>
                <c:pt idx="322">
                  <c:v>42.57</c:v>
                </c:pt>
                <c:pt idx="323">
                  <c:v>42.43</c:v>
                </c:pt>
                <c:pt idx="324">
                  <c:v>42.83</c:v>
                </c:pt>
                <c:pt idx="325">
                  <c:v>43.57</c:v>
                </c:pt>
                <c:pt idx="326">
                  <c:v>42.99</c:v>
                </c:pt>
                <c:pt idx="327">
                  <c:v>42.73</c:v>
                </c:pt>
                <c:pt idx="328">
                  <c:v>40.93</c:v>
                </c:pt>
                <c:pt idx="329">
                  <c:v>40.93</c:v>
                </c:pt>
                <c:pt idx="330">
                  <c:v>40.65</c:v>
                </c:pt>
                <c:pt idx="331">
                  <c:v>41.82</c:v>
                </c:pt>
                <c:pt idx="332">
                  <c:v>41.71</c:v>
                </c:pt>
                <c:pt idx="333">
                  <c:v>42.52</c:v>
                </c:pt>
                <c:pt idx="334">
                  <c:v>42.69</c:v>
                </c:pt>
                <c:pt idx="335">
                  <c:v>42.57</c:v>
                </c:pt>
                <c:pt idx="336">
                  <c:v>41.1</c:v>
                </c:pt>
                <c:pt idx="337">
                  <c:v>41.77</c:v>
                </c:pt>
                <c:pt idx="338">
                  <c:v>41.64</c:v>
                </c:pt>
                <c:pt idx="339">
                  <c:v>41.4</c:v>
                </c:pt>
                <c:pt idx="340">
                  <c:v>42.03</c:v>
                </c:pt>
                <c:pt idx="341">
                  <c:v>41.71</c:v>
                </c:pt>
                <c:pt idx="342">
                  <c:v>41.82</c:v>
                </c:pt>
                <c:pt idx="343">
                  <c:v>41.21</c:v>
                </c:pt>
                <c:pt idx="344">
                  <c:v>39.14</c:v>
                </c:pt>
                <c:pt idx="345">
                  <c:v>38.82</c:v>
                </c:pt>
                <c:pt idx="346">
                  <c:v>38.57</c:v>
                </c:pt>
                <c:pt idx="347">
                  <c:v>38.79</c:v>
                </c:pt>
                <c:pt idx="348">
                  <c:v>38.74</c:v>
                </c:pt>
                <c:pt idx="349">
                  <c:v>38.549999999999997</c:v>
                </c:pt>
                <c:pt idx="350">
                  <c:v>37.72</c:v>
                </c:pt>
                <c:pt idx="351">
                  <c:v>37.43</c:v>
                </c:pt>
                <c:pt idx="352">
                  <c:v>36.42</c:v>
                </c:pt>
                <c:pt idx="353">
                  <c:v>36.590000000000003</c:v>
                </c:pt>
                <c:pt idx="354">
                  <c:v>35.75</c:v>
                </c:pt>
                <c:pt idx="355">
                  <c:v>35.880000000000003</c:v>
                </c:pt>
                <c:pt idx="356">
                  <c:v>36.549999999999997</c:v>
                </c:pt>
                <c:pt idx="357">
                  <c:v>36.5</c:v>
                </c:pt>
                <c:pt idx="358">
                  <c:v>35.979999999999997</c:v>
                </c:pt>
                <c:pt idx="359">
                  <c:v>35.78</c:v>
                </c:pt>
                <c:pt idx="360">
                  <c:v>37.21</c:v>
                </c:pt>
                <c:pt idx="361">
                  <c:v>37.08</c:v>
                </c:pt>
                <c:pt idx="362">
                  <c:v>37</c:v>
                </c:pt>
                <c:pt idx="363">
                  <c:v>37.24</c:v>
                </c:pt>
                <c:pt idx="364">
                  <c:v>37.119999999999997</c:v>
                </c:pt>
                <c:pt idx="365">
                  <c:v>36.299999999999997</c:v>
                </c:pt>
                <c:pt idx="366">
                  <c:v>38.22</c:v>
                </c:pt>
                <c:pt idx="367">
                  <c:v>38.450000000000003</c:v>
                </c:pt>
                <c:pt idx="368">
                  <c:v>38.42</c:v>
                </c:pt>
                <c:pt idx="369">
                  <c:v>39.15</c:v>
                </c:pt>
                <c:pt idx="370">
                  <c:v>38.58</c:v>
                </c:pt>
                <c:pt idx="371">
                  <c:v>37.5</c:v>
                </c:pt>
                <c:pt idx="372">
                  <c:v>36.36</c:v>
                </c:pt>
                <c:pt idx="373">
                  <c:v>36.159999999999997</c:v>
                </c:pt>
                <c:pt idx="374">
                  <c:v>36.200000000000003</c:v>
                </c:pt>
                <c:pt idx="375">
                  <c:v>33.74</c:v>
                </c:pt>
                <c:pt idx="376">
                  <c:v>32.44</c:v>
                </c:pt>
                <c:pt idx="377">
                  <c:v>33.24</c:v>
                </c:pt>
                <c:pt idx="378">
                  <c:v>34.090000000000003</c:v>
                </c:pt>
                <c:pt idx="379">
                  <c:v>34.479999999999997</c:v>
                </c:pt>
                <c:pt idx="380">
                  <c:v>33.520000000000003</c:v>
                </c:pt>
                <c:pt idx="381">
                  <c:v>34.770000000000003</c:v>
                </c:pt>
                <c:pt idx="382">
                  <c:v>32.83</c:v>
                </c:pt>
                <c:pt idx="383">
                  <c:v>30.84</c:v>
                </c:pt>
                <c:pt idx="384">
                  <c:v>32.9</c:v>
                </c:pt>
                <c:pt idx="385">
                  <c:v>33.25</c:v>
                </c:pt>
                <c:pt idx="386">
                  <c:v>33.380000000000003</c:v>
                </c:pt>
                <c:pt idx="387">
                  <c:v>32.340000000000003</c:v>
                </c:pt>
                <c:pt idx="388">
                  <c:v>33.1</c:v>
                </c:pt>
                <c:pt idx="389">
                  <c:v>35.04</c:v>
                </c:pt>
                <c:pt idx="390">
                  <c:v>36.89</c:v>
                </c:pt>
                <c:pt idx="391">
                  <c:v>36.979999999999997</c:v>
                </c:pt>
                <c:pt idx="392">
                  <c:v>36.6</c:v>
                </c:pt>
                <c:pt idx="393">
                  <c:v>35.56</c:v>
                </c:pt>
                <c:pt idx="394">
                  <c:v>36.06</c:v>
                </c:pt>
                <c:pt idx="395">
                  <c:v>37.51</c:v>
                </c:pt>
                <c:pt idx="396">
                  <c:v>37.14</c:v>
                </c:pt>
                <c:pt idx="397">
                  <c:v>37.340000000000003</c:v>
                </c:pt>
                <c:pt idx="398">
                  <c:v>36.979999999999997</c:v>
                </c:pt>
                <c:pt idx="399">
                  <c:v>37.44</c:v>
                </c:pt>
                <c:pt idx="400">
                  <c:v>36.26</c:v>
                </c:pt>
                <c:pt idx="401">
                  <c:v>38.14</c:v>
                </c:pt>
                <c:pt idx="402">
                  <c:v>38.25</c:v>
                </c:pt>
                <c:pt idx="403">
                  <c:v>37.78</c:v>
                </c:pt>
                <c:pt idx="404">
                  <c:v>41.9</c:v>
                </c:pt>
                <c:pt idx="405">
                  <c:v>41.45</c:v>
                </c:pt>
                <c:pt idx="406">
                  <c:v>39.49</c:v>
                </c:pt>
                <c:pt idx="407">
                  <c:v>38.700000000000003</c:v>
                </c:pt>
                <c:pt idx="408">
                  <c:v>40.44</c:v>
                </c:pt>
                <c:pt idx="409">
                  <c:v>40.47</c:v>
                </c:pt>
                <c:pt idx="410">
                  <c:v>41.37</c:v>
                </c:pt>
                <c:pt idx="411">
                  <c:v>42.75</c:v>
                </c:pt>
                <c:pt idx="412">
                  <c:v>42.34</c:v>
                </c:pt>
                <c:pt idx="413">
                  <c:v>41.45</c:v>
                </c:pt>
                <c:pt idx="414">
                  <c:v>40.64</c:v>
                </c:pt>
                <c:pt idx="415">
                  <c:v>38.49</c:v>
                </c:pt>
                <c:pt idx="416">
                  <c:v>36.58</c:v>
                </c:pt>
                <c:pt idx="417">
                  <c:v>41.41</c:v>
                </c:pt>
                <c:pt idx="418">
                  <c:v>45.81</c:v>
                </c:pt>
                <c:pt idx="419">
                  <c:v>45.43</c:v>
                </c:pt>
                <c:pt idx="420">
                  <c:v>45.43</c:v>
                </c:pt>
                <c:pt idx="421">
                  <c:v>44.5</c:v>
                </c:pt>
                <c:pt idx="422">
                  <c:v>43.68</c:v>
                </c:pt>
                <c:pt idx="423">
                  <c:v>44.91</c:v>
                </c:pt>
                <c:pt idx="424">
                  <c:v>45.42</c:v>
                </c:pt>
                <c:pt idx="425">
                  <c:v>46.07</c:v>
                </c:pt>
                <c:pt idx="426">
                  <c:v>45.55</c:v>
                </c:pt>
                <c:pt idx="427">
                  <c:v>45.96</c:v>
                </c:pt>
                <c:pt idx="428">
                  <c:v>44.01</c:v>
                </c:pt>
                <c:pt idx="429">
                  <c:v>44.38</c:v>
                </c:pt>
                <c:pt idx="430">
                  <c:v>43.13</c:v>
                </c:pt>
                <c:pt idx="431">
                  <c:v>42.17</c:v>
                </c:pt>
                <c:pt idx="432">
                  <c:v>42.24</c:v>
                </c:pt>
                <c:pt idx="433">
                  <c:v>41.42</c:v>
                </c:pt>
                <c:pt idx="434">
                  <c:v>39.31</c:v>
                </c:pt>
                <c:pt idx="435">
                  <c:v>38.51</c:v>
                </c:pt>
                <c:pt idx="436">
                  <c:v>38.96</c:v>
                </c:pt>
                <c:pt idx="437">
                  <c:v>38.07</c:v>
                </c:pt>
                <c:pt idx="438">
                  <c:v>37.79</c:v>
                </c:pt>
                <c:pt idx="439">
                  <c:v>36.9</c:v>
                </c:pt>
                <c:pt idx="440">
                  <c:v>35.96</c:v>
                </c:pt>
                <c:pt idx="441">
                  <c:v>36.340000000000003</c:v>
                </c:pt>
                <c:pt idx="442">
                  <c:v>36.57</c:v>
                </c:pt>
                <c:pt idx="443">
                  <c:v>36.46</c:v>
                </c:pt>
                <c:pt idx="444">
                  <c:v>37.369999999999997</c:v>
                </c:pt>
                <c:pt idx="445">
                  <c:v>37.97</c:v>
                </c:pt>
                <c:pt idx="446">
                  <c:v>39.26</c:v>
                </c:pt>
                <c:pt idx="447">
                  <c:v>37.229999999999997</c:v>
                </c:pt>
                <c:pt idx="448">
                  <c:v>37.51</c:v>
                </c:pt>
                <c:pt idx="449">
                  <c:v>37.799999999999997</c:v>
                </c:pt>
                <c:pt idx="450">
                  <c:v>39.409999999999997</c:v>
                </c:pt>
                <c:pt idx="451">
                  <c:v>40.04</c:v>
                </c:pt>
                <c:pt idx="452">
                  <c:v>39.47</c:v>
                </c:pt>
                <c:pt idx="453">
                  <c:v>39.19</c:v>
                </c:pt>
                <c:pt idx="454">
                  <c:v>39.4</c:v>
                </c:pt>
                <c:pt idx="455">
                  <c:v>38.96</c:v>
                </c:pt>
                <c:pt idx="456">
                  <c:v>35.92</c:v>
                </c:pt>
                <c:pt idx="457">
                  <c:v>36.479999999999997</c:v>
                </c:pt>
                <c:pt idx="458">
                  <c:v>37.57</c:v>
                </c:pt>
                <c:pt idx="459">
                  <c:v>37.53</c:v>
                </c:pt>
                <c:pt idx="460">
                  <c:v>39.880000000000003</c:v>
                </c:pt>
                <c:pt idx="461">
                  <c:v>39.03</c:v>
                </c:pt>
                <c:pt idx="462">
                  <c:v>39.46</c:v>
                </c:pt>
                <c:pt idx="463">
                  <c:v>38.119999999999997</c:v>
                </c:pt>
                <c:pt idx="464">
                  <c:v>36.619999999999997</c:v>
                </c:pt>
                <c:pt idx="465">
                  <c:v>35.840000000000003</c:v>
                </c:pt>
                <c:pt idx="466">
                  <c:v>35.909999999999997</c:v>
                </c:pt>
                <c:pt idx="467">
                  <c:v>36.97</c:v>
                </c:pt>
                <c:pt idx="468">
                  <c:v>36.89</c:v>
                </c:pt>
                <c:pt idx="469">
                  <c:v>35.76</c:v>
                </c:pt>
                <c:pt idx="470">
                  <c:v>36.08</c:v>
                </c:pt>
                <c:pt idx="471">
                  <c:v>34.36</c:v>
                </c:pt>
                <c:pt idx="472">
                  <c:v>35.49</c:v>
                </c:pt>
                <c:pt idx="473">
                  <c:v>36.74</c:v>
                </c:pt>
                <c:pt idx="474">
                  <c:v>38.19</c:v>
                </c:pt>
                <c:pt idx="475">
                  <c:v>38.47</c:v>
                </c:pt>
                <c:pt idx="476">
                  <c:v>38.42</c:v>
                </c:pt>
                <c:pt idx="477">
                  <c:v>36.17</c:v>
                </c:pt>
                <c:pt idx="478">
                  <c:v>37.4</c:v>
                </c:pt>
                <c:pt idx="479">
                  <c:v>37.54</c:v>
                </c:pt>
                <c:pt idx="480">
                  <c:v>37.54</c:v>
                </c:pt>
                <c:pt idx="481">
                  <c:v>35.6</c:v>
                </c:pt>
                <c:pt idx="482">
                  <c:v>35.94</c:v>
                </c:pt>
                <c:pt idx="483">
                  <c:v>36.07</c:v>
                </c:pt>
                <c:pt idx="484">
                  <c:v>36.340000000000003</c:v>
                </c:pt>
                <c:pt idx="485">
                  <c:v>38.86</c:v>
                </c:pt>
                <c:pt idx="486">
                  <c:v>40.99</c:v>
                </c:pt>
                <c:pt idx="487">
                  <c:v>41.82</c:v>
                </c:pt>
                <c:pt idx="488">
                  <c:v>41.38</c:v>
                </c:pt>
                <c:pt idx="489">
                  <c:v>47.24</c:v>
                </c:pt>
                <c:pt idx="490">
                  <c:v>47.86</c:v>
                </c:pt>
                <c:pt idx="491">
                  <c:v>45.95</c:v>
                </c:pt>
                <c:pt idx="492">
                  <c:v>46.11</c:v>
                </c:pt>
                <c:pt idx="493">
                  <c:v>44.42</c:v>
                </c:pt>
                <c:pt idx="494">
                  <c:v>45.07</c:v>
                </c:pt>
                <c:pt idx="495">
                  <c:v>45.91</c:v>
                </c:pt>
                <c:pt idx="496">
                  <c:v>48.5</c:v>
                </c:pt>
                <c:pt idx="497">
                  <c:v>46.86</c:v>
                </c:pt>
                <c:pt idx="498">
                  <c:v>42.58</c:v>
                </c:pt>
                <c:pt idx="499">
                  <c:v>48.45</c:v>
                </c:pt>
                <c:pt idx="500">
                  <c:v>49.49</c:v>
                </c:pt>
                <c:pt idx="501">
                  <c:v>46.82</c:v>
                </c:pt>
                <c:pt idx="502">
                  <c:v>48.76</c:v>
                </c:pt>
                <c:pt idx="503">
                  <c:v>49.11</c:v>
                </c:pt>
                <c:pt idx="504">
                  <c:v>47.07</c:v>
                </c:pt>
                <c:pt idx="505">
                  <c:v>46.77</c:v>
                </c:pt>
                <c:pt idx="506">
                  <c:v>43.5</c:v>
                </c:pt>
                <c:pt idx="507">
                  <c:v>45.39</c:v>
                </c:pt>
                <c:pt idx="508">
                  <c:v>46.38</c:v>
                </c:pt>
                <c:pt idx="509">
                  <c:v>43.75</c:v>
                </c:pt>
                <c:pt idx="510">
                  <c:v>41.97</c:v>
                </c:pt>
                <c:pt idx="511">
                  <c:v>40.32</c:v>
                </c:pt>
                <c:pt idx="512">
                  <c:v>43.16</c:v>
                </c:pt>
                <c:pt idx="513">
                  <c:v>42.92</c:v>
                </c:pt>
                <c:pt idx="514">
                  <c:v>44.3</c:v>
                </c:pt>
                <c:pt idx="515">
                  <c:v>47.71</c:v>
                </c:pt>
                <c:pt idx="516">
                  <c:v>49.24</c:v>
                </c:pt>
                <c:pt idx="517">
                  <c:v>49.15</c:v>
                </c:pt>
                <c:pt idx="518">
                  <c:v>49.59</c:v>
                </c:pt>
                <c:pt idx="519">
                  <c:v>48.14</c:v>
                </c:pt>
                <c:pt idx="520">
                  <c:v>45.59</c:v>
                </c:pt>
                <c:pt idx="521">
                  <c:v>46.48</c:v>
                </c:pt>
                <c:pt idx="522">
                  <c:v>45.44</c:v>
                </c:pt>
                <c:pt idx="523">
                  <c:v>45.79</c:v>
                </c:pt>
                <c:pt idx="524">
                  <c:v>43.9</c:v>
                </c:pt>
                <c:pt idx="525">
                  <c:v>41.25</c:v>
                </c:pt>
                <c:pt idx="526">
                  <c:v>41.44</c:v>
                </c:pt>
                <c:pt idx="527">
                  <c:v>43.02</c:v>
                </c:pt>
                <c:pt idx="528">
                  <c:v>39.47</c:v>
                </c:pt>
                <c:pt idx="529">
                  <c:v>41.2</c:v>
                </c:pt>
                <c:pt idx="530">
                  <c:v>37.11</c:v>
                </c:pt>
                <c:pt idx="531">
                  <c:v>37.26</c:v>
                </c:pt>
                <c:pt idx="532">
                  <c:v>38.979999999999997</c:v>
                </c:pt>
                <c:pt idx="533">
                  <c:v>37.06</c:v>
                </c:pt>
                <c:pt idx="534">
                  <c:v>36.42</c:v>
                </c:pt>
                <c:pt idx="535">
                  <c:v>37.01</c:v>
                </c:pt>
                <c:pt idx="536">
                  <c:v>37.06</c:v>
                </c:pt>
                <c:pt idx="537">
                  <c:v>38.74</c:v>
                </c:pt>
                <c:pt idx="538">
                  <c:v>35.74</c:v>
                </c:pt>
                <c:pt idx="539">
                  <c:v>39.380000000000003</c:v>
                </c:pt>
                <c:pt idx="540">
                  <c:v>38.25</c:v>
                </c:pt>
                <c:pt idx="541">
                  <c:v>40.36</c:v>
                </c:pt>
                <c:pt idx="542">
                  <c:v>43.65</c:v>
                </c:pt>
                <c:pt idx="543">
                  <c:v>44.19</c:v>
                </c:pt>
                <c:pt idx="544">
                  <c:v>44.73</c:v>
                </c:pt>
                <c:pt idx="545">
                  <c:v>52.53</c:v>
                </c:pt>
                <c:pt idx="546">
                  <c:v>47.97</c:v>
                </c:pt>
                <c:pt idx="547">
                  <c:v>47.72</c:v>
                </c:pt>
                <c:pt idx="548">
                  <c:v>45.76</c:v>
                </c:pt>
                <c:pt idx="549">
                  <c:v>46.55</c:v>
                </c:pt>
                <c:pt idx="550">
                  <c:v>46.94</c:v>
                </c:pt>
                <c:pt idx="551">
                  <c:v>49.69</c:v>
                </c:pt>
                <c:pt idx="552">
                  <c:v>53.66</c:v>
                </c:pt>
                <c:pt idx="553">
                  <c:v>52.16</c:v>
                </c:pt>
                <c:pt idx="554">
                  <c:v>47.41</c:v>
                </c:pt>
                <c:pt idx="555">
                  <c:v>45.06</c:v>
                </c:pt>
                <c:pt idx="556">
                  <c:v>45.56</c:v>
                </c:pt>
                <c:pt idx="557">
                  <c:v>46.24</c:v>
                </c:pt>
                <c:pt idx="558">
                  <c:v>43.3</c:v>
                </c:pt>
                <c:pt idx="559">
                  <c:v>39.14</c:v>
                </c:pt>
                <c:pt idx="560">
                  <c:v>41.58</c:v>
                </c:pt>
                <c:pt idx="561">
                  <c:v>38.450000000000003</c:v>
                </c:pt>
                <c:pt idx="562">
                  <c:v>40.07</c:v>
                </c:pt>
                <c:pt idx="563">
                  <c:v>42.32</c:v>
                </c:pt>
                <c:pt idx="564">
                  <c:v>43.08</c:v>
                </c:pt>
                <c:pt idx="565">
                  <c:v>44.84</c:v>
                </c:pt>
                <c:pt idx="566">
                  <c:v>48.49</c:v>
                </c:pt>
                <c:pt idx="567">
                  <c:v>45.95</c:v>
                </c:pt>
                <c:pt idx="568">
                  <c:v>46.74</c:v>
                </c:pt>
                <c:pt idx="569">
                  <c:v>46.3</c:v>
                </c:pt>
                <c:pt idx="570">
                  <c:v>47.32</c:v>
                </c:pt>
                <c:pt idx="571">
                  <c:v>48.64</c:v>
                </c:pt>
              </c:numCache>
            </c:numRef>
          </c:val>
        </c:ser>
        <c:ser>
          <c:idx val="1"/>
          <c:order val="1"/>
          <c:tx>
            <c:v>Intrinsic Value</c:v>
          </c:tx>
          <c:spPr>
            <a:ln w="12700">
              <a:solidFill>
                <a:srgbClr val="FF7C80"/>
              </a:solidFill>
            </a:ln>
          </c:spPr>
          <c:marker>
            <c:symbol val="none"/>
          </c:marker>
          <c:cat>
            <c:numRef>
              <c:f>PriceValueGraph!$E$38:$E$387</c:f>
              <c:numCache>
                <c:formatCode>m/d/yyyy</c:formatCode>
                <c:ptCount val="350"/>
                <c:pt idx="0" formatCode="m/d/yyyy;@">
                  <c:v>40365</c:v>
                </c:pt>
                <c:pt idx="1">
                  <c:v>40357</c:v>
                </c:pt>
                <c:pt idx="2">
                  <c:v>40350</c:v>
                </c:pt>
                <c:pt idx="3">
                  <c:v>40343</c:v>
                </c:pt>
                <c:pt idx="4">
                  <c:v>40336</c:v>
                </c:pt>
                <c:pt idx="5">
                  <c:v>40330</c:v>
                </c:pt>
                <c:pt idx="6">
                  <c:v>40322</c:v>
                </c:pt>
                <c:pt idx="7">
                  <c:v>40315</c:v>
                </c:pt>
                <c:pt idx="8">
                  <c:v>40308</c:v>
                </c:pt>
                <c:pt idx="9">
                  <c:v>40301</c:v>
                </c:pt>
                <c:pt idx="10">
                  <c:v>40294</c:v>
                </c:pt>
                <c:pt idx="11">
                  <c:v>40287</c:v>
                </c:pt>
                <c:pt idx="12">
                  <c:v>40280</c:v>
                </c:pt>
                <c:pt idx="13">
                  <c:v>40273</c:v>
                </c:pt>
                <c:pt idx="14">
                  <c:v>40266</c:v>
                </c:pt>
                <c:pt idx="15">
                  <c:v>40259</c:v>
                </c:pt>
                <c:pt idx="16">
                  <c:v>40252</c:v>
                </c:pt>
                <c:pt idx="17">
                  <c:v>40245</c:v>
                </c:pt>
                <c:pt idx="18">
                  <c:v>40238</c:v>
                </c:pt>
                <c:pt idx="19">
                  <c:v>40231</c:v>
                </c:pt>
                <c:pt idx="20">
                  <c:v>40225</c:v>
                </c:pt>
                <c:pt idx="21">
                  <c:v>40217</c:v>
                </c:pt>
                <c:pt idx="22">
                  <c:v>40210</c:v>
                </c:pt>
                <c:pt idx="23">
                  <c:v>40203</c:v>
                </c:pt>
                <c:pt idx="24">
                  <c:v>40197</c:v>
                </c:pt>
                <c:pt idx="25">
                  <c:v>40189</c:v>
                </c:pt>
                <c:pt idx="26">
                  <c:v>40182</c:v>
                </c:pt>
                <c:pt idx="27">
                  <c:v>40175</c:v>
                </c:pt>
                <c:pt idx="28">
                  <c:v>40168</c:v>
                </c:pt>
                <c:pt idx="29">
                  <c:v>40161</c:v>
                </c:pt>
                <c:pt idx="30">
                  <c:v>40154</c:v>
                </c:pt>
                <c:pt idx="31">
                  <c:v>40147</c:v>
                </c:pt>
                <c:pt idx="32">
                  <c:v>40140</c:v>
                </c:pt>
                <c:pt idx="33">
                  <c:v>40133</c:v>
                </c:pt>
                <c:pt idx="34">
                  <c:v>40126</c:v>
                </c:pt>
                <c:pt idx="35">
                  <c:v>40119</c:v>
                </c:pt>
                <c:pt idx="36">
                  <c:v>40112</c:v>
                </c:pt>
                <c:pt idx="37">
                  <c:v>40105</c:v>
                </c:pt>
                <c:pt idx="38">
                  <c:v>40098</c:v>
                </c:pt>
                <c:pt idx="39">
                  <c:v>40091</c:v>
                </c:pt>
                <c:pt idx="40">
                  <c:v>40084</c:v>
                </c:pt>
                <c:pt idx="41">
                  <c:v>40077</c:v>
                </c:pt>
                <c:pt idx="42">
                  <c:v>40070</c:v>
                </c:pt>
                <c:pt idx="43">
                  <c:v>40064</c:v>
                </c:pt>
                <c:pt idx="44">
                  <c:v>40056</c:v>
                </c:pt>
                <c:pt idx="45">
                  <c:v>40049</c:v>
                </c:pt>
                <c:pt idx="46">
                  <c:v>40042</c:v>
                </c:pt>
                <c:pt idx="47">
                  <c:v>40035</c:v>
                </c:pt>
                <c:pt idx="48">
                  <c:v>40028</c:v>
                </c:pt>
                <c:pt idx="49">
                  <c:v>40021</c:v>
                </c:pt>
                <c:pt idx="50">
                  <c:v>40014</c:v>
                </c:pt>
                <c:pt idx="51">
                  <c:v>40007</c:v>
                </c:pt>
                <c:pt idx="52">
                  <c:v>40000</c:v>
                </c:pt>
                <c:pt idx="53">
                  <c:v>39993</c:v>
                </c:pt>
                <c:pt idx="54">
                  <c:v>39986</c:v>
                </c:pt>
                <c:pt idx="55">
                  <c:v>39979</c:v>
                </c:pt>
                <c:pt idx="56">
                  <c:v>39972</c:v>
                </c:pt>
                <c:pt idx="57">
                  <c:v>39965</c:v>
                </c:pt>
                <c:pt idx="58">
                  <c:v>39959</c:v>
                </c:pt>
                <c:pt idx="59">
                  <c:v>39951</c:v>
                </c:pt>
                <c:pt idx="60">
                  <c:v>39944</c:v>
                </c:pt>
                <c:pt idx="61">
                  <c:v>39937</c:v>
                </c:pt>
                <c:pt idx="62">
                  <c:v>39930</c:v>
                </c:pt>
                <c:pt idx="63">
                  <c:v>39923</c:v>
                </c:pt>
                <c:pt idx="64">
                  <c:v>39916</c:v>
                </c:pt>
                <c:pt idx="65">
                  <c:v>39909</c:v>
                </c:pt>
                <c:pt idx="66">
                  <c:v>39902</c:v>
                </c:pt>
                <c:pt idx="67">
                  <c:v>39895</c:v>
                </c:pt>
                <c:pt idx="68">
                  <c:v>39888</c:v>
                </c:pt>
                <c:pt idx="69">
                  <c:v>39881</c:v>
                </c:pt>
                <c:pt idx="70">
                  <c:v>39874</c:v>
                </c:pt>
                <c:pt idx="71">
                  <c:v>39867</c:v>
                </c:pt>
                <c:pt idx="72">
                  <c:v>39861</c:v>
                </c:pt>
                <c:pt idx="73">
                  <c:v>39853</c:v>
                </c:pt>
                <c:pt idx="74">
                  <c:v>39846</c:v>
                </c:pt>
                <c:pt idx="75">
                  <c:v>39839</c:v>
                </c:pt>
                <c:pt idx="76">
                  <c:v>39833</c:v>
                </c:pt>
                <c:pt idx="77">
                  <c:v>39825</c:v>
                </c:pt>
                <c:pt idx="78">
                  <c:v>39818</c:v>
                </c:pt>
                <c:pt idx="79">
                  <c:v>39811</c:v>
                </c:pt>
                <c:pt idx="80">
                  <c:v>39804</c:v>
                </c:pt>
                <c:pt idx="81">
                  <c:v>39797</c:v>
                </c:pt>
                <c:pt idx="82">
                  <c:v>39790</c:v>
                </c:pt>
                <c:pt idx="83">
                  <c:v>39783</c:v>
                </c:pt>
                <c:pt idx="84">
                  <c:v>39776</c:v>
                </c:pt>
                <c:pt idx="85">
                  <c:v>39769</c:v>
                </c:pt>
                <c:pt idx="86">
                  <c:v>39762</c:v>
                </c:pt>
                <c:pt idx="87">
                  <c:v>39755</c:v>
                </c:pt>
                <c:pt idx="88">
                  <c:v>39748</c:v>
                </c:pt>
                <c:pt idx="89">
                  <c:v>39741</c:v>
                </c:pt>
                <c:pt idx="90">
                  <c:v>39734</c:v>
                </c:pt>
                <c:pt idx="91">
                  <c:v>39727</c:v>
                </c:pt>
                <c:pt idx="92">
                  <c:v>39720</c:v>
                </c:pt>
                <c:pt idx="93">
                  <c:v>39713</c:v>
                </c:pt>
                <c:pt idx="94">
                  <c:v>39706</c:v>
                </c:pt>
                <c:pt idx="95">
                  <c:v>39699</c:v>
                </c:pt>
                <c:pt idx="96">
                  <c:v>39693</c:v>
                </c:pt>
                <c:pt idx="97">
                  <c:v>39685</c:v>
                </c:pt>
                <c:pt idx="98">
                  <c:v>39678</c:v>
                </c:pt>
                <c:pt idx="99">
                  <c:v>39671</c:v>
                </c:pt>
                <c:pt idx="100">
                  <c:v>39664</c:v>
                </c:pt>
                <c:pt idx="101">
                  <c:v>39657</c:v>
                </c:pt>
                <c:pt idx="102">
                  <c:v>39650</c:v>
                </c:pt>
                <c:pt idx="103">
                  <c:v>39643</c:v>
                </c:pt>
                <c:pt idx="104">
                  <c:v>39636</c:v>
                </c:pt>
                <c:pt idx="105">
                  <c:v>39629</c:v>
                </c:pt>
                <c:pt idx="106">
                  <c:v>39622</c:v>
                </c:pt>
                <c:pt idx="107">
                  <c:v>39615</c:v>
                </c:pt>
                <c:pt idx="108">
                  <c:v>39608</c:v>
                </c:pt>
                <c:pt idx="109">
                  <c:v>39601</c:v>
                </c:pt>
                <c:pt idx="110">
                  <c:v>39595</c:v>
                </c:pt>
                <c:pt idx="111">
                  <c:v>39587</c:v>
                </c:pt>
                <c:pt idx="112">
                  <c:v>39580</c:v>
                </c:pt>
                <c:pt idx="113">
                  <c:v>39573</c:v>
                </c:pt>
                <c:pt idx="114">
                  <c:v>39566</c:v>
                </c:pt>
                <c:pt idx="115">
                  <c:v>39559</c:v>
                </c:pt>
                <c:pt idx="116">
                  <c:v>39552</c:v>
                </c:pt>
                <c:pt idx="117">
                  <c:v>39545</c:v>
                </c:pt>
                <c:pt idx="118">
                  <c:v>39538</c:v>
                </c:pt>
                <c:pt idx="119">
                  <c:v>39531</c:v>
                </c:pt>
                <c:pt idx="120">
                  <c:v>39524</c:v>
                </c:pt>
                <c:pt idx="121">
                  <c:v>39517</c:v>
                </c:pt>
                <c:pt idx="122">
                  <c:v>39510</c:v>
                </c:pt>
                <c:pt idx="123">
                  <c:v>39503</c:v>
                </c:pt>
                <c:pt idx="124">
                  <c:v>39497</c:v>
                </c:pt>
                <c:pt idx="125">
                  <c:v>39489</c:v>
                </c:pt>
                <c:pt idx="126">
                  <c:v>39482</c:v>
                </c:pt>
                <c:pt idx="127">
                  <c:v>39475</c:v>
                </c:pt>
                <c:pt idx="128">
                  <c:v>39469</c:v>
                </c:pt>
                <c:pt idx="129">
                  <c:v>39461</c:v>
                </c:pt>
                <c:pt idx="130">
                  <c:v>39454</c:v>
                </c:pt>
                <c:pt idx="131">
                  <c:v>39447</c:v>
                </c:pt>
                <c:pt idx="132">
                  <c:v>39440</c:v>
                </c:pt>
                <c:pt idx="133">
                  <c:v>39433</c:v>
                </c:pt>
                <c:pt idx="134">
                  <c:v>39426</c:v>
                </c:pt>
                <c:pt idx="135">
                  <c:v>39419</c:v>
                </c:pt>
                <c:pt idx="136">
                  <c:v>39412</c:v>
                </c:pt>
                <c:pt idx="137">
                  <c:v>39405</c:v>
                </c:pt>
                <c:pt idx="138">
                  <c:v>39398</c:v>
                </c:pt>
                <c:pt idx="139">
                  <c:v>39391</c:v>
                </c:pt>
                <c:pt idx="140">
                  <c:v>39384</c:v>
                </c:pt>
                <c:pt idx="141">
                  <c:v>39377</c:v>
                </c:pt>
                <c:pt idx="142">
                  <c:v>39370</c:v>
                </c:pt>
                <c:pt idx="143">
                  <c:v>39363</c:v>
                </c:pt>
                <c:pt idx="144">
                  <c:v>39356</c:v>
                </c:pt>
                <c:pt idx="145">
                  <c:v>39349</c:v>
                </c:pt>
                <c:pt idx="146">
                  <c:v>39342</c:v>
                </c:pt>
                <c:pt idx="147">
                  <c:v>39335</c:v>
                </c:pt>
                <c:pt idx="148">
                  <c:v>39329</c:v>
                </c:pt>
                <c:pt idx="149">
                  <c:v>39321</c:v>
                </c:pt>
                <c:pt idx="150">
                  <c:v>39314</c:v>
                </c:pt>
                <c:pt idx="151">
                  <c:v>39307</c:v>
                </c:pt>
                <c:pt idx="152">
                  <c:v>39300</c:v>
                </c:pt>
                <c:pt idx="153">
                  <c:v>39293</c:v>
                </c:pt>
                <c:pt idx="154">
                  <c:v>39286</c:v>
                </c:pt>
                <c:pt idx="155">
                  <c:v>39279</c:v>
                </c:pt>
                <c:pt idx="156">
                  <c:v>39272</c:v>
                </c:pt>
                <c:pt idx="157">
                  <c:v>39265</c:v>
                </c:pt>
                <c:pt idx="158">
                  <c:v>39258</c:v>
                </c:pt>
                <c:pt idx="159">
                  <c:v>39251</c:v>
                </c:pt>
                <c:pt idx="160">
                  <c:v>39244</c:v>
                </c:pt>
                <c:pt idx="161">
                  <c:v>39237</c:v>
                </c:pt>
                <c:pt idx="162">
                  <c:v>39231</c:v>
                </c:pt>
                <c:pt idx="163">
                  <c:v>39223</c:v>
                </c:pt>
                <c:pt idx="164">
                  <c:v>39216</c:v>
                </c:pt>
                <c:pt idx="165">
                  <c:v>39209</c:v>
                </c:pt>
                <c:pt idx="166">
                  <c:v>39202</c:v>
                </c:pt>
                <c:pt idx="167">
                  <c:v>39195</c:v>
                </c:pt>
                <c:pt idx="168">
                  <c:v>39188</c:v>
                </c:pt>
                <c:pt idx="169">
                  <c:v>39181</c:v>
                </c:pt>
                <c:pt idx="170">
                  <c:v>39174</c:v>
                </c:pt>
                <c:pt idx="171">
                  <c:v>39167</c:v>
                </c:pt>
                <c:pt idx="172">
                  <c:v>39160</c:v>
                </c:pt>
                <c:pt idx="173">
                  <c:v>39153</c:v>
                </c:pt>
                <c:pt idx="174">
                  <c:v>39146</c:v>
                </c:pt>
                <c:pt idx="175">
                  <c:v>39139</c:v>
                </c:pt>
                <c:pt idx="176">
                  <c:v>39133</c:v>
                </c:pt>
                <c:pt idx="177">
                  <c:v>39125</c:v>
                </c:pt>
                <c:pt idx="178">
                  <c:v>39118</c:v>
                </c:pt>
                <c:pt idx="179">
                  <c:v>39111</c:v>
                </c:pt>
                <c:pt idx="180">
                  <c:v>39104</c:v>
                </c:pt>
                <c:pt idx="181">
                  <c:v>39098</c:v>
                </c:pt>
                <c:pt idx="182">
                  <c:v>39090</c:v>
                </c:pt>
                <c:pt idx="183">
                  <c:v>39085</c:v>
                </c:pt>
                <c:pt idx="184">
                  <c:v>39077</c:v>
                </c:pt>
                <c:pt idx="185">
                  <c:v>39069</c:v>
                </c:pt>
                <c:pt idx="186">
                  <c:v>39062</c:v>
                </c:pt>
                <c:pt idx="187">
                  <c:v>39055</c:v>
                </c:pt>
                <c:pt idx="188">
                  <c:v>39048</c:v>
                </c:pt>
                <c:pt idx="189">
                  <c:v>39041</c:v>
                </c:pt>
                <c:pt idx="190">
                  <c:v>39034</c:v>
                </c:pt>
                <c:pt idx="191">
                  <c:v>39027</c:v>
                </c:pt>
                <c:pt idx="192">
                  <c:v>39020</c:v>
                </c:pt>
                <c:pt idx="193">
                  <c:v>39013</c:v>
                </c:pt>
                <c:pt idx="194">
                  <c:v>39006</c:v>
                </c:pt>
                <c:pt idx="195">
                  <c:v>38999</c:v>
                </c:pt>
                <c:pt idx="196">
                  <c:v>38992</c:v>
                </c:pt>
                <c:pt idx="197">
                  <c:v>38985</c:v>
                </c:pt>
                <c:pt idx="198">
                  <c:v>38978</c:v>
                </c:pt>
                <c:pt idx="199">
                  <c:v>38971</c:v>
                </c:pt>
                <c:pt idx="200">
                  <c:v>38965</c:v>
                </c:pt>
                <c:pt idx="201">
                  <c:v>38957</c:v>
                </c:pt>
                <c:pt idx="202">
                  <c:v>38950</c:v>
                </c:pt>
                <c:pt idx="203">
                  <c:v>38943</c:v>
                </c:pt>
                <c:pt idx="204">
                  <c:v>38936</c:v>
                </c:pt>
                <c:pt idx="205">
                  <c:v>38929</c:v>
                </c:pt>
                <c:pt idx="206">
                  <c:v>38922</c:v>
                </c:pt>
                <c:pt idx="207">
                  <c:v>38915</c:v>
                </c:pt>
                <c:pt idx="208">
                  <c:v>38908</c:v>
                </c:pt>
                <c:pt idx="209">
                  <c:v>38901</c:v>
                </c:pt>
                <c:pt idx="210">
                  <c:v>38894</c:v>
                </c:pt>
                <c:pt idx="211">
                  <c:v>38887</c:v>
                </c:pt>
                <c:pt idx="212">
                  <c:v>38880</c:v>
                </c:pt>
                <c:pt idx="213">
                  <c:v>38873</c:v>
                </c:pt>
                <c:pt idx="214">
                  <c:v>38867</c:v>
                </c:pt>
                <c:pt idx="215">
                  <c:v>38859</c:v>
                </c:pt>
                <c:pt idx="216">
                  <c:v>38852</c:v>
                </c:pt>
                <c:pt idx="217">
                  <c:v>38845</c:v>
                </c:pt>
                <c:pt idx="218">
                  <c:v>38838</c:v>
                </c:pt>
                <c:pt idx="219">
                  <c:v>38831</c:v>
                </c:pt>
                <c:pt idx="220">
                  <c:v>38824</c:v>
                </c:pt>
                <c:pt idx="221">
                  <c:v>38817</c:v>
                </c:pt>
                <c:pt idx="222">
                  <c:v>38810</c:v>
                </c:pt>
                <c:pt idx="223">
                  <c:v>38803</c:v>
                </c:pt>
                <c:pt idx="224">
                  <c:v>38796</c:v>
                </c:pt>
                <c:pt idx="225">
                  <c:v>38789</c:v>
                </c:pt>
                <c:pt idx="226">
                  <c:v>38782</c:v>
                </c:pt>
                <c:pt idx="227">
                  <c:v>38775</c:v>
                </c:pt>
                <c:pt idx="228">
                  <c:v>38769</c:v>
                </c:pt>
                <c:pt idx="229">
                  <c:v>38761</c:v>
                </c:pt>
                <c:pt idx="230">
                  <c:v>38754</c:v>
                </c:pt>
                <c:pt idx="231">
                  <c:v>38747</c:v>
                </c:pt>
                <c:pt idx="232">
                  <c:v>38740</c:v>
                </c:pt>
                <c:pt idx="233">
                  <c:v>38734</c:v>
                </c:pt>
                <c:pt idx="234">
                  <c:v>38726</c:v>
                </c:pt>
                <c:pt idx="235">
                  <c:v>38720</c:v>
                </c:pt>
                <c:pt idx="236">
                  <c:v>38713</c:v>
                </c:pt>
                <c:pt idx="237">
                  <c:v>38705</c:v>
                </c:pt>
                <c:pt idx="238">
                  <c:v>38698</c:v>
                </c:pt>
                <c:pt idx="239">
                  <c:v>38691</c:v>
                </c:pt>
                <c:pt idx="240">
                  <c:v>38684</c:v>
                </c:pt>
                <c:pt idx="241">
                  <c:v>38677</c:v>
                </c:pt>
                <c:pt idx="242">
                  <c:v>38670</c:v>
                </c:pt>
                <c:pt idx="243">
                  <c:v>38663</c:v>
                </c:pt>
                <c:pt idx="244">
                  <c:v>38656</c:v>
                </c:pt>
                <c:pt idx="245">
                  <c:v>38649</c:v>
                </c:pt>
                <c:pt idx="246">
                  <c:v>38642</c:v>
                </c:pt>
                <c:pt idx="247">
                  <c:v>38635</c:v>
                </c:pt>
                <c:pt idx="248">
                  <c:v>38628</c:v>
                </c:pt>
                <c:pt idx="249">
                  <c:v>38621</c:v>
                </c:pt>
                <c:pt idx="250">
                  <c:v>38614</c:v>
                </c:pt>
                <c:pt idx="251">
                  <c:v>38607</c:v>
                </c:pt>
                <c:pt idx="252">
                  <c:v>38601</c:v>
                </c:pt>
                <c:pt idx="253">
                  <c:v>38593</c:v>
                </c:pt>
                <c:pt idx="254">
                  <c:v>38586</c:v>
                </c:pt>
                <c:pt idx="255">
                  <c:v>38579</c:v>
                </c:pt>
                <c:pt idx="256">
                  <c:v>38572</c:v>
                </c:pt>
                <c:pt idx="257">
                  <c:v>38565</c:v>
                </c:pt>
                <c:pt idx="258">
                  <c:v>38558</c:v>
                </c:pt>
                <c:pt idx="259">
                  <c:v>38551</c:v>
                </c:pt>
                <c:pt idx="260">
                  <c:v>38544</c:v>
                </c:pt>
                <c:pt idx="261">
                  <c:v>38538</c:v>
                </c:pt>
                <c:pt idx="262">
                  <c:v>38530</c:v>
                </c:pt>
                <c:pt idx="263">
                  <c:v>38523</c:v>
                </c:pt>
                <c:pt idx="264">
                  <c:v>38516</c:v>
                </c:pt>
                <c:pt idx="265">
                  <c:v>38509</c:v>
                </c:pt>
                <c:pt idx="266">
                  <c:v>38503</c:v>
                </c:pt>
                <c:pt idx="267">
                  <c:v>38495</c:v>
                </c:pt>
                <c:pt idx="268">
                  <c:v>38488</c:v>
                </c:pt>
                <c:pt idx="269">
                  <c:v>38481</c:v>
                </c:pt>
                <c:pt idx="270">
                  <c:v>38474</c:v>
                </c:pt>
                <c:pt idx="271">
                  <c:v>38467</c:v>
                </c:pt>
                <c:pt idx="272">
                  <c:v>38460</c:v>
                </c:pt>
                <c:pt idx="273">
                  <c:v>38453</c:v>
                </c:pt>
                <c:pt idx="274">
                  <c:v>38446</c:v>
                </c:pt>
                <c:pt idx="275">
                  <c:v>38439</c:v>
                </c:pt>
                <c:pt idx="276">
                  <c:v>38432</c:v>
                </c:pt>
                <c:pt idx="277">
                  <c:v>38425</c:v>
                </c:pt>
                <c:pt idx="278">
                  <c:v>38418</c:v>
                </c:pt>
                <c:pt idx="279">
                  <c:v>38411</c:v>
                </c:pt>
                <c:pt idx="280">
                  <c:v>38405</c:v>
                </c:pt>
                <c:pt idx="281">
                  <c:v>38397</c:v>
                </c:pt>
                <c:pt idx="282">
                  <c:v>38390</c:v>
                </c:pt>
                <c:pt idx="283">
                  <c:v>38383</c:v>
                </c:pt>
                <c:pt idx="284">
                  <c:v>38376</c:v>
                </c:pt>
                <c:pt idx="285">
                  <c:v>38370</c:v>
                </c:pt>
                <c:pt idx="286">
                  <c:v>38362</c:v>
                </c:pt>
                <c:pt idx="287">
                  <c:v>38355</c:v>
                </c:pt>
                <c:pt idx="288">
                  <c:v>38348</c:v>
                </c:pt>
                <c:pt idx="289">
                  <c:v>38341</c:v>
                </c:pt>
                <c:pt idx="290">
                  <c:v>38334</c:v>
                </c:pt>
                <c:pt idx="291">
                  <c:v>38327</c:v>
                </c:pt>
                <c:pt idx="292">
                  <c:v>38320</c:v>
                </c:pt>
                <c:pt idx="293">
                  <c:v>38313</c:v>
                </c:pt>
                <c:pt idx="294">
                  <c:v>38306</c:v>
                </c:pt>
                <c:pt idx="295">
                  <c:v>38299</c:v>
                </c:pt>
                <c:pt idx="296">
                  <c:v>38292</c:v>
                </c:pt>
                <c:pt idx="297">
                  <c:v>38285</c:v>
                </c:pt>
                <c:pt idx="298">
                  <c:v>38278</c:v>
                </c:pt>
                <c:pt idx="299">
                  <c:v>38271</c:v>
                </c:pt>
                <c:pt idx="300">
                  <c:v>38264</c:v>
                </c:pt>
                <c:pt idx="301">
                  <c:v>38257</c:v>
                </c:pt>
                <c:pt idx="302">
                  <c:v>38250</c:v>
                </c:pt>
                <c:pt idx="303">
                  <c:v>38243</c:v>
                </c:pt>
                <c:pt idx="304">
                  <c:v>38237</c:v>
                </c:pt>
                <c:pt idx="305">
                  <c:v>38229</c:v>
                </c:pt>
                <c:pt idx="306">
                  <c:v>38222</c:v>
                </c:pt>
                <c:pt idx="307">
                  <c:v>38215</c:v>
                </c:pt>
                <c:pt idx="308">
                  <c:v>38208</c:v>
                </c:pt>
                <c:pt idx="309">
                  <c:v>38201</c:v>
                </c:pt>
                <c:pt idx="310">
                  <c:v>38194</c:v>
                </c:pt>
                <c:pt idx="311">
                  <c:v>38187</c:v>
                </c:pt>
                <c:pt idx="312">
                  <c:v>38180</c:v>
                </c:pt>
                <c:pt idx="313">
                  <c:v>38174</c:v>
                </c:pt>
                <c:pt idx="314">
                  <c:v>38166</c:v>
                </c:pt>
                <c:pt idx="315">
                  <c:v>38159</c:v>
                </c:pt>
                <c:pt idx="316">
                  <c:v>38152</c:v>
                </c:pt>
                <c:pt idx="317">
                  <c:v>38145</c:v>
                </c:pt>
                <c:pt idx="318">
                  <c:v>38139</c:v>
                </c:pt>
                <c:pt idx="319">
                  <c:v>38131</c:v>
                </c:pt>
                <c:pt idx="320">
                  <c:v>38124</c:v>
                </c:pt>
                <c:pt idx="321">
                  <c:v>38117</c:v>
                </c:pt>
                <c:pt idx="322">
                  <c:v>38110</c:v>
                </c:pt>
                <c:pt idx="323">
                  <c:v>38103</c:v>
                </c:pt>
                <c:pt idx="324">
                  <c:v>38096</c:v>
                </c:pt>
                <c:pt idx="325">
                  <c:v>38089</c:v>
                </c:pt>
                <c:pt idx="326">
                  <c:v>38082</c:v>
                </c:pt>
                <c:pt idx="327">
                  <c:v>38075</c:v>
                </c:pt>
                <c:pt idx="328">
                  <c:v>38068</c:v>
                </c:pt>
                <c:pt idx="329">
                  <c:v>38061</c:v>
                </c:pt>
                <c:pt idx="330">
                  <c:v>38054</c:v>
                </c:pt>
                <c:pt idx="331">
                  <c:v>38047</c:v>
                </c:pt>
                <c:pt idx="332">
                  <c:v>38040</c:v>
                </c:pt>
                <c:pt idx="333">
                  <c:v>38034</c:v>
                </c:pt>
                <c:pt idx="334">
                  <c:v>38026</c:v>
                </c:pt>
                <c:pt idx="335">
                  <c:v>38019</c:v>
                </c:pt>
                <c:pt idx="336">
                  <c:v>38012</c:v>
                </c:pt>
                <c:pt idx="337">
                  <c:v>38006</c:v>
                </c:pt>
                <c:pt idx="338">
                  <c:v>37998</c:v>
                </c:pt>
                <c:pt idx="339">
                  <c:v>37991</c:v>
                </c:pt>
                <c:pt idx="340">
                  <c:v>37984</c:v>
                </c:pt>
                <c:pt idx="341">
                  <c:v>37977</c:v>
                </c:pt>
                <c:pt idx="342">
                  <c:v>37970</c:v>
                </c:pt>
                <c:pt idx="343">
                  <c:v>37963</c:v>
                </c:pt>
                <c:pt idx="344">
                  <c:v>37956</c:v>
                </c:pt>
                <c:pt idx="345">
                  <c:v>37949</c:v>
                </c:pt>
                <c:pt idx="346">
                  <c:v>37942</c:v>
                </c:pt>
                <c:pt idx="347">
                  <c:v>37935</c:v>
                </c:pt>
                <c:pt idx="348">
                  <c:v>37928</c:v>
                </c:pt>
                <c:pt idx="349">
                  <c:v>37921</c:v>
                </c:pt>
              </c:numCache>
            </c:numRef>
          </c:cat>
          <c:val>
            <c:numRef>
              <c:f>PriceValueGraph!$H$38:$H$614</c:f>
              <c:numCache>
                <c:formatCode>"$"#,##0.00_);[Red]\("$"#,##0.00\)</c:formatCode>
                <c:ptCount val="577"/>
                <c:pt idx="0">
                  <c:v>33.053477080716441</c:v>
                </c:pt>
                <c:pt idx="1">
                  <c:v>33.053477080716441</c:v>
                </c:pt>
                <c:pt idx="2">
                  <c:v>33.053477080716441</c:v>
                </c:pt>
                <c:pt idx="3">
                  <c:v>33.053477080716441</c:v>
                </c:pt>
                <c:pt idx="4">
                  <c:v>33.053477080716441</c:v>
                </c:pt>
                <c:pt idx="5">
                  <c:v>33.053477080716441</c:v>
                </c:pt>
                <c:pt idx="6">
                  <c:v>33.053477080716441</c:v>
                </c:pt>
                <c:pt idx="7">
                  <c:v>33.053477080716441</c:v>
                </c:pt>
                <c:pt idx="8">
                  <c:v>33.053477080716441</c:v>
                </c:pt>
                <c:pt idx="9">
                  <c:v>33.053477080716441</c:v>
                </c:pt>
                <c:pt idx="10">
                  <c:v>33.053477080716441</c:v>
                </c:pt>
                <c:pt idx="11">
                  <c:v>33.053477080716441</c:v>
                </c:pt>
                <c:pt idx="12">
                  <c:v>33.053477080716441</c:v>
                </c:pt>
                <c:pt idx="13">
                  <c:v>33.053477080716441</c:v>
                </c:pt>
                <c:pt idx="14">
                  <c:v>33.053477080716441</c:v>
                </c:pt>
                <c:pt idx="15">
                  <c:v>33.053477080716441</c:v>
                </c:pt>
                <c:pt idx="16">
                  <c:v>33.053477080716441</c:v>
                </c:pt>
                <c:pt idx="17">
                  <c:v>33.053477080716441</c:v>
                </c:pt>
                <c:pt idx="18">
                  <c:v>33.053477080716441</c:v>
                </c:pt>
                <c:pt idx="19">
                  <c:v>33.053477080716441</c:v>
                </c:pt>
                <c:pt idx="20">
                  <c:v>33.053477080716441</c:v>
                </c:pt>
                <c:pt idx="21">
                  <c:v>33.053477080716441</c:v>
                </c:pt>
                <c:pt idx="22">
                  <c:v>33.053477080716441</c:v>
                </c:pt>
                <c:pt idx="23">
                  <c:v>33.053477080716441</c:v>
                </c:pt>
                <c:pt idx="24">
                  <c:v>33.053477080716441</c:v>
                </c:pt>
                <c:pt idx="25">
                  <c:v>33.053477080716441</c:v>
                </c:pt>
                <c:pt idx="26">
                  <c:v>33.053477080716441</c:v>
                </c:pt>
                <c:pt idx="27">
                  <c:v>33.053477080716441</c:v>
                </c:pt>
                <c:pt idx="28">
                  <c:v>33.053477080716441</c:v>
                </c:pt>
                <c:pt idx="29">
                  <c:v>33.053477080716441</c:v>
                </c:pt>
                <c:pt idx="30">
                  <c:v>33.053477080716441</c:v>
                </c:pt>
                <c:pt idx="31">
                  <c:v>33.053477080716441</c:v>
                </c:pt>
                <c:pt idx="32">
                  <c:v>33.053477080716441</c:v>
                </c:pt>
                <c:pt idx="33">
                  <c:v>33.053477080716441</c:v>
                </c:pt>
                <c:pt idx="34">
                  <c:v>33.053477080716441</c:v>
                </c:pt>
                <c:pt idx="35">
                  <c:v>33.053477080716441</c:v>
                </c:pt>
                <c:pt idx="36">
                  <c:v>33.053477080716441</c:v>
                </c:pt>
                <c:pt idx="37">
                  <c:v>33.053477080716441</c:v>
                </c:pt>
                <c:pt idx="38">
                  <c:v>33.053477080716441</c:v>
                </c:pt>
                <c:pt idx="39">
                  <c:v>33.053477080716441</c:v>
                </c:pt>
                <c:pt idx="40">
                  <c:v>33.053477080716441</c:v>
                </c:pt>
                <c:pt idx="41">
                  <c:v>33.053477080716441</c:v>
                </c:pt>
                <c:pt idx="42">
                  <c:v>33.053477080716441</c:v>
                </c:pt>
                <c:pt idx="43">
                  <c:v>33.053477080716441</c:v>
                </c:pt>
                <c:pt idx="44">
                  <c:v>33.053477080716441</c:v>
                </c:pt>
                <c:pt idx="45">
                  <c:v>33.053477080716441</c:v>
                </c:pt>
                <c:pt idx="46">
                  <c:v>33.053477080716441</c:v>
                </c:pt>
                <c:pt idx="47">
                  <c:v>33.053477080716441</c:v>
                </c:pt>
                <c:pt idx="48">
                  <c:v>33.053477080716441</c:v>
                </c:pt>
                <c:pt idx="49">
                  <c:v>33.053477080716441</c:v>
                </c:pt>
                <c:pt idx="50">
                  <c:v>33.053477080716441</c:v>
                </c:pt>
                <c:pt idx="51">
                  <c:v>33.053477080716441</c:v>
                </c:pt>
                <c:pt idx="52">
                  <c:v>33.053477080716441</c:v>
                </c:pt>
                <c:pt idx="53">
                  <c:v>33.053477080716441</c:v>
                </c:pt>
                <c:pt idx="54">
                  <c:v>33.053477080716441</c:v>
                </c:pt>
                <c:pt idx="55">
                  <c:v>33.053477080716441</c:v>
                </c:pt>
                <c:pt idx="56">
                  <c:v>31.624802453213427</c:v>
                </c:pt>
                <c:pt idx="57">
                  <c:v>31.624802453213427</c:v>
                </c:pt>
                <c:pt idx="58">
                  <c:v>31.624802453213427</c:v>
                </c:pt>
                <c:pt idx="59">
                  <c:v>31.624802453213427</c:v>
                </c:pt>
                <c:pt idx="60">
                  <c:v>31.624802453213427</c:v>
                </c:pt>
                <c:pt idx="61">
                  <c:v>31.624802453213427</c:v>
                </c:pt>
                <c:pt idx="62">
                  <c:v>31.624802453213427</c:v>
                </c:pt>
                <c:pt idx="63">
                  <c:v>31.624802453213427</c:v>
                </c:pt>
                <c:pt idx="64">
                  <c:v>31.624802453213427</c:v>
                </c:pt>
                <c:pt idx="65">
                  <c:v>31.624802453213427</c:v>
                </c:pt>
                <c:pt idx="66">
                  <c:v>31.624802453213427</c:v>
                </c:pt>
                <c:pt idx="67">
                  <c:v>31.624802453213427</c:v>
                </c:pt>
                <c:pt idx="68">
                  <c:v>31.624802453213427</c:v>
                </c:pt>
                <c:pt idx="69">
                  <c:v>31.624802453213427</c:v>
                </c:pt>
                <c:pt idx="70">
                  <c:v>31.624802453213427</c:v>
                </c:pt>
                <c:pt idx="71">
                  <c:v>31.624802453213427</c:v>
                </c:pt>
                <c:pt idx="72">
                  <c:v>31.624802453213427</c:v>
                </c:pt>
                <c:pt idx="73">
                  <c:v>31.624802453213427</c:v>
                </c:pt>
                <c:pt idx="74">
                  <c:v>31.624802453213427</c:v>
                </c:pt>
                <c:pt idx="75">
                  <c:v>31.624802453213427</c:v>
                </c:pt>
                <c:pt idx="76">
                  <c:v>31.624802453213427</c:v>
                </c:pt>
                <c:pt idx="77">
                  <c:v>31.624802453213427</c:v>
                </c:pt>
                <c:pt idx="78">
                  <c:v>31.624802453213427</c:v>
                </c:pt>
                <c:pt idx="79">
                  <c:v>31.624802453213427</c:v>
                </c:pt>
                <c:pt idx="80">
                  <c:v>31.624802453213427</c:v>
                </c:pt>
                <c:pt idx="81">
                  <c:v>31.624802453213427</c:v>
                </c:pt>
                <c:pt idx="82">
                  <c:v>31.624802453213427</c:v>
                </c:pt>
                <c:pt idx="83">
                  <c:v>31.624802453213427</c:v>
                </c:pt>
                <c:pt idx="84">
                  <c:v>31.624802453213427</c:v>
                </c:pt>
                <c:pt idx="85">
                  <c:v>31.624802453213427</c:v>
                </c:pt>
                <c:pt idx="86">
                  <c:v>31.624802453213427</c:v>
                </c:pt>
                <c:pt idx="87">
                  <c:v>31.624802453213427</c:v>
                </c:pt>
                <c:pt idx="88">
                  <c:v>31.624802453213427</c:v>
                </c:pt>
                <c:pt idx="89">
                  <c:v>31.624802453213427</c:v>
                </c:pt>
                <c:pt idx="90">
                  <c:v>31.624802453213427</c:v>
                </c:pt>
                <c:pt idx="91">
                  <c:v>31.624802453213427</c:v>
                </c:pt>
                <c:pt idx="92">
                  <c:v>31.624802453213427</c:v>
                </c:pt>
                <c:pt idx="93">
                  <c:v>31.624802453213427</c:v>
                </c:pt>
                <c:pt idx="94">
                  <c:v>31.624802453213427</c:v>
                </c:pt>
                <c:pt idx="95">
                  <c:v>31.624802453213427</c:v>
                </c:pt>
                <c:pt idx="96">
                  <c:v>31.624802453213427</c:v>
                </c:pt>
                <c:pt idx="97">
                  <c:v>31.624802453213427</c:v>
                </c:pt>
                <c:pt idx="98">
                  <c:v>31.624802453213427</c:v>
                </c:pt>
                <c:pt idx="99">
                  <c:v>31.624802453213427</c:v>
                </c:pt>
                <c:pt idx="100">
                  <c:v>31.624802453213427</c:v>
                </c:pt>
                <c:pt idx="101">
                  <c:v>31.624802453213427</c:v>
                </c:pt>
                <c:pt idx="102">
                  <c:v>31.624802453213427</c:v>
                </c:pt>
                <c:pt idx="103">
                  <c:v>31.624802453213427</c:v>
                </c:pt>
                <c:pt idx="104">
                  <c:v>31.624802453213427</c:v>
                </c:pt>
                <c:pt idx="105">
                  <c:v>31.624802453213427</c:v>
                </c:pt>
                <c:pt idx="106">
                  <c:v>31.624802453213427</c:v>
                </c:pt>
                <c:pt idx="107">
                  <c:v>31.624802453213427</c:v>
                </c:pt>
                <c:pt idx="108">
                  <c:v>28.417226102965973</c:v>
                </c:pt>
                <c:pt idx="109">
                  <c:v>28.417226102965973</c:v>
                </c:pt>
                <c:pt idx="110">
                  <c:v>28.417226102965973</c:v>
                </c:pt>
                <c:pt idx="111">
                  <c:v>28.417226102965973</c:v>
                </c:pt>
                <c:pt idx="112">
                  <c:v>28.417226102965973</c:v>
                </c:pt>
                <c:pt idx="113">
                  <c:v>28.417226102965973</c:v>
                </c:pt>
                <c:pt idx="114">
                  <c:v>28.417226102965973</c:v>
                </c:pt>
                <c:pt idx="115">
                  <c:v>28.417226102965973</c:v>
                </c:pt>
                <c:pt idx="116">
                  <c:v>28.417226102965973</c:v>
                </c:pt>
                <c:pt idx="117">
                  <c:v>28.417226102965973</c:v>
                </c:pt>
                <c:pt idx="118">
                  <c:v>28.417226102965973</c:v>
                </c:pt>
                <c:pt idx="119">
                  <c:v>28.417226102965973</c:v>
                </c:pt>
                <c:pt idx="120">
                  <c:v>28.417226102965973</c:v>
                </c:pt>
                <c:pt idx="121">
                  <c:v>28.417226102965973</c:v>
                </c:pt>
                <c:pt idx="122">
                  <c:v>28.417226102965973</c:v>
                </c:pt>
                <c:pt idx="123">
                  <c:v>28.417226102965973</c:v>
                </c:pt>
                <c:pt idx="124">
                  <c:v>28.417226102965973</c:v>
                </c:pt>
                <c:pt idx="125">
                  <c:v>28.417226102965973</c:v>
                </c:pt>
                <c:pt idx="126">
                  <c:v>28.417226102965973</c:v>
                </c:pt>
                <c:pt idx="127">
                  <c:v>28.417226102965973</c:v>
                </c:pt>
                <c:pt idx="128">
                  <c:v>28.417226102965973</c:v>
                </c:pt>
                <c:pt idx="129">
                  <c:v>28.417226102965973</c:v>
                </c:pt>
                <c:pt idx="130">
                  <c:v>28.417226102965973</c:v>
                </c:pt>
                <c:pt idx="131">
                  <c:v>28.417226102965973</c:v>
                </c:pt>
                <c:pt idx="132">
                  <c:v>28.417226102965973</c:v>
                </c:pt>
                <c:pt idx="133">
                  <c:v>28.417226102965973</c:v>
                </c:pt>
                <c:pt idx="134">
                  <c:v>28.417226102965973</c:v>
                </c:pt>
                <c:pt idx="135">
                  <c:v>28.417226102965973</c:v>
                </c:pt>
                <c:pt idx="136">
                  <c:v>28.417226102965973</c:v>
                </c:pt>
                <c:pt idx="137">
                  <c:v>28.417226102965973</c:v>
                </c:pt>
                <c:pt idx="138">
                  <c:v>28.417226102965973</c:v>
                </c:pt>
                <c:pt idx="139">
                  <c:v>28.417226102965973</c:v>
                </c:pt>
                <c:pt idx="140">
                  <c:v>28.417226102965973</c:v>
                </c:pt>
                <c:pt idx="141">
                  <c:v>28.417226102965973</c:v>
                </c:pt>
                <c:pt idx="142">
                  <c:v>28.417226102965973</c:v>
                </c:pt>
                <c:pt idx="143">
                  <c:v>28.417226102965973</c:v>
                </c:pt>
                <c:pt idx="144">
                  <c:v>28.417226102965973</c:v>
                </c:pt>
                <c:pt idx="145">
                  <c:v>28.417226102965973</c:v>
                </c:pt>
                <c:pt idx="146">
                  <c:v>28.417226102965973</c:v>
                </c:pt>
                <c:pt idx="147">
                  <c:v>28.417226102965973</c:v>
                </c:pt>
                <c:pt idx="148">
                  <c:v>28.417226102965973</c:v>
                </c:pt>
                <c:pt idx="149">
                  <c:v>28.417226102965973</c:v>
                </c:pt>
                <c:pt idx="150">
                  <c:v>28.417226102965973</c:v>
                </c:pt>
                <c:pt idx="151">
                  <c:v>28.417226102965973</c:v>
                </c:pt>
                <c:pt idx="152">
                  <c:v>28.417226102965973</c:v>
                </c:pt>
                <c:pt idx="153">
                  <c:v>28.417226102965973</c:v>
                </c:pt>
                <c:pt idx="154">
                  <c:v>28.417226102965973</c:v>
                </c:pt>
                <c:pt idx="155">
                  <c:v>28.417226102965973</c:v>
                </c:pt>
                <c:pt idx="156">
                  <c:v>28.417226102965973</c:v>
                </c:pt>
                <c:pt idx="157">
                  <c:v>28.417226102965973</c:v>
                </c:pt>
                <c:pt idx="158">
                  <c:v>28.417226102965973</c:v>
                </c:pt>
                <c:pt idx="159">
                  <c:v>28.417226102965973</c:v>
                </c:pt>
                <c:pt idx="160">
                  <c:v>28.074084635210632</c:v>
                </c:pt>
                <c:pt idx="161">
                  <c:v>28.074084635210632</c:v>
                </c:pt>
                <c:pt idx="162">
                  <c:v>28.074084635210632</c:v>
                </c:pt>
                <c:pt idx="163">
                  <c:v>28.074084635210632</c:v>
                </c:pt>
                <c:pt idx="164">
                  <c:v>28.074084635210632</c:v>
                </c:pt>
                <c:pt idx="165">
                  <c:v>28.074084635210632</c:v>
                </c:pt>
                <c:pt idx="166">
                  <c:v>28.074084635210632</c:v>
                </c:pt>
                <c:pt idx="167">
                  <c:v>28.074084635210632</c:v>
                </c:pt>
                <c:pt idx="168">
                  <c:v>28.074084635210632</c:v>
                </c:pt>
                <c:pt idx="169">
                  <c:v>28.074084635210632</c:v>
                </c:pt>
                <c:pt idx="170">
                  <c:v>28.074084635210632</c:v>
                </c:pt>
                <c:pt idx="171">
                  <c:v>28.074084635210632</c:v>
                </c:pt>
                <c:pt idx="172">
                  <c:v>28.074084635210632</c:v>
                </c:pt>
                <c:pt idx="173">
                  <c:v>28.074084635210632</c:v>
                </c:pt>
                <c:pt idx="174">
                  <c:v>28.074084635210632</c:v>
                </c:pt>
                <c:pt idx="175">
                  <c:v>28.074084635210632</c:v>
                </c:pt>
                <c:pt idx="176">
                  <c:v>28.074084635210632</c:v>
                </c:pt>
                <c:pt idx="177">
                  <c:v>28.074084635210632</c:v>
                </c:pt>
                <c:pt idx="178">
                  <c:v>28.074084635210632</c:v>
                </c:pt>
                <c:pt idx="179">
                  <c:v>28.074084635210632</c:v>
                </c:pt>
                <c:pt idx="180">
                  <c:v>28.074084635210632</c:v>
                </c:pt>
                <c:pt idx="181">
                  <c:v>28.074084635210632</c:v>
                </c:pt>
                <c:pt idx="182">
                  <c:v>28.074084635210632</c:v>
                </c:pt>
                <c:pt idx="183">
                  <c:v>28.074084635210632</c:v>
                </c:pt>
                <c:pt idx="184">
                  <c:v>28.074084635210632</c:v>
                </c:pt>
                <c:pt idx="185">
                  <c:v>28.074084635210632</c:v>
                </c:pt>
                <c:pt idx="186">
                  <c:v>28.074084635210632</c:v>
                </c:pt>
                <c:pt idx="187">
                  <c:v>28.074084635210632</c:v>
                </c:pt>
                <c:pt idx="188">
                  <c:v>28.074084635210632</c:v>
                </c:pt>
                <c:pt idx="189">
                  <c:v>28.074084635210632</c:v>
                </c:pt>
                <c:pt idx="190">
                  <c:v>28.074084635210632</c:v>
                </c:pt>
                <c:pt idx="191">
                  <c:v>28.074084635210632</c:v>
                </c:pt>
                <c:pt idx="192">
                  <c:v>28.074084635210632</c:v>
                </c:pt>
                <c:pt idx="193">
                  <c:v>28.074084635210632</c:v>
                </c:pt>
                <c:pt idx="194">
                  <c:v>28.074084635210632</c:v>
                </c:pt>
                <c:pt idx="195">
                  <c:v>28.074084635210632</c:v>
                </c:pt>
                <c:pt idx="196">
                  <c:v>28.074084635210632</c:v>
                </c:pt>
                <c:pt idx="197">
                  <c:v>28.074084635210632</c:v>
                </c:pt>
                <c:pt idx="198">
                  <c:v>28.074084635210632</c:v>
                </c:pt>
                <c:pt idx="199">
                  <c:v>28.074084635210632</c:v>
                </c:pt>
                <c:pt idx="200">
                  <c:v>28.074084635210632</c:v>
                </c:pt>
                <c:pt idx="201">
                  <c:v>28.074084635210632</c:v>
                </c:pt>
                <c:pt idx="202">
                  <c:v>28.074084635210632</c:v>
                </c:pt>
                <c:pt idx="203">
                  <c:v>28.074084635210632</c:v>
                </c:pt>
                <c:pt idx="204">
                  <c:v>28.074084635210632</c:v>
                </c:pt>
                <c:pt idx="205">
                  <c:v>28.074084635210632</c:v>
                </c:pt>
                <c:pt idx="206">
                  <c:v>28.074084635210632</c:v>
                </c:pt>
                <c:pt idx="207">
                  <c:v>28.074084635210632</c:v>
                </c:pt>
                <c:pt idx="208">
                  <c:v>28.074084635210632</c:v>
                </c:pt>
                <c:pt idx="209">
                  <c:v>28.074084635210632</c:v>
                </c:pt>
                <c:pt idx="210">
                  <c:v>28.074084635210632</c:v>
                </c:pt>
                <c:pt idx="211">
                  <c:v>28.074084635210632</c:v>
                </c:pt>
                <c:pt idx="212">
                  <c:v>27.536961845812865</c:v>
                </c:pt>
                <c:pt idx="213">
                  <c:v>27.536961845812865</c:v>
                </c:pt>
                <c:pt idx="214">
                  <c:v>27.536961845812865</c:v>
                </c:pt>
                <c:pt idx="215">
                  <c:v>27.536961845812865</c:v>
                </c:pt>
                <c:pt idx="216">
                  <c:v>27.536961845812865</c:v>
                </c:pt>
                <c:pt idx="217">
                  <c:v>27.536961845812865</c:v>
                </c:pt>
                <c:pt idx="218">
                  <c:v>27.536961845812865</c:v>
                </c:pt>
                <c:pt idx="219">
                  <c:v>27.536961845812865</c:v>
                </c:pt>
                <c:pt idx="220">
                  <c:v>27.536961845812865</c:v>
                </c:pt>
                <c:pt idx="221">
                  <c:v>27.536961845812865</c:v>
                </c:pt>
                <c:pt idx="222">
                  <c:v>27.536961845812865</c:v>
                </c:pt>
                <c:pt idx="223">
                  <c:v>27.536961845812865</c:v>
                </c:pt>
                <c:pt idx="224">
                  <c:v>27.536961845812865</c:v>
                </c:pt>
                <c:pt idx="225">
                  <c:v>27.536961845812865</c:v>
                </c:pt>
                <c:pt idx="226">
                  <c:v>27.536961845812865</c:v>
                </c:pt>
                <c:pt idx="227">
                  <c:v>27.536961845812865</c:v>
                </c:pt>
                <c:pt idx="228">
                  <c:v>27.536961845812865</c:v>
                </c:pt>
                <c:pt idx="229">
                  <c:v>27.536961845812865</c:v>
                </c:pt>
                <c:pt idx="230">
                  <c:v>27.536961845812865</c:v>
                </c:pt>
                <c:pt idx="231">
                  <c:v>27.536961845812865</c:v>
                </c:pt>
                <c:pt idx="232">
                  <c:v>27.536961845812865</c:v>
                </c:pt>
                <c:pt idx="233">
                  <c:v>27.536961845812865</c:v>
                </c:pt>
                <c:pt idx="234">
                  <c:v>27.536961845812865</c:v>
                </c:pt>
                <c:pt idx="235">
                  <c:v>27.536961845812865</c:v>
                </c:pt>
                <c:pt idx="236">
                  <c:v>27.536961845812865</c:v>
                </c:pt>
                <c:pt idx="237">
                  <c:v>27.536961845812865</c:v>
                </c:pt>
                <c:pt idx="238">
                  <c:v>27.536961845812865</c:v>
                </c:pt>
                <c:pt idx="239">
                  <c:v>27.536961845812865</c:v>
                </c:pt>
                <c:pt idx="240">
                  <c:v>27.536961845812865</c:v>
                </c:pt>
                <c:pt idx="241">
                  <c:v>27.536961845812865</c:v>
                </c:pt>
                <c:pt idx="242">
                  <c:v>27.536961845812865</c:v>
                </c:pt>
                <c:pt idx="243">
                  <c:v>27.536961845812865</c:v>
                </c:pt>
                <c:pt idx="244">
                  <c:v>27.536961845812865</c:v>
                </c:pt>
                <c:pt idx="245">
                  <c:v>27.536961845812865</c:v>
                </c:pt>
                <c:pt idx="246">
                  <c:v>27.536961845812865</c:v>
                </c:pt>
                <c:pt idx="247">
                  <c:v>27.536961845812865</c:v>
                </c:pt>
                <c:pt idx="248">
                  <c:v>27.536961845812865</c:v>
                </c:pt>
                <c:pt idx="249">
                  <c:v>27.536961845812865</c:v>
                </c:pt>
                <c:pt idx="250">
                  <c:v>27.536961845812865</c:v>
                </c:pt>
                <c:pt idx="251">
                  <c:v>27.536961845812865</c:v>
                </c:pt>
                <c:pt idx="252">
                  <c:v>27.536961845812865</c:v>
                </c:pt>
                <c:pt idx="253">
                  <c:v>27.536961845812865</c:v>
                </c:pt>
                <c:pt idx="254">
                  <c:v>27.536961845812865</c:v>
                </c:pt>
                <c:pt idx="255">
                  <c:v>27.536961845812865</c:v>
                </c:pt>
                <c:pt idx="256">
                  <c:v>27.536961845812865</c:v>
                </c:pt>
                <c:pt idx="257">
                  <c:v>27.536961845812865</c:v>
                </c:pt>
                <c:pt idx="258">
                  <c:v>27.536961845812865</c:v>
                </c:pt>
                <c:pt idx="259">
                  <c:v>27.536961845812865</c:v>
                </c:pt>
                <c:pt idx="260">
                  <c:v>27.536961845812865</c:v>
                </c:pt>
                <c:pt idx="261">
                  <c:v>27.536961845812865</c:v>
                </c:pt>
                <c:pt idx="262">
                  <c:v>27.536961845812865</c:v>
                </c:pt>
                <c:pt idx="263">
                  <c:v>27.536961845812865</c:v>
                </c:pt>
                <c:pt idx="264">
                  <c:v>26.363239450598495</c:v>
                </c:pt>
                <c:pt idx="265">
                  <c:v>26.363239450598495</c:v>
                </c:pt>
                <c:pt idx="266">
                  <c:v>26.363239450598495</c:v>
                </c:pt>
                <c:pt idx="267">
                  <c:v>26.363239450598495</c:v>
                </c:pt>
                <c:pt idx="268">
                  <c:v>26.363239450598495</c:v>
                </c:pt>
                <c:pt idx="269">
                  <c:v>26.363239450598495</c:v>
                </c:pt>
                <c:pt idx="270">
                  <c:v>26.363239450598495</c:v>
                </c:pt>
                <c:pt idx="271">
                  <c:v>26.363239450598495</c:v>
                </c:pt>
                <c:pt idx="272">
                  <c:v>26.363239450598495</c:v>
                </c:pt>
                <c:pt idx="273">
                  <c:v>26.363239450598495</c:v>
                </c:pt>
                <c:pt idx="274">
                  <c:v>26.363239450598495</c:v>
                </c:pt>
                <c:pt idx="275">
                  <c:v>26.363239450598495</c:v>
                </c:pt>
                <c:pt idx="276">
                  <c:v>26.363239450598495</c:v>
                </c:pt>
                <c:pt idx="277">
                  <c:v>26.363239450598495</c:v>
                </c:pt>
                <c:pt idx="278">
                  <c:v>26.363239450598495</c:v>
                </c:pt>
                <c:pt idx="279">
                  <c:v>26.363239450598495</c:v>
                </c:pt>
                <c:pt idx="280">
                  <c:v>26.363239450598495</c:v>
                </c:pt>
                <c:pt idx="281">
                  <c:v>26.363239450598495</c:v>
                </c:pt>
                <c:pt idx="282">
                  <c:v>26.363239450598495</c:v>
                </c:pt>
                <c:pt idx="283">
                  <c:v>26.363239450598495</c:v>
                </c:pt>
                <c:pt idx="284">
                  <c:v>26.363239450598495</c:v>
                </c:pt>
                <c:pt idx="285">
                  <c:v>26.363239450598495</c:v>
                </c:pt>
                <c:pt idx="286">
                  <c:v>26.363239450598495</c:v>
                </c:pt>
                <c:pt idx="287">
                  <c:v>26.363239450598495</c:v>
                </c:pt>
                <c:pt idx="288">
                  <c:v>26.363239450598495</c:v>
                </c:pt>
                <c:pt idx="289">
                  <c:v>26.363239450598495</c:v>
                </c:pt>
                <c:pt idx="290">
                  <c:v>26.363239450598495</c:v>
                </c:pt>
                <c:pt idx="291">
                  <c:v>26.363239450598495</c:v>
                </c:pt>
                <c:pt idx="292">
                  <c:v>26.363239450598495</c:v>
                </c:pt>
                <c:pt idx="293">
                  <c:v>26.363239450598495</c:v>
                </c:pt>
                <c:pt idx="294">
                  <c:v>26.363239450598495</c:v>
                </c:pt>
                <c:pt idx="295">
                  <c:v>26.363239450598495</c:v>
                </c:pt>
                <c:pt idx="296">
                  <c:v>26.363239450598495</c:v>
                </c:pt>
                <c:pt idx="297">
                  <c:v>26.363239450598495</c:v>
                </c:pt>
                <c:pt idx="298">
                  <c:v>26.363239450598495</c:v>
                </c:pt>
                <c:pt idx="299">
                  <c:v>26.363239450598495</c:v>
                </c:pt>
                <c:pt idx="300">
                  <c:v>26.363239450598495</c:v>
                </c:pt>
                <c:pt idx="301">
                  <c:v>26.363239450598495</c:v>
                </c:pt>
                <c:pt idx="302">
                  <c:v>26.363239450598495</c:v>
                </c:pt>
                <c:pt idx="303">
                  <c:v>26.363239450598495</c:v>
                </c:pt>
                <c:pt idx="304">
                  <c:v>26.363239450598495</c:v>
                </c:pt>
                <c:pt idx="305">
                  <c:v>26.363239450598495</c:v>
                </c:pt>
                <c:pt idx="306">
                  <c:v>26.363239450598495</c:v>
                </c:pt>
                <c:pt idx="307">
                  <c:v>26.363239450598495</c:v>
                </c:pt>
                <c:pt idx="308">
                  <c:v>26.363239450598495</c:v>
                </c:pt>
                <c:pt idx="309">
                  <c:v>26.363239450598495</c:v>
                </c:pt>
                <c:pt idx="310">
                  <c:v>26.363239450598495</c:v>
                </c:pt>
                <c:pt idx="311">
                  <c:v>26.363239450598495</c:v>
                </c:pt>
                <c:pt idx="312">
                  <c:v>26.363239450598495</c:v>
                </c:pt>
                <c:pt idx="313">
                  <c:v>26.363239450598495</c:v>
                </c:pt>
                <c:pt idx="314">
                  <c:v>26.363239450598495</c:v>
                </c:pt>
                <c:pt idx="315">
                  <c:v>26.363239450598495</c:v>
                </c:pt>
                <c:pt idx="316">
                  <c:v>24.9633077578316</c:v>
                </c:pt>
                <c:pt idx="317">
                  <c:v>24.9633077578316</c:v>
                </c:pt>
                <c:pt idx="318">
                  <c:v>24.9633077578316</c:v>
                </c:pt>
                <c:pt idx="319">
                  <c:v>24.9633077578316</c:v>
                </c:pt>
                <c:pt idx="320">
                  <c:v>24.9633077578316</c:v>
                </c:pt>
                <c:pt idx="321">
                  <c:v>24.9633077578316</c:v>
                </c:pt>
                <c:pt idx="322">
                  <c:v>24.9633077578316</c:v>
                </c:pt>
                <c:pt idx="323">
                  <c:v>24.9633077578316</c:v>
                </c:pt>
                <c:pt idx="324">
                  <c:v>24.9633077578316</c:v>
                </c:pt>
                <c:pt idx="325">
                  <c:v>24.9633077578316</c:v>
                </c:pt>
                <c:pt idx="326">
                  <c:v>24.9633077578316</c:v>
                </c:pt>
                <c:pt idx="327">
                  <c:v>24.9633077578316</c:v>
                </c:pt>
                <c:pt idx="328">
                  <c:v>24.9633077578316</c:v>
                </c:pt>
                <c:pt idx="329">
                  <c:v>24.9633077578316</c:v>
                </c:pt>
                <c:pt idx="330">
                  <c:v>24.9633077578316</c:v>
                </c:pt>
                <c:pt idx="331">
                  <c:v>24.9633077578316</c:v>
                </c:pt>
                <c:pt idx="332">
                  <c:v>24.9633077578316</c:v>
                </c:pt>
                <c:pt idx="333">
                  <c:v>24.9633077578316</c:v>
                </c:pt>
                <c:pt idx="334">
                  <c:v>24.9633077578316</c:v>
                </c:pt>
                <c:pt idx="335">
                  <c:v>24.9633077578316</c:v>
                </c:pt>
                <c:pt idx="336">
                  <c:v>24.9633077578316</c:v>
                </c:pt>
                <c:pt idx="337">
                  <c:v>24.9633077578316</c:v>
                </c:pt>
                <c:pt idx="338">
                  <c:v>24.9633077578316</c:v>
                </c:pt>
                <c:pt idx="339">
                  <c:v>24.9633077578316</c:v>
                </c:pt>
                <c:pt idx="340">
                  <c:v>24.9633077578316</c:v>
                </c:pt>
                <c:pt idx="341">
                  <c:v>24.9633077578316</c:v>
                </c:pt>
                <c:pt idx="342">
                  <c:v>24.9633077578316</c:v>
                </c:pt>
                <c:pt idx="343">
                  <c:v>24.9633077578316</c:v>
                </c:pt>
                <c:pt idx="344">
                  <c:v>24.9633077578316</c:v>
                </c:pt>
                <c:pt idx="345">
                  <c:v>24.9633077578316</c:v>
                </c:pt>
                <c:pt idx="346">
                  <c:v>24.9633077578316</c:v>
                </c:pt>
                <c:pt idx="347">
                  <c:v>24.9633077578316</c:v>
                </c:pt>
                <c:pt idx="348">
                  <c:v>24.9633077578316</c:v>
                </c:pt>
                <c:pt idx="349">
                  <c:v>24.9633077578316</c:v>
                </c:pt>
                <c:pt idx="350">
                  <c:v>24.9633077578316</c:v>
                </c:pt>
                <c:pt idx="351">
                  <c:v>24.9633077578316</c:v>
                </c:pt>
                <c:pt idx="352">
                  <c:v>24.9633077578316</c:v>
                </c:pt>
                <c:pt idx="353">
                  <c:v>24.9633077578316</c:v>
                </c:pt>
                <c:pt idx="354">
                  <c:v>24.9633077578316</c:v>
                </c:pt>
                <c:pt idx="355">
                  <c:v>24.9633077578316</c:v>
                </c:pt>
                <c:pt idx="356">
                  <c:v>24.9633077578316</c:v>
                </c:pt>
                <c:pt idx="357">
                  <c:v>24.9633077578316</c:v>
                </c:pt>
                <c:pt idx="358">
                  <c:v>24.9633077578316</c:v>
                </c:pt>
                <c:pt idx="359">
                  <c:v>24.9633077578316</c:v>
                </c:pt>
                <c:pt idx="360">
                  <c:v>24.9633077578316</c:v>
                </c:pt>
                <c:pt idx="361">
                  <c:v>24.9633077578316</c:v>
                </c:pt>
                <c:pt idx="362">
                  <c:v>24.9633077578316</c:v>
                </c:pt>
                <c:pt idx="363">
                  <c:v>24.9633077578316</c:v>
                </c:pt>
                <c:pt idx="364">
                  <c:v>24.9633077578316</c:v>
                </c:pt>
                <c:pt idx="365">
                  <c:v>24.9633077578316</c:v>
                </c:pt>
                <c:pt idx="366">
                  <c:v>24.9633077578316</c:v>
                </c:pt>
                <c:pt idx="367">
                  <c:v>24.9633077578316</c:v>
                </c:pt>
                <c:pt idx="368">
                  <c:v>22.880766803763123</c:v>
                </c:pt>
                <c:pt idx="369">
                  <c:v>22.880766803763123</c:v>
                </c:pt>
                <c:pt idx="370">
                  <c:v>22.880766803763123</c:v>
                </c:pt>
                <c:pt idx="371">
                  <c:v>22.880766803763123</c:v>
                </c:pt>
                <c:pt idx="372">
                  <c:v>22.880766803763123</c:v>
                </c:pt>
                <c:pt idx="373">
                  <c:v>22.880766803763123</c:v>
                </c:pt>
                <c:pt idx="374">
                  <c:v>22.880766803763123</c:v>
                </c:pt>
                <c:pt idx="375">
                  <c:v>22.880766803763123</c:v>
                </c:pt>
                <c:pt idx="376">
                  <c:v>22.880766803763123</c:v>
                </c:pt>
                <c:pt idx="377">
                  <c:v>22.880766803763123</c:v>
                </c:pt>
                <c:pt idx="378">
                  <c:v>22.880766803763123</c:v>
                </c:pt>
                <c:pt idx="379">
                  <c:v>22.880766803763123</c:v>
                </c:pt>
                <c:pt idx="380">
                  <c:v>22.880766803763123</c:v>
                </c:pt>
                <c:pt idx="381">
                  <c:v>22.880766803763123</c:v>
                </c:pt>
                <c:pt idx="382">
                  <c:v>22.880766803763123</c:v>
                </c:pt>
                <c:pt idx="383">
                  <c:v>22.880766803763123</c:v>
                </c:pt>
                <c:pt idx="384">
                  <c:v>22.880766803763123</c:v>
                </c:pt>
                <c:pt idx="385">
                  <c:v>22.880766803763123</c:v>
                </c:pt>
                <c:pt idx="386">
                  <c:v>22.880766803763123</c:v>
                </c:pt>
                <c:pt idx="387">
                  <c:v>22.880766803763123</c:v>
                </c:pt>
                <c:pt idx="388">
                  <c:v>22.880766803763123</c:v>
                </c:pt>
                <c:pt idx="389">
                  <c:v>22.880766803763123</c:v>
                </c:pt>
                <c:pt idx="390">
                  <c:v>22.880766803763123</c:v>
                </c:pt>
                <c:pt idx="391">
                  <c:v>22.880766803763123</c:v>
                </c:pt>
                <c:pt idx="392">
                  <c:v>22.880766803763123</c:v>
                </c:pt>
                <c:pt idx="393">
                  <c:v>22.880766803763123</c:v>
                </c:pt>
                <c:pt idx="394">
                  <c:v>22.880766803763123</c:v>
                </c:pt>
                <c:pt idx="395">
                  <c:v>22.880766803763123</c:v>
                </c:pt>
                <c:pt idx="396">
                  <c:v>22.880766803763123</c:v>
                </c:pt>
                <c:pt idx="397">
                  <c:v>22.880766803763123</c:v>
                </c:pt>
                <c:pt idx="398">
                  <c:v>22.880766803763123</c:v>
                </c:pt>
                <c:pt idx="399">
                  <c:v>22.880766803763123</c:v>
                </c:pt>
                <c:pt idx="400">
                  <c:v>22.880766803763123</c:v>
                </c:pt>
                <c:pt idx="401">
                  <c:v>22.880766803763123</c:v>
                </c:pt>
                <c:pt idx="402">
                  <c:v>22.880766803763123</c:v>
                </c:pt>
                <c:pt idx="403">
                  <c:v>22.880766803763123</c:v>
                </c:pt>
                <c:pt idx="404">
                  <c:v>22.880766803763123</c:v>
                </c:pt>
                <c:pt idx="405">
                  <c:v>22.880766803763123</c:v>
                </c:pt>
                <c:pt idx="406">
                  <c:v>22.880766803763123</c:v>
                </c:pt>
                <c:pt idx="407">
                  <c:v>22.880766803763123</c:v>
                </c:pt>
                <c:pt idx="408">
                  <c:v>22.880766803763123</c:v>
                </c:pt>
                <c:pt idx="409">
                  <c:v>22.880766803763123</c:v>
                </c:pt>
                <c:pt idx="410">
                  <c:v>22.880766803763123</c:v>
                </c:pt>
                <c:pt idx="411">
                  <c:v>22.880766803763123</c:v>
                </c:pt>
                <c:pt idx="412">
                  <c:v>22.880766803763123</c:v>
                </c:pt>
                <c:pt idx="413">
                  <c:v>22.880766803763123</c:v>
                </c:pt>
                <c:pt idx="414">
                  <c:v>22.880766803763123</c:v>
                </c:pt>
                <c:pt idx="415">
                  <c:v>22.880766803763123</c:v>
                </c:pt>
                <c:pt idx="416">
                  <c:v>22.880766803763123</c:v>
                </c:pt>
                <c:pt idx="417">
                  <c:v>22.880766803763123</c:v>
                </c:pt>
                <c:pt idx="418">
                  <c:v>22.880766803763123</c:v>
                </c:pt>
                <c:pt idx="419">
                  <c:v>22.880766803763123</c:v>
                </c:pt>
                <c:pt idx="420">
                  <c:v>20.627307151384759</c:v>
                </c:pt>
                <c:pt idx="421">
                  <c:v>20.627307151384759</c:v>
                </c:pt>
                <c:pt idx="422">
                  <c:v>20.627307151384759</c:v>
                </c:pt>
                <c:pt idx="423">
                  <c:v>20.627307151384759</c:v>
                </c:pt>
                <c:pt idx="424">
                  <c:v>20.627307151384759</c:v>
                </c:pt>
                <c:pt idx="425">
                  <c:v>20.627307151384759</c:v>
                </c:pt>
                <c:pt idx="426">
                  <c:v>20.627307151384759</c:v>
                </c:pt>
                <c:pt idx="427">
                  <c:v>20.627307151384759</c:v>
                </c:pt>
                <c:pt idx="428">
                  <c:v>20.627307151384759</c:v>
                </c:pt>
                <c:pt idx="429">
                  <c:v>20.627307151384759</c:v>
                </c:pt>
                <c:pt idx="430">
                  <c:v>20.627307151384759</c:v>
                </c:pt>
                <c:pt idx="431">
                  <c:v>20.627307151384759</c:v>
                </c:pt>
                <c:pt idx="432">
                  <c:v>20.627307151384759</c:v>
                </c:pt>
                <c:pt idx="433">
                  <c:v>20.627307151384759</c:v>
                </c:pt>
                <c:pt idx="434">
                  <c:v>20.627307151384759</c:v>
                </c:pt>
                <c:pt idx="435">
                  <c:v>20.627307151384759</c:v>
                </c:pt>
                <c:pt idx="436">
                  <c:v>20.627307151384759</c:v>
                </c:pt>
                <c:pt idx="437">
                  <c:v>20.627307151384759</c:v>
                </c:pt>
                <c:pt idx="438">
                  <c:v>20.627307151384759</c:v>
                </c:pt>
                <c:pt idx="439">
                  <c:v>20.627307151384759</c:v>
                </c:pt>
                <c:pt idx="440">
                  <c:v>20.627307151384759</c:v>
                </c:pt>
                <c:pt idx="441">
                  <c:v>20.627307151384759</c:v>
                </c:pt>
                <c:pt idx="442">
                  <c:v>20.627307151384759</c:v>
                </c:pt>
                <c:pt idx="443">
                  <c:v>20.627307151384759</c:v>
                </c:pt>
                <c:pt idx="444">
                  <c:v>20.627307151384759</c:v>
                </c:pt>
                <c:pt idx="445">
                  <c:v>20.627307151384759</c:v>
                </c:pt>
                <c:pt idx="446">
                  <c:v>20.627307151384759</c:v>
                </c:pt>
                <c:pt idx="447">
                  <c:v>20.627307151384759</c:v>
                </c:pt>
                <c:pt idx="448">
                  <c:v>20.627307151384759</c:v>
                </c:pt>
                <c:pt idx="449">
                  <c:v>20.627307151384759</c:v>
                </c:pt>
                <c:pt idx="450">
                  <c:v>20.627307151384759</c:v>
                </c:pt>
                <c:pt idx="451">
                  <c:v>20.627307151384759</c:v>
                </c:pt>
                <c:pt idx="452">
                  <c:v>20.627307151384759</c:v>
                </c:pt>
                <c:pt idx="453">
                  <c:v>20.627307151384759</c:v>
                </c:pt>
                <c:pt idx="454">
                  <c:v>20.627307151384759</c:v>
                </c:pt>
                <c:pt idx="455">
                  <c:v>20.627307151384759</c:v>
                </c:pt>
                <c:pt idx="456">
                  <c:v>20.627307151384759</c:v>
                </c:pt>
                <c:pt idx="457">
                  <c:v>20.627307151384759</c:v>
                </c:pt>
                <c:pt idx="458">
                  <c:v>20.627307151384759</c:v>
                </c:pt>
                <c:pt idx="459">
                  <c:v>20.627307151384759</c:v>
                </c:pt>
                <c:pt idx="460">
                  <c:v>20.627307151384759</c:v>
                </c:pt>
                <c:pt idx="461">
                  <c:v>20.627307151384759</c:v>
                </c:pt>
                <c:pt idx="462">
                  <c:v>20.627307151384759</c:v>
                </c:pt>
                <c:pt idx="463">
                  <c:v>20.627307151384759</c:v>
                </c:pt>
                <c:pt idx="464">
                  <c:v>20.627307151384759</c:v>
                </c:pt>
                <c:pt idx="465">
                  <c:v>20.627307151384759</c:v>
                </c:pt>
                <c:pt idx="466">
                  <c:v>20.627307151384759</c:v>
                </c:pt>
                <c:pt idx="467">
                  <c:v>20.627307151384759</c:v>
                </c:pt>
                <c:pt idx="468">
                  <c:v>20.627307151384759</c:v>
                </c:pt>
                <c:pt idx="469">
                  <c:v>20.627307151384759</c:v>
                </c:pt>
                <c:pt idx="470">
                  <c:v>20.627307151384759</c:v>
                </c:pt>
                <c:pt idx="471">
                  <c:v>20.627307151384759</c:v>
                </c:pt>
                <c:pt idx="472">
                  <c:v>20.010477224788431</c:v>
                </c:pt>
                <c:pt idx="473">
                  <c:v>20.010477224788431</c:v>
                </c:pt>
                <c:pt idx="474">
                  <c:v>20.010477224788431</c:v>
                </c:pt>
                <c:pt idx="475">
                  <c:v>20.010477224788431</c:v>
                </c:pt>
                <c:pt idx="476">
                  <c:v>20.010477224788431</c:v>
                </c:pt>
                <c:pt idx="477">
                  <c:v>20.010477224788431</c:v>
                </c:pt>
                <c:pt idx="478">
                  <c:v>20.010477224788431</c:v>
                </c:pt>
                <c:pt idx="479">
                  <c:v>20.010477224788431</c:v>
                </c:pt>
                <c:pt idx="480">
                  <c:v>20.010477224788431</c:v>
                </c:pt>
                <c:pt idx="481">
                  <c:v>20.010477224788431</c:v>
                </c:pt>
                <c:pt idx="482">
                  <c:v>20.010477224788431</c:v>
                </c:pt>
                <c:pt idx="483">
                  <c:v>20.010477224788431</c:v>
                </c:pt>
                <c:pt idx="484">
                  <c:v>20.010477224788431</c:v>
                </c:pt>
                <c:pt idx="485">
                  <c:v>20.010477224788431</c:v>
                </c:pt>
                <c:pt idx="486">
                  <c:v>20.010477224788431</c:v>
                </c:pt>
                <c:pt idx="487">
                  <c:v>20.010477224788431</c:v>
                </c:pt>
                <c:pt idx="488">
                  <c:v>20.010477224788431</c:v>
                </c:pt>
                <c:pt idx="489">
                  <c:v>20.010477224788431</c:v>
                </c:pt>
                <c:pt idx="490">
                  <c:v>20.010477224788431</c:v>
                </c:pt>
                <c:pt idx="491">
                  <c:v>20.010477224788431</c:v>
                </c:pt>
                <c:pt idx="492">
                  <c:v>20.010477224788431</c:v>
                </c:pt>
                <c:pt idx="493">
                  <c:v>20.010477224788431</c:v>
                </c:pt>
                <c:pt idx="494">
                  <c:v>20.010477224788431</c:v>
                </c:pt>
                <c:pt idx="495">
                  <c:v>20.010477224788431</c:v>
                </c:pt>
                <c:pt idx="496">
                  <c:v>20.010477224788431</c:v>
                </c:pt>
                <c:pt idx="497">
                  <c:v>20.010477224788431</c:v>
                </c:pt>
                <c:pt idx="498">
                  <c:v>20.010477224788431</c:v>
                </c:pt>
                <c:pt idx="499">
                  <c:v>20.010477224788431</c:v>
                </c:pt>
                <c:pt idx="500">
                  <c:v>20.010477224788431</c:v>
                </c:pt>
                <c:pt idx="501">
                  <c:v>20.010477224788431</c:v>
                </c:pt>
                <c:pt idx="502">
                  <c:v>20.010477224788431</c:v>
                </c:pt>
                <c:pt idx="503">
                  <c:v>20.010477224788431</c:v>
                </c:pt>
                <c:pt idx="504">
                  <c:v>20.010477224788431</c:v>
                </c:pt>
                <c:pt idx="505">
                  <c:v>20.010477224788431</c:v>
                </c:pt>
                <c:pt idx="506">
                  <c:v>20.010477224788431</c:v>
                </c:pt>
                <c:pt idx="507">
                  <c:v>20.010477224788431</c:v>
                </c:pt>
                <c:pt idx="508">
                  <c:v>20.010477224788431</c:v>
                </c:pt>
                <c:pt idx="509">
                  <c:v>20.010477224788431</c:v>
                </c:pt>
                <c:pt idx="510">
                  <c:v>20.010477224788431</c:v>
                </c:pt>
                <c:pt idx="511">
                  <c:v>20.010477224788431</c:v>
                </c:pt>
                <c:pt idx="512">
                  <c:v>20.010477224788431</c:v>
                </c:pt>
                <c:pt idx="513">
                  <c:v>20.010477224788431</c:v>
                </c:pt>
                <c:pt idx="514">
                  <c:v>20.010477224788431</c:v>
                </c:pt>
                <c:pt idx="515">
                  <c:v>20.010477224788431</c:v>
                </c:pt>
                <c:pt idx="516">
                  <c:v>20.010477224788431</c:v>
                </c:pt>
                <c:pt idx="517">
                  <c:v>20.010477224788431</c:v>
                </c:pt>
                <c:pt idx="518">
                  <c:v>20.010477224788431</c:v>
                </c:pt>
                <c:pt idx="519">
                  <c:v>20.010477224788431</c:v>
                </c:pt>
                <c:pt idx="520">
                  <c:v>20.010477224788431</c:v>
                </c:pt>
                <c:pt idx="521">
                  <c:v>20.010477224788431</c:v>
                </c:pt>
                <c:pt idx="522">
                  <c:v>20.010477224788431</c:v>
                </c:pt>
                <c:pt idx="523">
                  <c:v>20.010477224788431</c:v>
                </c:pt>
                <c:pt idx="524">
                  <c:v>18.107461500188169</c:v>
                </c:pt>
                <c:pt idx="525">
                  <c:v>18.107461500188169</c:v>
                </c:pt>
                <c:pt idx="526">
                  <c:v>18.107461500188169</c:v>
                </c:pt>
                <c:pt idx="527">
                  <c:v>18.107461500188169</c:v>
                </c:pt>
                <c:pt idx="528">
                  <c:v>18.107461500188169</c:v>
                </c:pt>
                <c:pt idx="529">
                  <c:v>18.107461500188169</c:v>
                </c:pt>
                <c:pt idx="530">
                  <c:v>18.107461500188169</c:v>
                </c:pt>
                <c:pt idx="531">
                  <c:v>18.107461500188169</c:v>
                </c:pt>
                <c:pt idx="532">
                  <c:v>18.107461500188169</c:v>
                </c:pt>
                <c:pt idx="533">
                  <c:v>18.107461500188169</c:v>
                </c:pt>
                <c:pt idx="534">
                  <c:v>18.107461500188169</c:v>
                </c:pt>
                <c:pt idx="535">
                  <c:v>18.107461500188169</c:v>
                </c:pt>
                <c:pt idx="536">
                  <c:v>18.107461500188169</c:v>
                </c:pt>
                <c:pt idx="537">
                  <c:v>18.107461500188169</c:v>
                </c:pt>
                <c:pt idx="538">
                  <c:v>18.107461500188169</c:v>
                </c:pt>
                <c:pt idx="539">
                  <c:v>18.107461500188169</c:v>
                </c:pt>
                <c:pt idx="540">
                  <c:v>18.107461500188169</c:v>
                </c:pt>
                <c:pt idx="541">
                  <c:v>18.107461500188169</c:v>
                </c:pt>
                <c:pt idx="542">
                  <c:v>18.107461500188169</c:v>
                </c:pt>
                <c:pt idx="543">
                  <c:v>18.107461500188169</c:v>
                </c:pt>
                <c:pt idx="544">
                  <c:v>18.107461500188169</c:v>
                </c:pt>
                <c:pt idx="545">
                  <c:v>18.107461500188169</c:v>
                </c:pt>
                <c:pt idx="546">
                  <c:v>18.107461500188169</c:v>
                </c:pt>
                <c:pt idx="547">
                  <c:v>18.107461500188169</c:v>
                </c:pt>
                <c:pt idx="548">
                  <c:v>18.107461500188169</c:v>
                </c:pt>
                <c:pt idx="549">
                  <c:v>18.107461500188169</c:v>
                </c:pt>
                <c:pt idx="550">
                  <c:v>18.107461500188169</c:v>
                </c:pt>
                <c:pt idx="551">
                  <c:v>18.107461500188169</c:v>
                </c:pt>
                <c:pt idx="552">
                  <c:v>18.107461500188169</c:v>
                </c:pt>
                <c:pt idx="553">
                  <c:v>18.107461500188169</c:v>
                </c:pt>
                <c:pt idx="554">
                  <c:v>18.107461500188169</c:v>
                </c:pt>
                <c:pt idx="555">
                  <c:v>18.107461500188169</c:v>
                </c:pt>
                <c:pt idx="556">
                  <c:v>18.107461500188169</c:v>
                </c:pt>
                <c:pt idx="557">
                  <c:v>18.107461500188169</c:v>
                </c:pt>
                <c:pt idx="558">
                  <c:v>18.107461500188169</c:v>
                </c:pt>
                <c:pt idx="559">
                  <c:v>18.107461500188169</c:v>
                </c:pt>
                <c:pt idx="560">
                  <c:v>18.107461500188169</c:v>
                </c:pt>
                <c:pt idx="561">
                  <c:v>18.107461500188169</c:v>
                </c:pt>
                <c:pt idx="562">
                  <c:v>18.107461500188169</c:v>
                </c:pt>
                <c:pt idx="563">
                  <c:v>18.107461500188169</c:v>
                </c:pt>
                <c:pt idx="564">
                  <c:v>18.107461500188169</c:v>
                </c:pt>
                <c:pt idx="565">
                  <c:v>18.107461500188169</c:v>
                </c:pt>
                <c:pt idx="566">
                  <c:v>18.107461500188169</c:v>
                </c:pt>
                <c:pt idx="567">
                  <c:v>18.107461500188169</c:v>
                </c:pt>
                <c:pt idx="568">
                  <c:v>18.107461500188169</c:v>
                </c:pt>
                <c:pt idx="569">
                  <c:v>18.107461500188169</c:v>
                </c:pt>
                <c:pt idx="570">
                  <c:v>18.107461500188169</c:v>
                </c:pt>
                <c:pt idx="571">
                  <c:v>18.107461500188169</c:v>
                </c:pt>
                <c:pt idx="572">
                  <c:v>18.107461500188169</c:v>
                </c:pt>
                <c:pt idx="573">
                  <c:v>18.107461500188169</c:v>
                </c:pt>
                <c:pt idx="574">
                  <c:v>18.107461500188169</c:v>
                </c:pt>
                <c:pt idx="575">
                  <c:v>18.107461500188169</c:v>
                </c:pt>
                <c:pt idx="576">
                  <c:v>18.107461500188169</c:v>
                </c:pt>
              </c:numCache>
            </c:numRef>
          </c:val>
        </c:ser>
        <c:ser>
          <c:idx val="2"/>
          <c:order val="2"/>
          <c:tx>
            <c:v>Buy Price</c:v>
          </c:tx>
          <c:spPr>
            <a:ln w="12700">
              <a:solidFill>
                <a:srgbClr val="99CC00"/>
              </a:solidFill>
              <a:prstDash val="lgDash"/>
            </a:ln>
          </c:spPr>
          <c:marker>
            <c:symbol val="none"/>
          </c:marker>
          <c:cat>
            <c:numRef>
              <c:f>PriceValueGraph!$E$38:$E$387</c:f>
              <c:numCache>
                <c:formatCode>m/d/yyyy</c:formatCode>
                <c:ptCount val="350"/>
                <c:pt idx="0" formatCode="m/d/yyyy;@">
                  <c:v>40365</c:v>
                </c:pt>
                <c:pt idx="1">
                  <c:v>40357</c:v>
                </c:pt>
                <c:pt idx="2">
                  <c:v>40350</c:v>
                </c:pt>
                <c:pt idx="3">
                  <c:v>40343</c:v>
                </c:pt>
                <c:pt idx="4">
                  <c:v>40336</c:v>
                </c:pt>
                <c:pt idx="5">
                  <c:v>40330</c:v>
                </c:pt>
                <c:pt idx="6">
                  <c:v>40322</c:v>
                </c:pt>
                <c:pt idx="7">
                  <c:v>40315</c:v>
                </c:pt>
                <c:pt idx="8">
                  <c:v>40308</c:v>
                </c:pt>
                <c:pt idx="9">
                  <c:v>40301</c:v>
                </c:pt>
                <c:pt idx="10">
                  <c:v>40294</c:v>
                </c:pt>
                <c:pt idx="11">
                  <c:v>40287</c:v>
                </c:pt>
                <c:pt idx="12">
                  <c:v>40280</c:v>
                </c:pt>
                <c:pt idx="13">
                  <c:v>40273</c:v>
                </c:pt>
                <c:pt idx="14">
                  <c:v>40266</c:v>
                </c:pt>
                <c:pt idx="15">
                  <c:v>40259</c:v>
                </c:pt>
                <c:pt idx="16">
                  <c:v>40252</c:v>
                </c:pt>
                <c:pt idx="17">
                  <c:v>40245</c:v>
                </c:pt>
                <c:pt idx="18">
                  <c:v>40238</c:v>
                </c:pt>
                <c:pt idx="19">
                  <c:v>40231</c:v>
                </c:pt>
                <c:pt idx="20">
                  <c:v>40225</c:v>
                </c:pt>
                <c:pt idx="21">
                  <c:v>40217</c:v>
                </c:pt>
                <c:pt idx="22">
                  <c:v>40210</c:v>
                </c:pt>
                <c:pt idx="23">
                  <c:v>40203</c:v>
                </c:pt>
                <c:pt idx="24">
                  <c:v>40197</c:v>
                </c:pt>
                <c:pt idx="25">
                  <c:v>40189</c:v>
                </c:pt>
                <c:pt idx="26">
                  <c:v>40182</c:v>
                </c:pt>
                <c:pt idx="27">
                  <c:v>40175</c:v>
                </c:pt>
                <c:pt idx="28">
                  <c:v>40168</c:v>
                </c:pt>
                <c:pt idx="29">
                  <c:v>40161</c:v>
                </c:pt>
                <c:pt idx="30">
                  <c:v>40154</c:v>
                </c:pt>
                <c:pt idx="31">
                  <c:v>40147</c:v>
                </c:pt>
                <c:pt idx="32">
                  <c:v>40140</c:v>
                </c:pt>
                <c:pt idx="33">
                  <c:v>40133</c:v>
                </c:pt>
                <c:pt idx="34">
                  <c:v>40126</c:v>
                </c:pt>
                <c:pt idx="35">
                  <c:v>40119</c:v>
                </c:pt>
                <c:pt idx="36">
                  <c:v>40112</c:v>
                </c:pt>
                <c:pt idx="37">
                  <c:v>40105</c:v>
                </c:pt>
                <c:pt idx="38">
                  <c:v>40098</c:v>
                </c:pt>
                <c:pt idx="39">
                  <c:v>40091</c:v>
                </c:pt>
                <c:pt idx="40">
                  <c:v>40084</c:v>
                </c:pt>
                <c:pt idx="41">
                  <c:v>40077</c:v>
                </c:pt>
                <c:pt idx="42">
                  <c:v>40070</c:v>
                </c:pt>
                <c:pt idx="43">
                  <c:v>40064</c:v>
                </c:pt>
                <c:pt idx="44">
                  <c:v>40056</c:v>
                </c:pt>
                <c:pt idx="45">
                  <c:v>40049</c:v>
                </c:pt>
                <c:pt idx="46">
                  <c:v>40042</c:v>
                </c:pt>
                <c:pt idx="47">
                  <c:v>40035</c:v>
                </c:pt>
                <c:pt idx="48">
                  <c:v>40028</c:v>
                </c:pt>
                <c:pt idx="49">
                  <c:v>40021</c:v>
                </c:pt>
                <c:pt idx="50">
                  <c:v>40014</c:v>
                </c:pt>
                <c:pt idx="51">
                  <c:v>40007</c:v>
                </c:pt>
                <c:pt idx="52">
                  <c:v>40000</c:v>
                </c:pt>
                <c:pt idx="53">
                  <c:v>39993</c:v>
                </c:pt>
                <c:pt idx="54">
                  <c:v>39986</c:v>
                </c:pt>
                <c:pt idx="55">
                  <c:v>39979</c:v>
                </c:pt>
                <c:pt idx="56">
                  <c:v>39972</c:v>
                </c:pt>
                <c:pt idx="57">
                  <c:v>39965</c:v>
                </c:pt>
                <c:pt idx="58">
                  <c:v>39959</c:v>
                </c:pt>
                <c:pt idx="59">
                  <c:v>39951</c:v>
                </c:pt>
                <c:pt idx="60">
                  <c:v>39944</c:v>
                </c:pt>
                <c:pt idx="61">
                  <c:v>39937</c:v>
                </c:pt>
                <c:pt idx="62">
                  <c:v>39930</c:v>
                </c:pt>
                <c:pt idx="63">
                  <c:v>39923</c:v>
                </c:pt>
                <c:pt idx="64">
                  <c:v>39916</c:v>
                </c:pt>
                <c:pt idx="65">
                  <c:v>39909</c:v>
                </c:pt>
                <c:pt idx="66">
                  <c:v>39902</c:v>
                </c:pt>
                <c:pt idx="67">
                  <c:v>39895</c:v>
                </c:pt>
                <c:pt idx="68">
                  <c:v>39888</c:v>
                </c:pt>
                <c:pt idx="69">
                  <c:v>39881</c:v>
                </c:pt>
                <c:pt idx="70">
                  <c:v>39874</c:v>
                </c:pt>
                <c:pt idx="71">
                  <c:v>39867</c:v>
                </c:pt>
                <c:pt idx="72">
                  <c:v>39861</c:v>
                </c:pt>
                <c:pt idx="73">
                  <c:v>39853</c:v>
                </c:pt>
                <c:pt idx="74">
                  <c:v>39846</c:v>
                </c:pt>
                <c:pt idx="75">
                  <c:v>39839</c:v>
                </c:pt>
                <c:pt idx="76">
                  <c:v>39833</c:v>
                </c:pt>
                <c:pt idx="77">
                  <c:v>39825</c:v>
                </c:pt>
                <c:pt idx="78">
                  <c:v>39818</c:v>
                </c:pt>
                <c:pt idx="79">
                  <c:v>39811</c:v>
                </c:pt>
                <c:pt idx="80">
                  <c:v>39804</c:v>
                </c:pt>
                <c:pt idx="81">
                  <c:v>39797</c:v>
                </c:pt>
                <c:pt idx="82">
                  <c:v>39790</c:v>
                </c:pt>
                <c:pt idx="83">
                  <c:v>39783</c:v>
                </c:pt>
                <c:pt idx="84">
                  <c:v>39776</c:v>
                </c:pt>
                <c:pt idx="85">
                  <c:v>39769</c:v>
                </c:pt>
                <c:pt idx="86">
                  <c:v>39762</c:v>
                </c:pt>
                <c:pt idx="87">
                  <c:v>39755</c:v>
                </c:pt>
                <c:pt idx="88">
                  <c:v>39748</c:v>
                </c:pt>
                <c:pt idx="89">
                  <c:v>39741</c:v>
                </c:pt>
                <c:pt idx="90">
                  <c:v>39734</c:v>
                </c:pt>
                <c:pt idx="91">
                  <c:v>39727</c:v>
                </c:pt>
                <c:pt idx="92">
                  <c:v>39720</c:v>
                </c:pt>
                <c:pt idx="93">
                  <c:v>39713</c:v>
                </c:pt>
                <c:pt idx="94">
                  <c:v>39706</c:v>
                </c:pt>
                <c:pt idx="95">
                  <c:v>39699</c:v>
                </c:pt>
                <c:pt idx="96">
                  <c:v>39693</c:v>
                </c:pt>
                <c:pt idx="97">
                  <c:v>39685</c:v>
                </c:pt>
                <c:pt idx="98">
                  <c:v>39678</c:v>
                </c:pt>
                <c:pt idx="99">
                  <c:v>39671</c:v>
                </c:pt>
                <c:pt idx="100">
                  <c:v>39664</c:v>
                </c:pt>
                <c:pt idx="101">
                  <c:v>39657</c:v>
                </c:pt>
                <c:pt idx="102">
                  <c:v>39650</c:v>
                </c:pt>
                <c:pt idx="103">
                  <c:v>39643</c:v>
                </c:pt>
                <c:pt idx="104">
                  <c:v>39636</c:v>
                </c:pt>
                <c:pt idx="105">
                  <c:v>39629</c:v>
                </c:pt>
                <c:pt idx="106">
                  <c:v>39622</c:v>
                </c:pt>
                <c:pt idx="107">
                  <c:v>39615</c:v>
                </c:pt>
                <c:pt idx="108">
                  <c:v>39608</c:v>
                </c:pt>
                <c:pt idx="109">
                  <c:v>39601</c:v>
                </c:pt>
                <c:pt idx="110">
                  <c:v>39595</c:v>
                </c:pt>
                <c:pt idx="111">
                  <c:v>39587</c:v>
                </c:pt>
                <c:pt idx="112">
                  <c:v>39580</c:v>
                </c:pt>
                <c:pt idx="113">
                  <c:v>39573</c:v>
                </c:pt>
                <c:pt idx="114">
                  <c:v>39566</c:v>
                </c:pt>
                <c:pt idx="115">
                  <c:v>39559</c:v>
                </c:pt>
                <c:pt idx="116">
                  <c:v>39552</c:v>
                </c:pt>
                <c:pt idx="117">
                  <c:v>39545</c:v>
                </c:pt>
                <c:pt idx="118">
                  <c:v>39538</c:v>
                </c:pt>
                <c:pt idx="119">
                  <c:v>39531</c:v>
                </c:pt>
                <c:pt idx="120">
                  <c:v>39524</c:v>
                </c:pt>
                <c:pt idx="121">
                  <c:v>39517</c:v>
                </c:pt>
                <c:pt idx="122">
                  <c:v>39510</c:v>
                </c:pt>
                <c:pt idx="123">
                  <c:v>39503</c:v>
                </c:pt>
                <c:pt idx="124">
                  <c:v>39497</c:v>
                </c:pt>
                <c:pt idx="125">
                  <c:v>39489</c:v>
                </c:pt>
                <c:pt idx="126">
                  <c:v>39482</c:v>
                </c:pt>
                <c:pt idx="127">
                  <c:v>39475</c:v>
                </c:pt>
                <c:pt idx="128">
                  <c:v>39469</c:v>
                </c:pt>
                <c:pt idx="129">
                  <c:v>39461</c:v>
                </c:pt>
                <c:pt idx="130">
                  <c:v>39454</c:v>
                </c:pt>
                <c:pt idx="131">
                  <c:v>39447</c:v>
                </c:pt>
                <c:pt idx="132">
                  <c:v>39440</c:v>
                </c:pt>
                <c:pt idx="133">
                  <c:v>39433</c:v>
                </c:pt>
                <c:pt idx="134">
                  <c:v>39426</c:v>
                </c:pt>
                <c:pt idx="135">
                  <c:v>39419</c:v>
                </c:pt>
                <c:pt idx="136">
                  <c:v>39412</c:v>
                </c:pt>
                <c:pt idx="137">
                  <c:v>39405</c:v>
                </c:pt>
                <c:pt idx="138">
                  <c:v>39398</c:v>
                </c:pt>
                <c:pt idx="139">
                  <c:v>39391</c:v>
                </c:pt>
                <c:pt idx="140">
                  <c:v>39384</c:v>
                </c:pt>
                <c:pt idx="141">
                  <c:v>39377</c:v>
                </c:pt>
                <c:pt idx="142">
                  <c:v>39370</c:v>
                </c:pt>
                <c:pt idx="143">
                  <c:v>39363</c:v>
                </c:pt>
                <c:pt idx="144">
                  <c:v>39356</c:v>
                </c:pt>
                <c:pt idx="145">
                  <c:v>39349</c:v>
                </c:pt>
                <c:pt idx="146">
                  <c:v>39342</c:v>
                </c:pt>
                <c:pt idx="147">
                  <c:v>39335</c:v>
                </c:pt>
                <c:pt idx="148">
                  <c:v>39329</c:v>
                </c:pt>
                <c:pt idx="149">
                  <c:v>39321</c:v>
                </c:pt>
                <c:pt idx="150">
                  <c:v>39314</c:v>
                </c:pt>
                <c:pt idx="151">
                  <c:v>39307</c:v>
                </c:pt>
                <c:pt idx="152">
                  <c:v>39300</c:v>
                </c:pt>
                <c:pt idx="153">
                  <c:v>39293</c:v>
                </c:pt>
                <c:pt idx="154">
                  <c:v>39286</c:v>
                </c:pt>
                <c:pt idx="155">
                  <c:v>39279</c:v>
                </c:pt>
                <c:pt idx="156">
                  <c:v>39272</c:v>
                </c:pt>
                <c:pt idx="157">
                  <c:v>39265</c:v>
                </c:pt>
                <c:pt idx="158">
                  <c:v>39258</c:v>
                </c:pt>
                <c:pt idx="159">
                  <c:v>39251</c:v>
                </c:pt>
                <c:pt idx="160">
                  <c:v>39244</c:v>
                </c:pt>
                <c:pt idx="161">
                  <c:v>39237</c:v>
                </c:pt>
                <c:pt idx="162">
                  <c:v>39231</c:v>
                </c:pt>
                <c:pt idx="163">
                  <c:v>39223</c:v>
                </c:pt>
                <c:pt idx="164">
                  <c:v>39216</c:v>
                </c:pt>
                <c:pt idx="165">
                  <c:v>39209</c:v>
                </c:pt>
                <c:pt idx="166">
                  <c:v>39202</c:v>
                </c:pt>
                <c:pt idx="167">
                  <c:v>39195</c:v>
                </c:pt>
                <c:pt idx="168">
                  <c:v>39188</c:v>
                </c:pt>
                <c:pt idx="169">
                  <c:v>39181</c:v>
                </c:pt>
                <c:pt idx="170">
                  <c:v>39174</c:v>
                </c:pt>
                <c:pt idx="171">
                  <c:v>39167</c:v>
                </c:pt>
                <c:pt idx="172">
                  <c:v>39160</c:v>
                </c:pt>
                <c:pt idx="173">
                  <c:v>39153</c:v>
                </c:pt>
                <c:pt idx="174">
                  <c:v>39146</c:v>
                </c:pt>
                <c:pt idx="175">
                  <c:v>39139</c:v>
                </c:pt>
                <c:pt idx="176">
                  <c:v>39133</c:v>
                </c:pt>
                <c:pt idx="177">
                  <c:v>39125</c:v>
                </c:pt>
                <c:pt idx="178">
                  <c:v>39118</c:v>
                </c:pt>
                <c:pt idx="179">
                  <c:v>39111</c:v>
                </c:pt>
                <c:pt idx="180">
                  <c:v>39104</c:v>
                </c:pt>
                <c:pt idx="181">
                  <c:v>39098</c:v>
                </c:pt>
                <c:pt idx="182">
                  <c:v>39090</c:v>
                </c:pt>
                <c:pt idx="183">
                  <c:v>39085</c:v>
                </c:pt>
                <c:pt idx="184">
                  <c:v>39077</c:v>
                </c:pt>
                <c:pt idx="185">
                  <c:v>39069</c:v>
                </c:pt>
                <c:pt idx="186">
                  <c:v>39062</c:v>
                </c:pt>
                <c:pt idx="187">
                  <c:v>39055</c:v>
                </c:pt>
                <c:pt idx="188">
                  <c:v>39048</c:v>
                </c:pt>
                <c:pt idx="189">
                  <c:v>39041</c:v>
                </c:pt>
                <c:pt idx="190">
                  <c:v>39034</c:v>
                </c:pt>
                <c:pt idx="191">
                  <c:v>39027</c:v>
                </c:pt>
                <c:pt idx="192">
                  <c:v>39020</c:v>
                </c:pt>
                <c:pt idx="193">
                  <c:v>39013</c:v>
                </c:pt>
                <c:pt idx="194">
                  <c:v>39006</c:v>
                </c:pt>
                <c:pt idx="195">
                  <c:v>38999</c:v>
                </c:pt>
                <c:pt idx="196">
                  <c:v>38992</c:v>
                </c:pt>
                <c:pt idx="197">
                  <c:v>38985</c:v>
                </c:pt>
                <c:pt idx="198">
                  <c:v>38978</c:v>
                </c:pt>
                <c:pt idx="199">
                  <c:v>38971</c:v>
                </c:pt>
                <c:pt idx="200">
                  <c:v>38965</c:v>
                </c:pt>
                <c:pt idx="201">
                  <c:v>38957</c:v>
                </c:pt>
                <c:pt idx="202">
                  <c:v>38950</c:v>
                </c:pt>
                <c:pt idx="203">
                  <c:v>38943</c:v>
                </c:pt>
                <c:pt idx="204">
                  <c:v>38936</c:v>
                </c:pt>
                <c:pt idx="205">
                  <c:v>38929</c:v>
                </c:pt>
                <c:pt idx="206">
                  <c:v>38922</c:v>
                </c:pt>
                <c:pt idx="207">
                  <c:v>38915</c:v>
                </c:pt>
                <c:pt idx="208">
                  <c:v>38908</c:v>
                </c:pt>
                <c:pt idx="209">
                  <c:v>38901</c:v>
                </c:pt>
                <c:pt idx="210">
                  <c:v>38894</c:v>
                </c:pt>
                <c:pt idx="211">
                  <c:v>38887</c:v>
                </c:pt>
                <c:pt idx="212">
                  <c:v>38880</c:v>
                </c:pt>
                <c:pt idx="213">
                  <c:v>38873</c:v>
                </c:pt>
                <c:pt idx="214">
                  <c:v>38867</c:v>
                </c:pt>
                <c:pt idx="215">
                  <c:v>38859</c:v>
                </c:pt>
                <c:pt idx="216">
                  <c:v>38852</c:v>
                </c:pt>
                <c:pt idx="217">
                  <c:v>38845</c:v>
                </c:pt>
                <c:pt idx="218">
                  <c:v>38838</c:v>
                </c:pt>
                <c:pt idx="219">
                  <c:v>38831</c:v>
                </c:pt>
                <c:pt idx="220">
                  <c:v>38824</c:v>
                </c:pt>
                <c:pt idx="221">
                  <c:v>38817</c:v>
                </c:pt>
                <c:pt idx="222">
                  <c:v>38810</c:v>
                </c:pt>
                <c:pt idx="223">
                  <c:v>38803</c:v>
                </c:pt>
                <c:pt idx="224">
                  <c:v>38796</c:v>
                </c:pt>
                <c:pt idx="225">
                  <c:v>38789</c:v>
                </c:pt>
                <c:pt idx="226">
                  <c:v>38782</c:v>
                </c:pt>
                <c:pt idx="227">
                  <c:v>38775</c:v>
                </c:pt>
                <c:pt idx="228">
                  <c:v>38769</c:v>
                </c:pt>
                <c:pt idx="229">
                  <c:v>38761</c:v>
                </c:pt>
                <c:pt idx="230">
                  <c:v>38754</c:v>
                </c:pt>
                <c:pt idx="231">
                  <c:v>38747</c:v>
                </c:pt>
                <c:pt idx="232">
                  <c:v>38740</c:v>
                </c:pt>
                <c:pt idx="233">
                  <c:v>38734</c:v>
                </c:pt>
                <c:pt idx="234">
                  <c:v>38726</c:v>
                </c:pt>
                <c:pt idx="235">
                  <c:v>38720</c:v>
                </c:pt>
                <c:pt idx="236">
                  <c:v>38713</c:v>
                </c:pt>
                <c:pt idx="237">
                  <c:v>38705</c:v>
                </c:pt>
                <c:pt idx="238">
                  <c:v>38698</c:v>
                </c:pt>
                <c:pt idx="239">
                  <c:v>38691</c:v>
                </c:pt>
                <c:pt idx="240">
                  <c:v>38684</c:v>
                </c:pt>
                <c:pt idx="241">
                  <c:v>38677</c:v>
                </c:pt>
                <c:pt idx="242">
                  <c:v>38670</c:v>
                </c:pt>
                <c:pt idx="243">
                  <c:v>38663</c:v>
                </c:pt>
                <c:pt idx="244">
                  <c:v>38656</c:v>
                </c:pt>
                <c:pt idx="245">
                  <c:v>38649</c:v>
                </c:pt>
                <c:pt idx="246">
                  <c:v>38642</c:v>
                </c:pt>
                <c:pt idx="247">
                  <c:v>38635</c:v>
                </c:pt>
                <c:pt idx="248">
                  <c:v>38628</c:v>
                </c:pt>
                <c:pt idx="249">
                  <c:v>38621</c:v>
                </c:pt>
                <c:pt idx="250">
                  <c:v>38614</c:v>
                </c:pt>
                <c:pt idx="251">
                  <c:v>38607</c:v>
                </c:pt>
                <c:pt idx="252">
                  <c:v>38601</c:v>
                </c:pt>
                <c:pt idx="253">
                  <c:v>38593</c:v>
                </c:pt>
                <c:pt idx="254">
                  <c:v>38586</c:v>
                </c:pt>
                <c:pt idx="255">
                  <c:v>38579</c:v>
                </c:pt>
                <c:pt idx="256">
                  <c:v>38572</c:v>
                </c:pt>
                <c:pt idx="257">
                  <c:v>38565</c:v>
                </c:pt>
                <c:pt idx="258">
                  <c:v>38558</c:v>
                </c:pt>
                <c:pt idx="259">
                  <c:v>38551</c:v>
                </c:pt>
                <c:pt idx="260">
                  <c:v>38544</c:v>
                </c:pt>
                <c:pt idx="261">
                  <c:v>38538</c:v>
                </c:pt>
                <c:pt idx="262">
                  <c:v>38530</c:v>
                </c:pt>
                <c:pt idx="263">
                  <c:v>38523</c:v>
                </c:pt>
                <c:pt idx="264">
                  <c:v>38516</c:v>
                </c:pt>
                <c:pt idx="265">
                  <c:v>38509</c:v>
                </c:pt>
                <c:pt idx="266">
                  <c:v>38503</c:v>
                </c:pt>
                <c:pt idx="267">
                  <c:v>38495</c:v>
                </c:pt>
                <c:pt idx="268">
                  <c:v>38488</c:v>
                </c:pt>
                <c:pt idx="269">
                  <c:v>38481</c:v>
                </c:pt>
                <c:pt idx="270">
                  <c:v>38474</c:v>
                </c:pt>
                <c:pt idx="271">
                  <c:v>38467</c:v>
                </c:pt>
                <c:pt idx="272">
                  <c:v>38460</c:v>
                </c:pt>
                <c:pt idx="273">
                  <c:v>38453</c:v>
                </c:pt>
                <c:pt idx="274">
                  <c:v>38446</c:v>
                </c:pt>
                <c:pt idx="275">
                  <c:v>38439</c:v>
                </c:pt>
                <c:pt idx="276">
                  <c:v>38432</c:v>
                </c:pt>
                <c:pt idx="277">
                  <c:v>38425</c:v>
                </c:pt>
                <c:pt idx="278">
                  <c:v>38418</c:v>
                </c:pt>
                <c:pt idx="279">
                  <c:v>38411</c:v>
                </c:pt>
                <c:pt idx="280">
                  <c:v>38405</c:v>
                </c:pt>
                <c:pt idx="281">
                  <c:v>38397</c:v>
                </c:pt>
                <c:pt idx="282">
                  <c:v>38390</c:v>
                </c:pt>
                <c:pt idx="283">
                  <c:v>38383</c:v>
                </c:pt>
                <c:pt idx="284">
                  <c:v>38376</c:v>
                </c:pt>
                <c:pt idx="285">
                  <c:v>38370</c:v>
                </c:pt>
                <c:pt idx="286">
                  <c:v>38362</c:v>
                </c:pt>
                <c:pt idx="287">
                  <c:v>38355</c:v>
                </c:pt>
                <c:pt idx="288">
                  <c:v>38348</c:v>
                </c:pt>
                <c:pt idx="289">
                  <c:v>38341</c:v>
                </c:pt>
                <c:pt idx="290">
                  <c:v>38334</c:v>
                </c:pt>
                <c:pt idx="291">
                  <c:v>38327</c:v>
                </c:pt>
                <c:pt idx="292">
                  <c:v>38320</c:v>
                </c:pt>
                <c:pt idx="293">
                  <c:v>38313</c:v>
                </c:pt>
                <c:pt idx="294">
                  <c:v>38306</c:v>
                </c:pt>
                <c:pt idx="295">
                  <c:v>38299</c:v>
                </c:pt>
                <c:pt idx="296">
                  <c:v>38292</c:v>
                </c:pt>
                <c:pt idx="297">
                  <c:v>38285</c:v>
                </c:pt>
                <c:pt idx="298">
                  <c:v>38278</c:v>
                </c:pt>
                <c:pt idx="299">
                  <c:v>38271</c:v>
                </c:pt>
                <c:pt idx="300">
                  <c:v>38264</c:v>
                </c:pt>
                <c:pt idx="301">
                  <c:v>38257</c:v>
                </c:pt>
                <c:pt idx="302">
                  <c:v>38250</c:v>
                </c:pt>
                <c:pt idx="303">
                  <c:v>38243</c:v>
                </c:pt>
                <c:pt idx="304">
                  <c:v>38237</c:v>
                </c:pt>
                <c:pt idx="305">
                  <c:v>38229</c:v>
                </c:pt>
                <c:pt idx="306">
                  <c:v>38222</c:v>
                </c:pt>
                <c:pt idx="307">
                  <c:v>38215</c:v>
                </c:pt>
                <c:pt idx="308">
                  <c:v>38208</c:v>
                </c:pt>
                <c:pt idx="309">
                  <c:v>38201</c:v>
                </c:pt>
                <c:pt idx="310">
                  <c:v>38194</c:v>
                </c:pt>
                <c:pt idx="311">
                  <c:v>38187</c:v>
                </c:pt>
                <c:pt idx="312">
                  <c:v>38180</c:v>
                </c:pt>
                <c:pt idx="313">
                  <c:v>38174</c:v>
                </c:pt>
                <c:pt idx="314">
                  <c:v>38166</c:v>
                </c:pt>
                <c:pt idx="315">
                  <c:v>38159</c:v>
                </c:pt>
                <c:pt idx="316">
                  <c:v>38152</c:v>
                </c:pt>
                <c:pt idx="317">
                  <c:v>38145</c:v>
                </c:pt>
                <c:pt idx="318">
                  <c:v>38139</c:v>
                </c:pt>
                <c:pt idx="319">
                  <c:v>38131</c:v>
                </c:pt>
                <c:pt idx="320">
                  <c:v>38124</c:v>
                </c:pt>
                <c:pt idx="321">
                  <c:v>38117</c:v>
                </c:pt>
                <c:pt idx="322">
                  <c:v>38110</c:v>
                </c:pt>
                <c:pt idx="323">
                  <c:v>38103</c:v>
                </c:pt>
                <c:pt idx="324">
                  <c:v>38096</c:v>
                </c:pt>
                <c:pt idx="325">
                  <c:v>38089</c:v>
                </c:pt>
                <c:pt idx="326">
                  <c:v>38082</c:v>
                </c:pt>
                <c:pt idx="327">
                  <c:v>38075</c:v>
                </c:pt>
                <c:pt idx="328">
                  <c:v>38068</c:v>
                </c:pt>
                <c:pt idx="329">
                  <c:v>38061</c:v>
                </c:pt>
                <c:pt idx="330">
                  <c:v>38054</c:v>
                </c:pt>
                <c:pt idx="331">
                  <c:v>38047</c:v>
                </c:pt>
                <c:pt idx="332">
                  <c:v>38040</c:v>
                </c:pt>
                <c:pt idx="333">
                  <c:v>38034</c:v>
                </c:pt>
                <c:pt idx="334">
                  <c:v>38026</c:v>
                </c:pt>
                <c:pt idx="335">
                  <c:v>38019</c:v>
                </c:pt>
                <c:pt idx="336">
                  <c:v>38012</c:v>
                </c:pt>
                <c:pt idx="337">
                  <c:v>38006</c:v>
                </c:pt>
                <c:pt idx="338">
                  <c:v>37998</c:v>
                </c:pt>
                <c:pt idx="339">
                  <c:v>37991</c:v>
                </c:pt>
                <c:pt idx="340">
                  <c:v>37984</c:v>
                </c:pt>
                <c:pt idx="341">
                  <c:v>37977</c:v>
                </c:pt>
                <c:pt idx="342">
                  <c:v>37970</c:v>
                </c:pt>
                <c:pt idx="343">
                  <c:v>37963</c:v>
                </c:pt>
                <c:pt idx="344">
                  <c:v>37956</c:v>
                </c:pt>
                <c:pt idx="345">
                  <c:v>37949</c:v>
                </c:pt>
                <c:pt idx="346">
                  <c:v>37942</c:v>
                </c:pt>
                <c:pt idx="347">
                  <c:v>37935</c:v>
                </c:pt>
                <c:pt idx="348">
                  <c:v>37928</c:v>
                </c:pt>
                <c:pt idx="349">
                  <c:v>37921</c:v>
                </c:pt>
              </c:numCache>
            </c:numRef>
          </c:cat>
          <c:val>
            <c:numRef>
              <c:f>PriceValueGraph!$I$38:$I$614</c:f>
              <c:numCache>
                <c:formatCode>"$"#,##0.00_);[Red]\("$"#,##0.00\)</c:formatCode>
                <c:ptCount val="577"/>
                <c:pt idx="0">
                  <c:v>16.52673854035822</c:v>
                </c:pt>
                <c:pt idx="1">
                  <c:v>16.52673854035822</c:v>
                </c:pt>
                <c:pt idx="2">
                  <c:v>16.52673854035822</c:v>
                </c:pt>
                <c:pt idx="3">
                  <c:v>16.52673854035822</c:v>
                </c:pt>
                <c:pt idx="4">
                  <c:v>16.52673854035822</c:v>
                </c:pt>
                <c:pt idx="5">
                  <c:v>16.52673854035822</c:v>
                </c:pt>
                <c:pt idx="6">
                  <c:v>16.52673854035822</c:v>
                </c:pt>
                <c:pt idx="7">
                  <c:v>16.52673854035822</c:v>
                </c:pt>
                <c:pt idx="8">
                  <c:v>16.52673854035822</c:v>
                </c:pt>
                <c:pt idx="9">
                  <c:v>16.52673854035822</c:v>
                </c:pt>
                <c:pt idx="10">
                  <c:v>16.52673854035822</c:v>
                </c:pt>
                <c:pt idx="11">
                  <c:v>16.52673854035822</c:v>
                </c:pt>
                <c:pt idx="12">
                  <c:v>16.52673854035822</c:v>
                </c:pt>
                <c:pt idx="13">
                  <c:v>16.52673854035822</c:v>
                </c:pt>
                <c:pt idx="14">
                  <c:v>16.52673854035822</c:v>
                </c:pt>
                <c:pt idx="15">
                  <c:v>16.52673854035822</c:v>
                </c:pt>
                <c:pt idx="16">
                  <c:v>16.52673854035822</c:v>
                </c:pt>
                <c:pt idx="17">
                  <c:v>16.52673854035822</c:v>
                </c:pt>
                <c:pt idx="18">
                  <c:v>16.52673854035822</c:v>
                </c:pt>
                <c:pt idx="19">
                  <c:v>16.52673854035822</c:v>
                </c:pt>
                <c:pt idx="20">
                  <c:v>16.52673854035822</c:v>
                </c:pt>
                <c:pt idx="21">
                  <c:v>16.52673854035822</c:v>
                </c:pt>
                <c:pt idx="22">
                  <c:v>16.52673854035822</c:v>
                </c:pt>
                <c:pt idx="23">
                  <c:v>16.52673854035822</c:v>
                </c:pt>
                <c:pt idx="24">
                  <c:v>16.52673854035822</c:v>
                </c:pt>
                <c:pt idx="25">
                  <c:v>16.52673854035822</c:v>
                </c:pt>
                <c:pt idx="26">
                  <c:v>16.52673854035822</c:v>
                </c:pt>
                <c:pt idx="27">
                  <c:v>16.52673854035822</c:v>
                </c:pt>
                <c:pt idx="28">
                  <c:v>16.52673854035822</c:v>
                </c:pt>
                <c:pt idx="29">
                  <c:v>16.52673854035822</c:v>
                </c:pt>
                <c:pt idx="30">
                  <c:v>16.52673854035822</c:v>
                </c:pt>
                <c:pt idx="31">
                  <c:v>16.52673854035822</c:v>
                </c:pt>
                <c:pt idx="32">
                  <c:v>16.52673854035822</c:v>
                </c:pt>
                <c:pt idx="33">
                  <c:v>16.52673854035822</c:v>
                </c:pt>
                <c:pt idx="34">
                  <c:v>16.52673854035822</c:v>
                </c:pt>
                <c:pt idx="35">
                  <c:v>16.52673854035822</c:v>
                </c:pt>
                <c:pt idx="36">
                  <c:v>16.52673854035822</c:v>
                </c:pt>
                <c:pt idx="37">
                  <c:v>16.52673854035822</c:v>
                </c:pt>
                <c:pt idx="38">
                  <c:v>16.52673854035822</c:v>
                </c:pt>
                <c:pt idx="39">
                  <c:v>16.52673854035822</c:v>
                </c:pt>
                <c:pt idx="40">
                  <c:v>16.52673854035822</c:v>
                </c:pt>
                <c:pt idx="41">
                  <c:v>16.52673854035822</c:v>
                </c:pt>
                <c:pt idx="42">
                  <c:v>16.52673854035822</c:v>
                </c:pt>
                <c:pt idx="43">
                  <c:v>16.52673854035822</c:v>
                </c:pt>
                <c:pt idx="44">
                  <c:v>16.52673854035822</c:v>
                </c:pt>
                <c:pt idx="45">
                  <c:v>16.52673854035822</c:v>
                </c:pt>
                <c:pt idx="46">
                  <c:v>16.52673854035822</c:v>
                </c:pt>
                <c:pt idx="47">
                  <c:v>16.52673854035822</c:v>
                </c:pt>
                <c:pt idx="48">
                  <c:v>16.52673854035822</c:v>
                </c:pt>
                <c:pt idx="49">
                  <c:v>16.52673854035822</c:v>
                </c:pt>
                <c:pt idx="50">
                  <c:v>16.52673854035822</c:v>
                </c:pt>
                <c:pt idx="51">
                  <c:v>16.52673854035822</c:v>
                </c:pt>
                <c:pt idx="52">
                  <c:v>16.52673854035822</c:v>
                </c:pt>
                <c:pt idx="53">
                  <c:v>16.52673854035822</c:v>
                </c:pt>
                <c:pt idx="54">
                  <c:v>16.52673854035822</c:v>
                </c:pt>
                <c:pt idx="55">
                  <c:v>16.52673854035822</c:v>
                </c:pt>
                <c:pt idx="56">
                  <c:v>15.812401226606713</c:v>
                </c:pt>
                <c:pt idx="57">
                  <c:v>15.812401226606713</c:v>
                </c:pt>
                <c:pt idx="58">
                  <c:v>15.812401226606713</c:v>
                </c:pt>
                <c:pt idx="59">
                  <c:v>15.812401226606713</c:v>
                </c:pt>
                <c:pt idx="60">
                  <c:v>15.812401226606713</c:v>
                </c:pt>
                <c:pt idx="61">
                  <c:v>15.812401226606713</c:v>
                </c:pt>
                <c:pt idx="62">
                  <c:v>15.812401226606713</c:v>
                </c:pt>
                <c:pt idx="63">
                  <c:v>15.812401226606713</c:v>
                </c:pt>
                <c:pt idx="64">
                  <c:v>15.812401226606713</c:v>
                </c:pt>
                <c:pt idx="65">
                  <c:v>15.812401226606713</c:v>
                </c:pt>
                <c:pt idx="66">
                  <c:v>15.812401226606713</c:v>
                </c:pt>
                <c:pt idx="67">
                  <c:v>15.812401226606713</c:v>
                </c:pt>
                <c:pt idx="68">
                  <c:v>15.812401226606713</c:v>
                </c:pt>
                <c:pt idx="69">
                  <c:v>15.812401226606713</c:v>
                </c:pt>
                <c:pt idx="70">
                  <c:v>15.812401226606713</c:v>
                </c:pt>
                <c:pt idx="71">
                  <c:v>15.812401226606713</c:v>
                </c:pt>
                <c:pt idx="72">
                  <c:v>15.812401226606713</c:v>
                </c:pt>
                <c:pt idx="73">
                  <c:v>15.812401226606713</c:v>
                </c:pt>
                <c:pt idx="74">
                  <c:v>15.812401226606713</c:v>
                </c:pt>
                <c:pt idx="75">
                  <c:v>15.812401226606713</c:v>
                </c:pt>
                <c:pt idx="76">
                  <c:v>15.812401226606713</c:v>
                </c:pt>
                <c:pt idx="77">
                  <c:v>15.812401226606713</c:v>
                </c:pt>
                <c:pt idx="78">
                  <c:v>15.812401226606713</c:v>
                </c:pt>
                <c:pt idx="79">
                  <c:v>15.812401226606713</c:v>
                </c:pt>
                <c:pt idx="80">
                  <c:v>15.812401226606713</c:v>
                </c:pt>
                <c:pt idx="81">
                  <c:v>15.812401226606713</c:v>
                </c:pt>
                <c:pt idx="82">
                  <c:v>15.812401226606713</c:v>
                </c:pt>
                <c:pt idx="83">
                  <c:v>15.812401226606713</c:v>
                </c:pt>
                <c:pt idx="84">
                  <c:v>15.812401226606713</c:v>
                </c:pt>
                <c:pt idx="85">
                  <c:v>15.812401226606713</c:v>
                </c:pt>
                <c:pt idx="86">
                  <c:v>15.812401226606713</c:v>
                </c:pt>
                <c:pt idx="87">
                  <c:v>15.812401226606713</c:v>
                </c:pt>
                <c:pt idx="88">
                  <c:v>15.812401226606713</c:v>
                </c:pt>
                <c:pt idx="89">
                  <c:v>15.812401226606713</c:v>
                </c:pt>
                <c:pt idx="90">
                  <c:v>15.812401226606713</c:v>
                </c:pt>
                <c:pt idx="91">
                  <c:v>15.812401226606713</c:v>
                </c:pt>
                <c:pt idx="92">
                  <c:v>15.812401226606713</c:v>
                </c:pt>
                <c:pt idx="93">
                  <c:v>15.812401226606713</c:v>
                </c:pt>
                <c:pt idx="94">
                  <c:v>15.812401226606713</c:v>
                </c:pt>
                <c:pt idx="95">
                  <c:v>15.812401226606713</c:v>
                </c:pt>
                <c:pt idx="96">
                  <c:v>15.812401226606713</c:v>
                </c:pt>
                <c:pt idx="97">
                  <c:v>15.812401226606713</c:v>
                </c:pt>
                <c:pt idx="98">
                  <c:v>15.812401226606713</c:v>
                </c:pt>
                <c:pt idx="99">
                  <c:v>15.812401226606713</c:v>
                </c:pt>
                <c:pt idx="100">
                  <c:v>15.812401226606713</c:v>
                </c:pt>
                <c:pt idx="101">
                  <c:v>15.812401226606713</c:v>
                </c:pt>
                <c:pt idx="102">
                  <c:v>15.812401226606713</c:v>
                </c:pt>
                <c:pt idx="103">
                  <c:v>15.812401226606713</c:v>
                </c:pt>
                <c:pt idx="104">
                  <c:v>15.812401226606713</c:v>
                </c:pt>
                <c:pt idx="105">
                  <c:v>15.812401226606713</c:v>
                </c:pt>
                <c:pt idx="106">
                  <c:v>15.812401226606713</c:v>
                </c:pt>
                <c:pt idx="107">
                  <c:v>15.812401226606713</c:v>
                </c:pt>
                <c:pt idx="108">
                  <c:v>14.208613051482986</c:v>
                </c:pt>
                <c:pt idx="109">
                  <c:v>14.208613051482986</c:v>
                </c:pt>
                <c:pt idx="110">
                  <c:v>14.208613051482986</c:v>
                </c:pt>
                <c:pt idx="111">
                  <c:v>14.208613051482986</c:v>
                </c:pt>
                <c:pt idx="112">
                  <c:v>14.208613051482986</c:v>
                </c:pt>
                <c:pt idx="113">
                  <c:v>14.208613051482986</c:v>
                </c:pt>
                <c:pt idx="114">
                  <c:v>14.208613051482986</c:v>
                </c:pt>
                <c:pt idx="115">
                  <c:v>14.208613051482986</c:v>
                </c:pt>
                <c:pt idx="116">
                  <c:v>14.208613051482986</c:v>
                </c:pt>
                <c:pt idx="117">
                  <c:v>14.208613051482986</c:v>
                </c:pt>
                <c:pt idx="118">
                  <c:v>14.208613051482986</c:v>
                </c:pt>
                <c:pt idx="119">
                  <c:v>14.208613051482986</c:v>
                </c:pt>
                <c:pt idx="120">
                  <c:v>14.208613051482986</c:v>
                </c:pt>
                <c:pt idx="121">
                  <c:v>14.208613051482986</c:v>
                </c:pt>
                <c:pt idx="122">
                  <c:v>14.208613051482986</c:v>
                </c:pt>
                <c:pt idx="123">
                  <c:v>14.208613051482986</c:v>
                </c:pt>
                <c:pt idx="124">
                  <c:v>14.208613051482986</c:v>
                </c:pt>
                <c:pt idx="125">
                  <c:v>14.208613051482986</c:v>
                </c:pt>
                <c:pt idx="126">
                  <c:v>14.208613051482986</c:v>
                </c:pt>
                <c:pt idx="127">
                  <c:v>14.208613051482986</c:v>
                </c:pt>
                <c:pt idx="128">
                  <c:v>14.208613051482986</c:v>
                </c:pt>
                <c:pt idx="129">
                  <c:v>14.208613051482986</c:v>
                </c:pt>
                <c:pt idx="130">
                  <c:v>14.208613051482986</c:v>
                </c:pt>
                <c:pt idx="131">
                  <c:v>14.208613051482986</c:v>
                </c:pt>
                <c:pt idx="132">
                  <c:v>14.208613051482986</c:v>
                </c:pt>
                <c:pt idx="133">
                  <c:v>14.208613051482986</c:v>
                </c:pt>
                <c:pt idx="134">
                  <c:v>14.208613051482986</c:v>
                </c:pt>
                <c:pt idx="135">
                  <c:v>14.208613051482986</c:v>
                </c:pt>
                <c:pt idx="136">
                  <c:v>14.208613051482986</c:v>
                </c:pt>
                <c:pt idx="137">
                  <c:v>14.208613051482986</c:v>
                </c:pt>
                <c:pt idx="138">
                  <c:v>14.208613051482986</c:v>
                </c:pt>
                <c:pt idx="139">
                  <c:v>14.208613051482986</c:v>
                </c:pt>
                <c:pt idx="140">
                  <c:v>14.208613051482986</c:v>
                </c:pt>
                <c:pt idx="141">
                  <c:v>14.208613051482986</c:v>
                </c:pt>
                <c:pt idx="142">
                  <c:v>14.208613051482986</c:v>
                </c:pt>
                <c:pt idx="143">
                  <c:v>14.208613051482986</c:v>
                </c:pt>
                <c:pt idx="144">
                  <c:v>14.208613051482986</c:v>
                </c:pt>
                <c:pt idx="145">
                  <c:v>14.208613051482986</c:v>
                </c:pt>
                <c:pt idx="146">
                  <c:v>14.208613051482986</c:v>
                </c:pt>
                <c:pt idx="147">
                  <c:v>14.208613051482986</c:v>
                </c:pt>
                <c:pt idx="148">
                  <c:v>14.208613051482986</c:v>
                </c:pt>
                <c:pt idx="149">
                  <c:v>14.208613051482986</c:v>
                </c:pt>
                <c:pt idx="150">
                  <c:v>14.208613051482986</c:v>
                </c:pt>
                <c:pt idx="151">
                  <c:v>14.208613051482986</c:v>
                </c:pt>
                <c:pt idx="152">
                  <c:v>14.208613051482986</c:v>
                </c:pt>
                <c:pt idx="153">
                  <c:v>14.208613051482986</c:v>
                </c:pt>
                <c:pt idx="154">
                  <c:v>14.208613051482986</c:v>
                </c:pt>
                <c:pt idx="155">
                  <c:v>14.208613051482986</c:v>
                </c:pt>
                <c:pt idx="156">
                  <c:v>14.208613051482986</c:v>
                </c:pt>
                <c:pt idx="157">
                  <c:v>14.208613051482986</c:v>
                </c:pt>
                <c:pt idx="158">
                  <c:v>14.208613051482986</c:v>
                </c:pt>
                <c:pt idx="159">
                  <c:v>14.208613051482986</c:v>
                </c:pt>
                <c:pt idx="160">
                  <c:v>14.037042317605316</c:v>
                </c:pt>
                <c:pt idx="161">
                  <c:v>14.037042317605316</c:v>
                </c:pt>
                <c:pt idx="162">
                  <c:v>14.037042317605316</c:v>
                </c:pt>
                <c:pt idx="163">
                  <c:v>14.037042317605316</c:v>
                </c:pt>
                <c:pt idx="164">
                  <c:v>14.037042317605316</c:v>
                </c:pt>
                <c:pt idx="165">
                  <c:v>14.037042317605316</c:v>
                </c:pt>
                <c:pt idx="166">
                  <c:v>14.037042317605316</c:v>
                </c:pt>
                <c:pt idx="167">
                  <c:v>14.037042317605316</c:v>
                </c:pt>
                <c:pt idx="168">
                  <c:v>14.037042317605316</c:v>
                </c:pt>
                <c:pt idx="169">
                  <c:v>14.037042317605316</c:v>
                </c:pt>
                <c:pt idx="170">
                  <c:v>14.037042317605316</c:v>
                </c:pt>
                <c:pt idx="171">
                  <c:v>14.037042317605316</c:v>
                </c:pt>
                <c:pt idx="172">
                  <c:v>14.037042317605316</c:v>
                </c:pt>
                <c:pt idx="173">
                  <c:v>14.037042317605316</c:v>
                </c:pt>
                <c:pt idx="174">
                  <c:v>14.037042317605316</c:v>
                </c:pt>
                <c:pt idx="175">
                  <c:v>14.037042317605316</c:v>
                </c:pt>
                <c:pt idx="176">
                  <c:v>14.037042317605316</c:v>
                </c:pt>
                <c:pt idx="177">
                  <c:v>14.037042317605316</c:v>
                </c:pt>
                <c:pt idx="178">
                  <c:v>14.037042317605316</c:v>
                </c:pt>
                <c:pt idx="179">
                  <c:v>14.037042317605316</c:v>
                </c:pt>
                <c:pt idx="180">
                  <c:v>14.037042317605316</c:v>
                </c:pt>
                <c:pt idx="181">
                  <c:v>14.037042317605316</c:v>
                </c:pt>
                <c:pt idx="182">
                  <c:v>14.037042317605316</c:v>
                </c:pt>
                <c:pt idx="183">
                  <c:v>14.037042317605316</c:v>
                </c:pt>
                <c:pt idx="184">
                  <c:v>14.037042317605316</c:v>
                </c:pt>
                <c:pt idx="185">
                  <c:v>14.037042317605316</c:v>
                </c:pt>
                <c:pt idx="186">
                  <c:v>14.037042317605316</c:v>
                </c:pt>
                <c:pt idx="187">
                  <c:v>14.037042317605316</c:v>
                </c:pt>
                <c:pt idx="188">
                  <c:v>14.037042317605316</c:v>
                </c:pt>
                <c:pt idx="189">
                  <c:v>14.037042317605316</c:v>
                </c:pt>
                <c:pt idx="190">
                  <c:v>14.037042317605316</c:v>
                </c:pt>
                <c:pt idx="191">
                  <c:v>14.037042317605316</c:v>
                </c:pt>
                <c:pt idx="192">
                  <c:v>14.037042317605316</c:v>
                </c:pt>
                <c:pt idx="193">
                  <c:v>14.037042317605316</c:v>
                </c:pt>
                <c:pt idx="194">
                  <c:v>14.037042317605316</c:v>
                </c:pt>
                <c:pt idx="195">
                  <c:v>14.037042317605316</c:v>
                </c:pt>
                <c:pt idx="196">
                  <c:v>14.037042317605316</c:v>
                </c:pt>
                <c:pt idx="197">
                  <c:v>14.037042317605316</c:v>
                </c:pt>
                <c:pt idx="198">
                  <c:v>14.037042317605316</c:v>
                </c:pt>
                <c:pt idx="199">
                  <c:v>14.037042317605316</c:v>
                </c:pt>
                <c:pt idx="200">
                  <c:v>14.037042317605316</c:v>
                </c:pt>
                <c:pt idx="201">
                  <c:v>14.037042317605316</c:v>
                </c:pt>
                <c:pt idx="202">
                  <c:v>14.037042317605316</c:v>
                </c:pt>
                <c:pt idx="203">
                  <c:v>14.037042317605316</c:v>
                </c:pt>
                <c:pt idx="204">
                  <c:v>14.037042317605316</c:v>
                </c:pt>
                <c:pt idx="205">
                  <c:v>14.037042317605316</c:v>
                </c:pt>
                <c:pt idx="206">
                  <c:v>14.037042317605316</c:v>
                </c:pt>
                <c:pt idx="207">
                  <c:v>14.037042317605316</c:v>
                </c:pt>
                <c:pt idx="208">
                  <c:v>14.037042317605316</c:v>
                </c:pt>
                <c:pt idx="209">
                  <c:v>14.037042317605316</c:v>
                </c:pt>
                <c:pt idx="210">
                  <c:v>14.037042317605316</c:v>
                </c:pt>
                <c:pt idx="211">
                  <c:v>14.037042317605316</c:v>
                </c:pt>
                <c:pt idx="212">
                  <c:v>13.768480922906432</c:v>
                </c:pt>
                <c:pt idx="213">
                  <c:v>13.768480922906432</c:v>
                </c:pt>
                <c:pt idx="214">
                  <c:v>13.768480922906432</c:v>
                </c:pt>
                <c:pt idx="215">
                  <c:v>13.768480922906432</c:v>
                </c:pt>
                <c:pt idx="216">
                  <c:v>13.768480922906432</c:v>
                </c:pt>
                <c:pt idx="217">
                  <c:v>13.768480922906432</c:v>
                </c:pt>
                <c:pt idx="218">
                  <c:v>13.768480922906432</c:v>
                </c:pt>
                <c:pt idx="219">
                  <c:v>13.768480922906432</c:v>
                </c:pt>
                <c:pt idx="220">
                  <c:v>13.768480922906432</c:v>
                </c:pt>
                <c:pt idx="221">
                  <c:v>13.768480922906432</c:v>
                </c:pt>
                <c:pt idx="222">
                  <c:v>13.768480922906432</c:v>
                </c:pt>
                <c:pt idx="223">
                  <c:v>13.768480922906432</c:v>
                </c:pt>
                <c:pt idx="224">
                  <c:v>13.768480922906432</c:v>
                </c:pt>
                <c:pt idx="225">
                  <c:v>13.768480922906432</c:v>
                </c:pt>
                <c:pt idx="226">
                  <c:v>13.768480922906432</c:v>
                </c:pt>
                <c:pt idx="227">
                  <c:v>13.768480922906432</c:v>
                </c:pt>
                <c:pt idx="228">
                  <c:v>13.768480922906432</c:v>
                </c:pt>
                <c:pt idx="229">
                  <c:v>13.768480922906432</c:v>
                </c:pt>
                <c:pt idx="230">
                  <c:v>13.768480922906432</c:v>
                </c:pt>
                <c:pt idx="231">
                  <c:v>13.768480922906432</c:v>
                </c:pt>
                <c:pt idx="232">
                  <c:v>13.768480922906432</c:v>
                </c:pt>
                <c:pt idx="233">
                  <c:v>13.768480922906432</c:v>
                </c:pt>
                <c:pt idx="234">
                  <c:v>13.768480922906432</c:v>
                </c:pt>
                <c:pt idx="235">
                  <c:v>13.768480922906432</c:v>
                </c:pt>
                <c:pt idx="236">
                  <c:v>13.768480922906432</c:v>
                </c:pt>
                <c:pt idx="237">
                  <c:v>13.768480922906432</c:v>
                </c:pt>
                <c:pt idx="238">
                  <c:v>13.768480922906432</c:v>
                </c:pt>
                <c:pt idx="239">
                  <c:v>13.768480922906432</c:v>
                </c:pt>
                <c:pt idx="240">
                  <c:v>13.768480922906432</c:v>
                </c:pt>
                <c:pt idx="241">
                  <c:v>13.768480922906432</c:v>
                </c:pt>
                <c:pt idx="242">
                  <c:v>13.768480922906432</c:v>
                </c:pt>
                <c:pt idx="243">
                  <c:v>13.768480922906432</c:v>
                </c:pt>
                <c:pt idx="244">
                  <c:v>13.768480922906432</c:v>
                </c:pt>
                <c:pt idx="245">
                  <c:v>13.768480922906432</c:v>
                </c:pt>
                <c:pt idx="246">
                  <c:v>13.768480922906432</c:v>
                </c:pt>
                <c:pt idx="247">
                  <c:v>13.768480922906432</c:v>
                </c:pt>
                <c:pt idx="248">
                  <c:v>13.768480922906432</c:v>
                </c:pt>
                <c:pt idx="249">
                  <c:v>13.768480922906432</c:v>
                </c:pt>
                <c:pt idx="250">
                  <c:v>13.768480922906432</c:v>
                </c:pt>
                <c:pt idx="251">
                  <c:v>13.768480922906432</c:v>
                </c:pt>
                <c:pt idx="252">
                  <c:v>13.768480922906432</c:v>
                </c:pt>
                <c:pt idx="253">
                  <c:v>13.768480922906432</c:v>
                </c:pt>
                <c:pt idx="254">
                  <c:v>13.768480922906432</c:v>
                </c:pt>
                <c:pt idx="255">
                  <c:v>13.768480922906432</c:v>
                </c:pt>
                <c:pt idx="256">
                  <c:v>13.768480922906432</c:v>
                </c:pt>
                <c:pt idx="257">
                  <c:v>13.768480922906432</c:v>
                </c:pt>
                <c:pt idx="258">
                  <c:v>13.768480922906432</c:v>
                </c:pt>
                <c:pt idx="259">
                  <c:v>13.768480922906432</c:v>
                </c:pt>
                <c:pt idx="260">
                  <c:v>13.768480922906432</c:v>
                </c:pt>
                <c:pt idx="261">
                  <c:v>13.768480922906432</c:v>
                </c:pt>
                <c:pt idx="262">
                  <c:v>13.768480922906432</c:v>
                </c:pt>
                <c:pt idx="263">
                  <c:v>13.768480922906432</c:v>
                </c:pt>
                <c:pt idx="264">
                  <c:v>13.181619725299248</c:v>
                </c:pt>
                <c:pt idx="265">
                  <c:v>13.181619725299248</c:v>
                </c:pt>
                <c:pt idx="266">
                  <c:v>13.181619725299248</c:v>
                </c:pt>
                <c:pt idx="267">
                  <c:v>13.181619725299248</c:v>
                </c:pt>
                <c:pt idx="268">
                  <c:v>13.181619725299248</c:v>
                </c:pt>
                <c:pt idx="269">
                  <c:v>13.181619725299248</c:v>
                </c:pt>
                <c:pt idx="270">
                  <c:v>13.181619725299248</c:v>
                </c:pt>
                <c:pt idx="271">
                  <c:v>13.181619725299248</c:v>
                </c:pt>
                <c:pt idx="272">
                  <c:v>13.181619725299248</c:v>
                </c:pt>
                <c:pt idx="273">
                  <c:v>13.181619725299248</c:v>
                </c:pt>
                <c:pt idx="274">
                  <c:v>13.181619725299248</c:v>
                </c:pt>
                <c:pt idx="275">
                  <c:v>13.181619725299248</c:v>
                </c:pt>
                <c:pt idx="276">
                  <c:v>13.181619725299248</c:v>
                </c:pt>
                <c:pt idx="277">
                  <c:v>13.181619725299248</c:v>
                </c:pt>
                <c:pt idx="278">
                  <c:v>13.181619725299248</c:v>
                </c:pt>
                <c:pt idx="279">
                  <c:v>13.181619725299248</c:v>
                </c:pt>
                <c:pt idx="280">
                  <c:v>13.181619725299248</c:v>
                </c:pt>
                <c:pt idx="281">
                  <c:v>13.181619725299248</c:v>
                </c:pt>
                <c:pt idx="282">
                  <c:v>13.181619725299248</c:v>
                </c:pt>
                <c:pt idx="283">
                  <c:v>13.181619725299248</c:v>
                </c:pt>
                <c:pt idx="284">
                  <c:v>13.181619725299248</c:v>
                </c:pt>
                <c:pt idx="285">
                  <c:v>13.181619725299248</c:v>
                </c:pt>
                <c:pt idx="286">
                  <c:v>13.181619725299248</c:v>
                </c:pt>
                <c:pt idx="287">
                  <c:v>13.181619725299248</c:v>
                </c:pt>
                <c:pt idx="288">
                  <c:v>13.181619725299248</c:v>
                </c:pt>
                <c:pt idx="289">
                  <c:v>13.181619725299248</c:v>
                </c:pt>
                <c:pt idx="290">
                  <c:v>13.181619725299248</c:v>
                </c:pt>
                <c:pt idx="291">
                  <c:v>13.181619725299248</c:v>
                </c:pt>
                <c:pt idx="292">
                  <c:v>13.181619725299248</c:v>
                </c:pt>
                <c:pt idx="293">
                  <c:v>13.181619725299248</c:v>
                </c:pt>
                <c:pt idx="294">
                  <c:v>13.181619725299248</c:v>
                </c:pt>
                <c:pt idx="295">
                  <c:v>13.181619725299248</c:v>
                </c:pt>
                <c:pt idx="296">
                  <c:v>13.181619725299248</c:v>
                </c:pt>
                <c:pt idx="297">
                  <c:v>13.181619725299248</c:v>
                </c:pt>
                <c:pt idx="298">
                  <c:v>13.181619725299248</c:v>
                </c:pt>
                <c:pt idx="299">
                  <c:v>13.181619725299248</c:v>
                </c:pt>
                <c:pt idx="300">
                  <c:v>13.181619725299248</c:v>
                </c:pt>
                <c:pt idx="301">
                  <c:v>13.181619725299248</c:v>
                </c:pt>
                <c:pt idx="302">
                  <c:v>13.181619725299248</c:v>
                </c:pt>
                <c:pt idx="303">
                  <c:v>13.181619725299248</c:v>
                </c:pt>
                <c:pt idx="304">
                  <c:v>13.181619725299248</c:v>
                </c:pt>
                <c:pt idx="305">
                  <c:v>13.181619725299248</c:v>
                </c:pt>
                <c:pt idx="306">
                  <c:v>13.181619725299248</c:v>
                </c:pt>
                <c:pt idx="307">
                  <c:v>13.181619725299248</c:v>
                </c:pt>
                <c:pt idx="308">
                  <c:v>13.181619725299248</c:v>
                </c:pt>
                <c:pt idx="309">
                  <c:v>13.181619725299248</c:v>
                </c:pt>
                <c:pt idx="310">
                  <c:v>13.181619725299248</c:v>
                </c:pt>
                <c:pt idx="311">
                  <c:v>13.181619725299248</c:v>
                </c:pt>
                <c:pt idx="312">
                  <c:v>13.181619725299248</c:v>
                </c:pt>
                <c:pt idx="313">
                  <c:v>13.181619725299248</c:v>
                </c:pt>
                <c:pt idx="314">
                  <c:v>13.181619725299248</c:v>
                </c:pt>
                <c:pt idx="315">
                  <c:v>13.181619725299248</c:v>
                </c:pt>
                <c:pt idx="316">
                  <c:v>12.4816538789158</c:v>
                </c:pt>
                <c:pt idx="317">
                  <c:v>12.4816538789158</c:v>
                </c:pt>
                <c:pt idx="318">
                  <c:v>12.4816538789158</c:v>
                </c:pt>
                <c:pt idx="319">
                  <c:v>12.4816538789158</c:v>
                </c:pt>
                <c:pt idx="320">
                  <c:v>12.4816538789158</c:v>
                </c:pt>
                <c:pt idx="321">
                  <c:v>12.4816538789158</c:v>
                </c:pt>
                <c:pt idx="322">
                  <c:v>12.4816538789158</c:v>
                </c:pt>
                <c:pt idx="323">
                  <c:v>12.4816538789158</c:v>
                </c:pt>
                <c:pt idx="324">
                  <c:v>12.4816538789158</c:v>
                </c:pt>
                <c:pt idx="325">
                  <c:v>12.4816538789158</c:v>
                </c:pt>
                <c:pt idx="326">
                  <c:v>12.4816538789158</c:v>
                </c:pt>
                <c:pt idx="327">
                  <c:v>12.4816538789158</c:v>
                </c:pt>
                <c:pt idx="328">
                  <c:v>12.4816538789158</c:v>
                </c:pt>
                <c:pt idx="329">
                  <c:v>12.4816538789158</c:v>
                </c:pt>
                <c:pt idx="330">
                  <c:v>12.4816538789158</c:v>
                </c:pt>
                <c:pt idx="331">
                  <c:v>12.4816538789158</c:v>
                </c:pt>
                <c:pt idx="332">
                  <c:v>12.4816538789158</c:v>
                </c:pt>
                <c:pt idx="333">
                  <c:v>12.4816538789158</c:v>
                </c:pt>
                <c:pt idx="334">
                  <c:v>12.4816538789158</c:v>
                </c:pt>
                <c:pt idx="335">
                  <c:v>12.4816538789158</c:v>
                </c:pt>
                <c:pt idx="336">
                  <c:v>12.4816538789158</c:v>
                </c:pt>
                <c:pt idx="337">
                  <c:v>12.4816538789158</c:v>
                </c:pt>
                <c:pt idx="338">
                  <c:v>12.4816538789158</c:v>
                </c:pt>
                <c:pt idx="339">
                  <c:v>12.4816538789158</c:v>
                </c:pt>
                <c:pt idx="340">
                  <c:v>12.4816538789158</c:v>
                </c:pt>
                <c:pt idx="341">
                  <c:v>12.4816538789158</c:v>
                </c:pt>
                <c:pt idx="342">
                  <c:v>12.4816538789158</c:v>
                </c:pt>
                <c:pt idx="343">
                  <c:v>12.4816538789158</c:v>
                </c:pt>
                <c:pt idx="344">
                  <c:v>12.4816538789158</c:v>
                </c:pt>
                <c:pt idx="345">
                  <c:v>12.4816538789158</c:v>
                </c:pt>
                <c:pt idx="346">
                  <c:v>12.4816538789158</c:v>
                </c:pt>
                <c:pt idx="347">
                  <c:v>12.4816538789158</c:v>
                </c:pt>
                <c:pt idx="348">
                  <c:v>12.4816538789158</c:v>
                </c:pt>
                <c:pt idx="349">
                  <c:v>12.4816538789158</c:v>
                </c:pt>
                <c:pt idx="350">
                  <c:v>12.4816538789158</c:v>
                </c:pt>
                <c:pt idx="351">
                  <c:v>12.4816538789158</c:v>
                </c:pt>
                <c:pt idx="352">
                  <c:v>12.4816538789158</c:v>
                </c:pt>
                <c:pt idx="353">
                  <c:v>12.4816538789158</c:v>
                </c:pt>
                <c:pt idx="354">
                  <c:v>12.4816538789158</c:v>
                </c:pt>
                <c:pt idx="355">
                  <c:v>12.4816538789158</c:v>
                </c:pt>
                <c:pt idx="356">
                  <c:v>12.4816538789158</c:v>
                </c:pt>
                <c:pt idx="357">
                  <c:v>12.4816538789158</c:v>
                </c:pt>
                <c:pt idx="358">
                  <c:v>12.4816538789158</c:v>
                </c:pt>
                <c:pt idx="359">
                  <c:v>12.4816538789158</c:v>
                </c:pt>
                <c:pt idx="360">
                  <c:v>12.4816538789158</c:v>
                </c:pt>
                <c:pt idx="361">
                  <c:v>12.4816538789158</c:v>
                </c:pt>
                <c:pt idx="362">
                  <c:v>12.4816538789158</c:v>
                </c:pt>
                <c:pt idx="363">
                  <c:v>12.4816538789158</c:v>
                </c:pt>
                <c:pt idx="364">
                  <c:v>12.4816538789158</c:v>
                </c:pt>
                <c:pt idx="365">
                  <c:v>12.4816538789158</c:v>
                </c:pt>
                <c:pt idx="366">
                  <c:v>12.4816538789158</c:v>
                </c:pt>
                <c:pt idx="367">
                  <c:v>12.4816538789158</c:v>
                </c:pt>
                <c:pt idx="368">
                  <c:v>11.440383401881562</c:v>
                </c:pt>
                <c:pt idx="369">
                  <c:v>11.440383401881562</c:v>
                </c:pt>
                <c:pt idx="370">
                  <c:v>11.440383401881562</c:v>
                </c:pt>
                <c:pt idx="371">
                  <c:v>11.440383401881562</c:v>
                </c:pt>
                <c:pt idx="372">
                  <c:v>11.440383401881562</c:v>
                </c:pt>
                <c:pt idx="373">
                  <c:v>11.440383401881562</c:v>
                </c:pt>
                <c:pt idx="374">
                  <c:v>11.440383401881562</c:v>
                </c:pt>
                <c:pt idx="375">
                  <c:v>11.440383401881562</c:v>
                </c:pt>
                <c:pt idx="376">
                  <c:v>11.440383401881562</c:v>
                </c:pt>
                <c:pt idx="377">
                  <c:v>11.440383401881562</c:v>
                </c:pt>
                <c:pt idx="378">
                  <c:v>11.440383401881562</c:v>
                </c:pt>
                <c:pt idx="379">
                  <c:v>11.440383401881562</c:v>
                </c:pt>
                <c:pt idx="380">
                  <c:v>11.440383401881562</c:v>
                </c:pt>
                <c:pt idx="381">
                  <c:v>11.440383401881562</c:v>
                </c:pt>
                <c:pt idx="382">
                  <c:v>11.440383401881562</c:v>
                </c:pt>
                <c:pt idx="383">
                  <c:v>11.440383401881562</c:v>
                </c:pt>
                <c:pt idx="384">
                  <c:v>11.440383401881562</c:v>
                </c:pt>
                <c:pt idx="385">
                  <c:v>11.440383401881562</c:v>
                </c:pt>
                <c:pt idx="386">
                  <c:v>11.440383401881562</c:v>
                </c:pt>
                <c:pt idx="387">
                  <c:v>11.440383401881562</c:v>
                </c:pt>
                <c:pt idx="388">
                  <c:v>11.440383401881562</c:v>
                </c:pt>
                <c:pt idx="389">
                  <c:v>11.440383401881562</c:v>
                </c:pt>
                <c:pt idx="390">
                  <c:v>11.440383401881562</c:v>
                </c:pt>
                <c:pt idx="391">
                  <c:v>11.440383401881562</c:v>
                </c:pt>
                <c:pt idx="392">
                  <c:v>11.440383401881562</c:v>
                </c:pt>
                <c:pt idx="393">
                  <c:v>11.440383401881562</c:v>
                </c:pt>
                <c:pt idx="394">
                  <c:v>11.440383401881562</c:v>
                </c:pt>
                <c:pt idx="395">
                  <c:v>11.440383401881562</c:v>
                </c:pt>
                <c:pt idx="396">
                  <c:v>11.440383401881562</c:v>
                </c:pt>
                <c:pt idx="397">
                  <c:v>11.440383401881562</c:v>
                </c:pt>
                <c:pt idx="398">
                  <c:v>11.440383401881562</c:v>
                </c:pt>
                <c:pt idx="399">
                  <c:v>11.440383401881562</c:v>
                </c:pt>
                <c:pt idx="400">
                  <c:v>11.440383401881562</c:v>
                </c:pt>
                <c:pt idx="401">
                  <c:v>11.440383401881562</c:v>
                </c:pt>
                <c:pt idx="402">
                  <c:v>11.440383401881562</c:v>
                </c:pt>
                <c:pt idx="403">
                  <c:v>11.440383401881562</c:v>
                </c:pt>
                <c:pt idx="404">
                  <c:v>11.440383401881562</c:v>
                </c:pt>
                <c:pt idx="405">
                  <c:v>11.440383401881562</c:v>
                </c:pt>
                <c:pt idx="406">
                  <c:v>11.440383401881562</c:v>
                </c:pt>
                <c:pt idx="407">
                  <c:v>11.440383401881562</c:v>
                </c:pt>
                <c:pt idx="408">
                  <c:v>11.440383401881562</c:v>
                </c:pt>
                <c:pt idx="409">
                  <c:v>11.440383401881562</c:v>
                </c:pt>
                <c:pt idx="410">
                  <c:v>11.440383401881562</c:v>
                </c:pt>
                <c:pt idx="411">
                  <c:v>11.440383401881562</c:v>
                </c:pt>
                <c:pt idx="412">
                  <c:v>11.440383401881562</c:v>
                </c:pt>
                <c:pt idx="413">
                  <c:v>11.440383401881562</c:v>
                </c:pt>
                <c:pt idx="414">
                  <c:v>11.440383401881562</c:v>
                </c:pt>
                <c:pt idx="415">
                  <c:v>11.440383401881562</c:v>
                </c:pt>
                <c:pt idx="416">
                  <c:v>11.440383401881562</c:v>
                </c:pt>
                <c:pt idx="417">
                  <c:v>11.440383401881562</c:v>
                </c:pt>
                <c:pt idx="418">
                  <c:v>11.440383401881562</c:v>
                </c:pt>
                <c:pt idx="419">
                  <c:v>11.440383401881562</c:v>
                </c:pt>
                <c:pt idx="420">
                  <c:v>10.31365357569238</c:v>
                </c:pt>
                <c:pt idx="421">
                  <c:v>10.31365357569238</c:v>
                </c:pt>
                <c:pt idx="422">
                  <c:v>10.31365357569238</c:v>
                </c:pt>
                <c:pt idx="423">
                  <c:v>10.31365357569238</c:v>
                </c:pt>
                <c:pt idx="424">
                  <c:v>10.31365357569238</c:v>
                </c:pt>
                <c:pt idx="425">
                  <c:v>10.31365357569238</c:v>
                </c:pt>
                <c:pt idx="426">
                  <c:v>10.31365357569238</c:v>
                </c:pt>
                <c:pt idx="427">
                  <c:v>10.31365357569238</c:v>
                </c:pt>
                <c:pt idx="428">
                  <c:v>10.31365357569238</c:v>
                </c:pt>
                <c:pt idx="429">
                  <c:v>10.31365357569238</c:v>
                </c:pt>
                <c:pt idx="430">
                  <c:v>10.31365357569238</c:v>
                </c:pt>
                <c:pt idx="431">
                  <c:v>10.31365357569238</c:v>
                </c:pt>
                <c:pt idx="432">
                  <c:v>10.31365357569238</c:v>
                </c:pt>
                <c:pt idx="433">
                  <c:v>10.31365357569238</c:v>
                </c:pt>
                <c:pt idx="434">
                  <c:v>10.31365357569238</c:v>
                </c:pt>
                <c:pt idx="435">
                  <c:v>10.31365357569238</c:v>
                </c:pt>
                <c:pt idx="436">
                  <c:v>10.31365357569238</c:v>
                </c:pt>
                <c:pt idx="437">
                  <c:v>10.31365357569238</c:v>
                </c:pt>
                <c:pt idx="438">
                  <c:v>10.31365357569238</c:v>
                </c:pt>
                <c:pt idx="439">
                  <c:v>10.31365357569238</c:v>
                </c:pt>
                <c:pt idx="440">
                  <c:v>10.31365357569238</c:v>
                </c:pt>
                <c:pt idx="441">
                  <c:v>10.31365357569238</c:v>
                </c:pt>
                <c:pt idx="442">
                  <c:v>10.31365357569238</c:v>
                </c:pt>
                <c:pt idx="443">
                  <c:v>10.31365357569238</c:v>
                </c:pt>
                <c:pt idx="444">
                  <c:v>10.31365357569238</c:v>
                </c:pt>
                <c:pt idx="445">
                  <c:v>10.31365357569238</c:v>
                </c:pt>
                <c:pt idx="446">
                  <c:v>10.31365357569238</c:v>
                </c:pt>
                <c:pt idx="447">
                  <c:v>10.31365357569238</c:v>
                </c:pt>
                <c:pt idx="448">
                  <c:v>10.31365357569238</c:v>
                </c:pt>
                <c:pt idx="449">
                  <c:v>10.31365357569238</c:v>
                </c:pt>
                <c:pt idx="450">
                  <c:v>10.31365357569238</c:v>
                </c:pt>
                <c:pt idx="451">
                  <c:v>10.31365357569238</c:v>
                </c:pt>
                <c:pt idx="452">
                  <c:v>10.31365357569238</c:v>
                </c:pt>
                <c:pt idx="453">
                  <c:v>10.31365357569238</c:v>
                </c:pt>
                <c:pt idx="454">
                  <c:v>10.31365357569238</c:v>
                </c:pt>
                <c:pt idx="455">
                  <c:v>10.31365357569238</c:v>
                </c:pt>
                <c:pt idx="456">
                  <c:v>10.31365357569238</c:v>
                </c:pt>
                <c:pt idx="457">
                  <c:v>10.31365357569238</c:v>
                </c:pt>
                <c:pt idx="458">
                  <c:v>10.31365357569238</c:v>
                </c:pt>
                <c:pt idx="459">
                  <c:v>10.31365357569238</c:v>
                </c:pt>
                <c:pt idx="460">
                  <c:v>10.31365357569238</c:v>
                </c:pt>
                <c:pt idx="461">
                  <c:v>10.31365357569238</c:v>
                </c:pt>
                <c:pt idx="462">
                  <c:v>10.31365357569238</c:v>
                </c:pt>
                <c:pt idx="463">
                  <c:v>10.31365357569238</c:v>
                </c:pt>
                <c:pt idx="464">
                  <c:v>10.31365357569238</c:v>
                </c:pt>
                <c:pt idx="465">
                  <c:v>10.31365357569238</c:v>
                </c:pt>
                <c:pt idx="466">
                  <c:v>10.31365357569238</c:v>
                </c:pt>
                <c:pt idx="467">
                  <c:v>10.31365357569238</c:v>
                </c:pt>
                <c:pt idx="468">
                  <c:v>10.31365357569238</c:v>
                </c:pt>
                <c:pt idx="469">
                  <c:v>10.31365357569238</c:v>
                </c:pt>
                <c:pt idx="470">
                  <c:v>10.31365357569238</c:v>
                </c:pt>
                <c:pt idx="471">
                  <c:v>10.31365357569238</c:v>
                </c:pt>
                <c:pt idx="472">
                  <c:v>10.005238612394216</c:v>
                </c:pt>
                <c:pt idx="473">
                  <c:v>10.005238612394216</c:v>
                </c:pt>
                <c:pt idx="474">
                  <c:v>10.005238612394216</c:v>
                </c:pt>
                <c:pt idx="475">
                  <c:v>10.005238612394216</c:v>
                </c:pt>
                <c:pt idx="476">
                  <c:v>10.005238612394216</c:v>
                </c:pt>
                <c:pt idx="477">
                  <c:v>10.005238612394216</c:v>
                </c:pt>
                <c:pt idx="478">
                  <c:v>10.005238612394216</c:v>
                </c:pt>
                <c:pt idx="479">
                  <c:v>10.005238612394216</c:v>
                </c:pt>
                <c:pt idx="480">
                  <c:v>10.005238612394216</c:v>
                </c:pt>
                <c:pt idx="481">
                  <c:v>10.005238612394216</c:v>
                </c:pt>
                <c:pt idx="482">
                  <c:v>10.005238612394216</c:v>
                </c:pt>
                <c:pt idx="483">
                  <c:v>10.005238612394216</c:v>
                </c:pt>
                <c:pt idx="484">
                  <c:v>10.005238612394216</c:v>
                </c:pt>
                <c:pt idx="485">
                  <c:v>10.005238612394216</c:v>
                </c:pt>
                <c:pt idx="486">
                  <c:v>10.005238612394216</c:v>
                </c:pt>
                <c:pt idx="487">
                  <c:v>10.005238612394216</c:v>
                </c:pt>
                <c:pt idx="488">
                  <c:v>10.005238612394216</c:v>
                </c:pt>
                <c:pt idx="489">
                  <c:v>10.005238612394216</c:v>
                </c:pt>
                <c:pt idx="490">
                  <c:v>10.005238612394216</c:v>
                </c:pt>
                <c:pt idx="491">
                  <c:v>10.005238612394216</c:v>
                </c:pt>
                <c:pt idx="492">
                  <c:v>10.005238612394216</c:v>
                </c:pt>
                <c:pt idx="493">
                  <c:v>10.005238612394216</c:v>
                </c:pt>
                <c:pt idx="494">
                  <c:v>10.005238612394216</c:v>
                </c:pt>
                <c:pt idx="495">
                  <c:v>10.005238612394216</c:v>
                </c:pt>
                <c:pt idx="496">
                  <c:v>10.005238612394216</c:v>
                </c:pt>
                <c:pt idx="497">
                  <c:v>10.005238612394216</c:v>
                </c:pt>
                <c:pt idx="498">
                  <c:v>10.005238612394216</c:v>
                </c:pt>
                <c:pt idx="499">
                  <c:v>10.005238612394216</c:v>
                </c:pt>
                <c:pt idx="500">
                  <c:v>10.005238612394216</c:v>
                </c:pt>
                <c:pt idx="501">
                  <c:v>10.005238612394216</c:v>
                </c:pt>
                <c:pt idx="502">
                  <c:v>10.005238612394216</c:v>
                </c:pt>
                <c:pt idx="503">
                  <c:v>10.005238612394216</c:v>
                </c:pt>
                <c:pt idx="504">
                  <c:v>10.005238612394216</c:v>
                </c:pt>
                <c:pt idx="505">
                  <c:v>10.005238612394216</c:v>
                </c:pt>
                <c:pt idx="506">
                  <c:v>10.005238612394216</c:v>
                </c:pt>
                <c:pt idx="507">
                  <c:v>10.005238612394216</c:v>
                </c:pt>
                <c:pt idx="508">
                  <c:v>10.005238612394216</c:v>
                </c:pt>
                <c:pt idx="509">
                  <c:v>10.005238612394216</c:v>
                </c:pt>
                <c:pt idx="510">
                  <c:v>10.005238612394216</c:v>
                </c:pt>
                <c:pt idx="511">
                  <c:v>10.005238612394216</c:v>
                </c:pt>
                <c:pt idx="512">
                  <c:v>10.005238612394216</c:v>
                </c:pt>
                <c:pt idx="513">
                  <c:v>10.005238612394216</c:v>
                </c:pt>
                <c:pt idx="514">
                  <c:v>10.005238612394216</c:v>
                </c:pt>
                <c:pt idx="515">
                  <c:v>10.005238612394216</c:v>
                </c:pt>
                <c:pt idx="516">
                  <c:v>10.005238612394216</c:v>
                </c:pt>
                <c:pt idx="517">
                  <c:v>10.005238612394216</c:v>
                </c:pt>
                <c:pt idx="518">
                  <c:v>10.005238612394216</c:v>
                </c:pt>
                <c:pt idx="519">
                  <c:v>10.005238612394216</c:v>
                </c:pt>
                <c:pt idx="520">
                  <c:v>10.005238612394216</c:v>
                </c:pt>
                <c:pt idx="521">
                  <c:v>10.005238612394216</c:v>
                </c:pt>
                <c:pt idx="522">
                  <c:v>10.005238612394216</c:v>
                </c:pt>
                <c:pt idx="523">
                  <c:v>10.005238612394216</c:v>
                </c:pt>
                <c:pt idx="524">
                  <c:v>9.0537307500940845</c:v>
                </c:pt>
                <c:pt idx="525">
                  <c:v>9.0537307500940845</c:v>
                </c:pt>
                <c:pt idx="526">
                  <c:v>9.0537307500940845</c:v>
                </c:pt>
                <c:pt idx="527">
                  <c:v>9.0537307500940845</c:v>
                </c:pt>
                <c:pt idx="528">
                  <c:v>9.0537307500940845</c:v>
                </c:pt>
                <c:pt idx="529">
                  <c:v>9.0537307500940845</c:v>
                </c:pt>
                <c:pt idx="530">
                  <c:v>9.0537307500940845</c:v>
                </c:pt>
                <c:pt idx="531">
                  <c:v>9.0537307500940845</c:v>
                </c:pt>
                <c:pt idx="532">
                  <c:v>9.0537307500940845</c:v>
                </c:pt>
                <c:pt idx="533">
                  <c:v>9.0537307500940845</c:v>
                </c:pt>
                <c:pt idx="534">
                  <c:v>9.0537307500940845</c:v>
                </c:pt>
                <c:pt idx="535">
                  <c:v>9.0537307500940845</c:v>
                </c:pt>
                <c:pt idx="536">
                  <c:v>9.0537307500940845</c:v>
                </c:pt>
                <c:pt idx="537">
                  <c:v>9.0537307500940845</c:v>
                </c:pt>
                <c:pt idx="538">
                  <c:v>9.0537307500940845</c:v>
                </c:pt>
                <c:pt idx="539">
                  <c:v>9.0537307500940845</c:v>
                </c:pt>
                <c:pt idx="540">
                  <c:v>9.0537307500940845</c:v>
                </c:pt>
                <c:pt idx="541">
                  <c:v>9.0537307500940845</c:v>
                </c:pt>
                <c:pt idx="542">
                  <c:v>9.0537307500940845</c:v>
                </c:pt>
                <c:pt idx="543">
                  <c:v>9.0537307500940845</c:v>
                </c:pt>
                <c:pt idx="544">
                  <c:v>9.0537307500940845</c:v>
                </c:pt>
                <c:pt idx="545">
                  <c:v>9.0537307500940845</c:v>
                </c:pt>
                <c:pt idx="546">
                  <c:v>9.0537307500940845</c:v>
                </c:pt>
                <c:pt idx="547">
                  <c:v>9.0537307500940845</c:v>
                </c:pt>
                <c:pt idx="548">
                  <c:v>9.0537307500940845</c:v>
                </c:pt>
                <c:pt idx="549">
                  <c:v>9.0537307500940845</c:v>
                </c:pt>
                <c:pt idx="550">
                  <c:v>9.0537307500940845</c:v>
                </c:pt>
                <c:pt idx="551">
                  <c:v>9.0537307500940845</c:v>
                </c:pt>
                <c:pt idx="552">
                  <c:v>9.0537307500940845</c:v>
                </c:pt>
                <c:pt idx="553">
                  <c:v>9.0537307500940845</c:v>
                </c:pt>
                <c:pt idx="554">
                  <c:v>9.0537307500940845</c:v>
                </c:pt>
                <c:pt idx="555">
                  <c:v>9.0537307500940845</c:v>
                </c:pt>
                <c:pt idx="556">
                  <c:v>9.0537307500940845</c:v>
                </c:pt>
                <c:pt idx="557">
                  <c:v>9.0537307500940845</c:v>
                </c:pt>
                <c:pt idx="558">
                  <c:v>9.0537307500940845</c:v>
                </c:pt>
                <c:pt idx="559">
                  <c:v>9.0537307500940845</c:v>
                </c:pt>
                <c:pt idx="560">
                  <c:v>9.0537307500940845</c:v>
                </c:pt>
                <c:pt idx="561">
                  <c:v>9.0537307500940845</c:v>
                </c:pt>
                <c:pt idx="562">
                  <c:v>9.0537307500940845</c:v>
                </c:pt>
                <c:pt idx="563">
                  <c:v>9.0537307500940845</c:v>
                </c:pt>
                <c:pt idx="564">
                  <c:v>9.0537307500940845</c:v>
                </c:pt>
                <c:pt idx="565">
                  <c:v>9.0537307500940845</c:v>
                </c:pt>
                <c:pt idx="566">
                  <c:v>9.0537307500940845</c:v>
                </c:pt>
                <c:pt idx="567">
                  <c:v>9.0537307500940845</c:v>
                </c:pt>
                <c:pt idx="568">
                  <c:v>9.0537307500940845</c:v>
                </c:pt>
                <c:pt idx="569">
                  <c:v>9.0537307500940845</c:v>
                </c:pt>
                <c:pt idx="570">
                  <c:v>9.0537307500940845</c:v>
                </c:pt>
                <c:pt idx="571">
                  <c:v>9.0537307500940845</c:v>
                </c:pt>
                <c:pt idx="572">
                  <c:v>9.0537307500940845</c:v>
                </c:pt>
                <c:pt idx="573">
                  <c:v>9.0537307500940845</c:v>
                </c:pt>
                <c:pt idx="574">
                  <c:v>9.0537307500940845</c:v>
                </c:pt>
                <c:pt idx="575">
                  <c:v>9.0537307500940845</c:v>
                </c:pt>
                <c:pt idx="576">
                  <c:v>9.0537307500940845</c:v>
                </c:pt>
              </c:numCache>
            </c:numRef>
          </c:val>
        </c:ser>
        <c:marker val="1"/>
        <c:axId val="111736320"/>
        <c:axId val="111737856"/>
      </c:lineChart>
      <c:dateAx>
        <c:axId val="111736320"/>
        <c:scaling>
          <c:orientation val="minMax"/>
        </c:scaling>
        <c:axPos val="b"/>
        <c:numFmt formatCode="m/d/yyyy" sourceLinked="0"/>
        <c:maj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11737856"/>
        <c:crosses val="autoZero"/>
        <c:auto val="1"/>
        <c:lblOffset val="100"/>
      </c:dateAx>
      <c:valAx>
        <c:axId val="111737856"/>
        <c:scaling>
          <c:orientation val="minMax"/>
        </c:scaling>
        <c:axPos val="l"/>
        <c:majorGridlines>
          <c:spPr>
            <a:ln>
              <a:solidFill>
                <a:schemeClr val="bg1">
                  <a:lumMod val="85000"/>
                </a:schemeClr>
              </a:solidFill>
            </a:ln>
          </c:spPr>
        </c:majorGridlines>
        <c:numFmt formatCode="General" sourceLinked="1"/>
        <c:majorTickMark val="none"/>
        <c:tickLblPos val="nextTo"/>
        <c:spPr>
          <a:ln w="9525">
            <a:noFill/>
          </a:ln>
        </c:spPr>
        <c:txPr>
          <a:bodyPr rot="0" vert="horz"/>
          <a:lstStyle/>
          <a:p>
            <a:pPr>
              <a:defRPr sz="1000" b="0" i="0" u="none" strike="noStrike" baseline="0">
                <a:solidFill>
                  <a:srgbClr val="000000"/>
                </a:solidFill>
                <a:latin typeface="Calibri"/>
                <a:ea typeface="Calibri"/>
                <a:cs typeface="Calibri"/>
              </a:defRPr>
            </a:pPr>
            <a:endParaRPr lang="en-US"/>
          </a:p>
        </c:txPr>
        <c:crossAx val="111736320"/>
        <c:crosses val="autoZero"/>
        <c:crossBetween val="between"/>
      </c:valAx>
      <c:spPr>
        <a:ln>
          <a:noFill/>
        </a:ln>
      </c:spPr>
    </c:plotArea>
    <c:legend>
      <c:legendPos val="b"/>
    </c:legend>
    <c:plotVisOnly val="1"/>
    <c:dispBlanksAs val="gap"/>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3" Type="http://schemas.openxmlformats.org/officeDocument/2006/relationships/image" Target="../media/image1.png"/><Relationship Id="rId7" Type="http://schemas.openxmlformats.org/officeDocument/2006/relationships/chart" Target="../charts/chart5.xml"/><Relationship Id="rId12" Type="http://schemas.openxmlformats.org/officeDocument/2006/relationships/chart" Target="../charts/chart10.xml"/><Relationship Id="rId2" Type="http://schemas.openxmlformats.org/officeDocument/2006/relationships/hyperlink" Target="http://www.oldschoolvalue.com/intrinsic-value-spreadsheets/" TargetMode="External"/><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chart" Target="../charts/chart26.xml"/><Relationship Id="rId3" Type="http://schemas.openxmlformats.org/officeDocument/2006/relationships/chart" Target="../charts/chart16.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 Type="http://schemas.openxmlformats.org/officeDocument/2006/relationships/chart" Target="../charts/chart15.xml"/><Relationship Id="rId16" Type="http://schemas.openxmlformats.org/officeDocument/2006/relationships/chart" Target="../charts/chart29.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5" Type="http://schemas.openxmlformats.org/officeDocument/2006/relationships/chart" Target="../charts/chart18.xml"/><Relationship Id="rId15" Type="http://schemas.openxmlformats.org/officeDocument/2006/relationships/chart" Target="../charts/chart28.xml"/><Relationship Id="rId10" Type="http://schemas.openxmlformats.org/officeDocument/2006/relationships/chart" Target="../charts/chart23.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9.xml.rels><?xml version="1.0" encoding="UTF-8" standalone="yes"?>
<Relationships xmlns="http://schemas.openxmlformats.org/package/2006/relationships"><Relationship Id="rId8" Type="http://schemas.openxmlformats.org/officeDocument/2006/relationships/chart" Target="../charts/chart39.xml"/><Relationship Id="rId13" Type="http://schemas.openxmlformats.org/officeDocument/2006/relationships/chart" Target="../charts/chart44.xml"/><Relationship Id="rId18" Type="http://schemas.openxmlformats.org/officeDocument/2006/relationships/chart" Target="../charts/chart49.xml"/><Relationship Id="rId3" Type="http://schemas.openxmlformats.org/officeDocument/2006/relationships/chart" Target="../charts/chart34.xml"/><Relationship Id="rId7" Type="http://schemas.openxmlformats.org/officeDocument/2006/relationships/chart" Target="../charts/chart38.xml"/><Relationship Id="rId12" Type="http://schemas.openxmlformats.org/officeDocument/2006/relationships/chart" Target="../charts/chart43.xml"/><Relationship Id="rId17" Type="http://schemas.openxmlformats.org/officeDocument/2006/relationships/chart" Target="../charts/chart48.xml"/><Relationship Id="rId2" Type="http://schemas.openxmlformats.org/officeDocument/2006/relationships/chart" Target="../charts/chart33.xml"/><Relationship Id="rId16" Type="http://schemas.openxmlformats.org/officeDocument/2006/relationships/chart" Target="../charts/chart47.xml"/><Relationship Id="rId20" Type="http://schemas.openxmlformats.org/officeDocument/2006/relationships/chart" Target="../charts/chart51.xml"/><Relationship Id="rId1" Type="http://schemas.openxmlformats.org/officeDocument/2006/relationships/chart" Target="../charts/chart32.xml"/><Relationship Id="rId6" Type="http://schemas.openxmlformats.org/officeDocument/2006/relationships/chart" Target="../charts/chart37.xml"/><Relationship Id="rId11" Type="http://schemas.openxmlformats.org/officeDocument/2006/relationships/chart" Target="../charts/chart42.xml"/><Relationship Id="rId5" Type="http://schemas.openxmlformats.org/officeDocument/2006/relationships/chart" Target="../charts/chart36.xml"/><Relationship Id="rId15" Type="http://schemas.openxmlformats.org/officeDocument/2006/relationships/chart" Target="../charts/chart46.xml"/><Relationship Id="rId10" Type="http://schemas.openxmlformats.org/officeDocument/2006/relationships/chart" Target="../charts/chart41.xml"/><Relationship Id="rId19" Type="http://schemas.openxmlformats.org/officeDocument/2006/relationships/chart" Target="../charts/chart50.xml"/><Relationship Id="rId4" Type="http://schemas.openxmlformats.org/officeDocument/2006/relationships/chart" Target="../charts/chart35.xml"/><Relationship Id="rId9" Type="http://schemas.openxmlformats.org/officeDocument/2006/relationships/chart" Target="../charts/chart40.xml"/><Relationship Id="rId14" Type="http://schemas.openxmlformats.org/officeDocument/2006/relationships/chart" Target="../charts/chart4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6</xdr:col>
      <xdr:colOff>200025</xdr:colOff>
      <xdr:row>8</xdr:row>
      <xdr:rowOff>19050</xdr:rowOff>
    </xdr:from>
    <xdr:to>
      <xdr:col>12</xdr:col>
      <xdr:colOff>952500</xdr:colOff>
      <xdr:row>24</xdr:row>
      <xdr:rowOff>85725</xdr:rowOff>
    </xdr:to>
    <xdr:graphicFrame macro="">
      <xdr:nvGraphicFramePr>
        <xdr:cNvPr id="6368345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866775</xdr:colOff>
      <xdr:row>0</xdr:row>
      <xdr:rowOff>0</xdr:rowOff>
    </xdr:from>
    <xdr:to>
      <xdr:col>12</xdr:col>
      <xdr:colOff>990600</xdr:colOff>
      <xdr:row>2</xdr:row>
      <xdr:rowOff>66675</xdr:rowOff>
    </xdr:to>
    <xdr:pic>
      <xdr:nvPicPr>
        <xdr:cNvPr id="63683459" name="Picture 15" descr="OSV-logo-freshnews.png">
          <a:hlinkClick xmlns:r="http://schemas.openxmlformats.org/officeDocument/2006/relationships" r:id="rId2"/>
        </xdr:cNvPr>
        <xdr:cNvPicPr>
          <a:picLocks noChangeAspect="1"/>
        </xdr:cNvPicPr>
      </xdr:nvPicPr>
      <xdr:blipFill>
        <a:blip xmlns:r="http://schemas.openxmlformats.org/officeDocument/2006/relationships" r:embed="rId3" cstate="print">
          <a:lum contrast="20000"/>
        </a:blip>
        <a:srcRect/>
        <a:stretch>
          <a:fillRect/>
        </a:stretch>
      </xdr:blipFill>
      <xdr:spPr bwMode="auto">
        <a:xfrm>
          <a:off x="6305550" y="0"/>
          <a:ext cx="2981325" cy="485775"/>
        </a:xfrm>
        <a:prstGeom prst="rect">
          <a:avLst/>
        </a:prstGeom>
        <a:noFill/>
        <a:ln w="9525">
          <a:noFill/>
          <a:miter lim="800000"/>
          <a:headEnd/>
          <a:tailEnd/>
        </a:ln>
      </xdr:spPr>
    </xdr:pic>
    <xdr:clientData/>
  </xdr:twoCellAnchor>
  <xdr:twoCellAnchor>
    <xdr:from>
      <xdr:col>6</xdr:col>
      <xdr:colOff>466725</xdr:colOff>
      <xdr:row>3</xdr:row>
      <xdr:rowOff>133350</xdr:rowOff>
    </xdr:from>
    <xdr:to>
      <xdr:col>12</xdr:col>
      <xdr:colOff>952500</xdr:colOff>
      <xdr:row>7</xdr:row>
      <xdr:rowOff>104775</xdr:rowOff>
    </xdr:to>
    <xdr:graphicFrame macro="">
      <xdr:nvGraphicFramePr>
        <xdr:cNvPr id="6368346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23531</xdr:colOff>
      <xdr:row>1</xdr:row>
      <xdr:rowOff>41463</xdr:rowOff>
    </xdr:from>
    <xdr:to>
      <xdr:col>15</xdr:col>
      <xdr:colOff>523875</xdr:colOff>
      <xdr:row>2</xdr:row>
      <xdr:rowOff>65555</xdr:rowOff>
    </xdr:to>
    <xdr:sp macro="[0]!OpenTickerBox" textlink="">
      <xdr:nvSpPr>
        <xdr:cNvPr id="125" name="Rounded Rectangle 124"/>
        <xdr:cNvSpPr/>
      </xdr:nvSpPr>
      <xdr:spPr>
        <a:xfrm>
          <a:off x="10108825" y="198345"/>
          <a:ext cx="1340785" cy="281828"/>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123825</xdr:colOff>
      <xdr:row>26</xdr:row>
      <xdr:rowOff>0</xdr:rowOff>
    </xdr:from>
    <xdr:to>
      <xdr:col>3</xdr:col>
      <xdr:colOff>9525</xdr:colOff>
      <xdr:row>27</xdr:row>
      <xdr:rowOff>0</xdr:rowOff>
    </xdr:to>
    <xdr:graphicFrame macro="">
      <xdr:nvGraphicFramePr>
        <xdr:cNvPr id="63683462" name="Chart 2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104775</xdr:colOff>
      <xdr:row>27</xdr:row>
      <xdr:rowOff>180975</xdr:rowOff>
    </xdr:from>
    <xdr:to>
      <xdr:col>2</xdr:col>
      <xdr:colOff>828675</xdr:colOff>
      <xdr:row>28</xdr:row>
      <xdr:rowOff>180975</xdr:rowOff>
    </xdr:to>
    <xdr:graphicFrame macro="">
      <xdr:nvGraphicFramePr>
        <xdr:cNvPr id="63683463" name="Chart 2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85725</xdr:colOff>
      <xdr:row>30</xdr:row>
      <xdr:rowOff>9525</xdr:rowOff>
    </xdr:from>
    <xdr:to>
      <xdr:col>3</xdr:col>
      <xdr:colOff>0</xdr:colOff>
      <xdr:row>31</xdr:row>
      <xdr:rowOff>0</xdr:rowOff>
    </xdr:to>
    <xdr:graphicFrame macro="">
      <xdr:nvGraphicFramePr>
        <xdr:cNvPr id="63683464" name="Chart 2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85725</xdr:colOff>
      <xdr:row>31</xdr:row>
      <xdr:rowOff>180975</xdr:rowOff>
    </xdr:from>
    <xdr:to>
      <xdr:col>3</xdr:col>
      <xdr:colOff>0</xdr:colOff>
      <xdr:row>32</xdr:row>
      <xdr:rowOff>180975</xdr:rowOff>
    </xdr:to>
    <xdr:graphicFrame macro="">
      <xdr:nvGraphicFramePr>
        <xdr:cNvPr id="63683465" name="Chart 2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104775</xdr:colOff>
      <xdr:row>27</xdr:row>
      <xdr:rowOff>171450</xdr:rowOff>
    </xdr:from>
    <xdr:to>
      <xdr:col>5</xdr:col>
      <xdr:colOff>676275</xdr:colOff>
      <xdr:row>29</xdr:row>
      <xdr:rowOff>0</xdr:rowOff>
    </xdr:to>
    <xdr:graphicFrame macro="">
      <xdr:nvGraphicFramePr>
        <xdr:cNvPr id="63683466" name="Chart 29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19050</xdr:colOff>
      <xdr:row>29</xdr:row>
      <xdr:rowOff>180975</xdr:rowOff>
    </xdr:from>
    <xdr:to>
      <xdr:col>5</xdr:col>
      <xdr:colOff>685800</xdr:colOff>
      <xdr:row>30</xdr:row>
      <xdr:rowOff>180975</xdr:rowOff>
    </xdr:to>
    <xdr:graphicFrame macro="">
      <xdr:nvGraphicFramePr>
        <xdr:cNvPr id="63683467" name="Chart 29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76200</xdr:colOff>
      <xdr:row>31</xdr:row>
      <xdr:rowOff>190500</xdr:rowOff>
    </xdr:from>
    <xdr:to>
      <xdr:col>6</xdr:col>
      <xdr:colOff>0</xdr:colOff>
      <xdr:row>33</xdr:row>
      <xdr:rowOff>0</xdr:rowOff>
    </xdr:to>
    <xdr:graphicFrame macro="">
      <xdr:nvGraphicFramePr>
        <xdr:cNvPr id="63683468" name="Chart 29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28575</xdr:colOff>
      <xdr:row>26</xdr:row>
      <xdr:rowOff>200025</xdr:rowOff>
    </xdr:from>
    <xdr:to>
      <xdr:col>6</xdr:col>
      <xdr:colOff>0</xdr:colOff>
      <xdr:row>27</xdr:row>
      <xdr:rowOff>180975</xdr:rowOff>
    </xdr:to>
    <xdr:graphicFrame macro="">
      <xdr:nvGraphicFramePr>
        <xdr:cNvPr id="63683469" name="Chart 29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66675</xdr:colOff>
      <xdr:row>28</xdr:row>
      <xdr:rowOff>161925</xdr:rowOff>
    </xdr:from>
    <xdr:to>
      <xdr:col>6</xdr:col>
      <xdr:colOff>9525</xdr:colOff>
      <xdr:row>29</xdr:row>
      <xdr:rowOff>180975</xdr:rowOff>
    </xdr:to>
    <xdr:graphicFrame macro="">
      <xdr:nvGraphicFramePr>
        <xdr:cNvPr id="63683470" name="Chart 2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9525</xdr:colOff>
      <xdr:row>30</xdr:row>
      <xdr:rowOff>171450</xdr:rowOff>
    </xdr:from>
    <xdr:to>
      <xdr:col>6</xdr:col>
      <xdr:colOff>0</xdr:colOff>
      <xdr:row>31</xdr:row>
      <xdr:rowOff>180975</xdr:rowOff>
    </xdr:to>
    <xdr:graphicFrame macro="">
      <xdr:nvGraphicFramePr>
        <xdr:cNvPr id="63683471" name="Chart 2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9525</xdr:colOff>
      <xdr:row>7</xdr:row>
      <xdr:rowOff>200025</xdr:rowOff>
    </xdr:from>
    <xdr:to>
      <xdr:col>6</xdr:col>
      <xdr:colOff>9525</xdr:colOff>
      <xdr:row>13</xdr:row>
      <xdr:rowOff>19050</xdr:rowOff>
    </xdr:to>
    <xdr:graphicFrame macro="">
      <xdr:nvGraphicFramePr>
        <xdr:cNvPr id="63683472"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698500</xdr:colOff>
      <xdr:row>1</xdr:row>
      <xdr:rowOff>38100</xdr:rowOff>
    </xdr:from>
    <xdr:to>
      <xdr:col>17</xdr:col>
      <xdr:colOff>63500</xdr:colOff>
      <xdr:row>2</xdr:row>
      <xdr:rowOff>94877</xdr:rowOff>
    </xdr:to>
    <xdr:sp macro="[0]!ShowHelp" textlink="">
      <xdr:nvSpPr>
        <xdr:cNvPr id="17" name="Rectangle 16"/>
        <xdr:cNvSpPr/>
      </xdr:nvSpPr>
      <xdr:spPr>
        <a:xfrm>
          <a:off x="11607800" y="203200"/>
          <a:ext cx="1041400" cy="3107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884144</xdr:colOff>
      <xdr:row>0</xdr:row>
      <xdr:rowOff>187699</xdr:rowOff>
    </xdr:from>
    <xdr:to>
      <xdr:col>12</xdr:col>
      <xdr:colOff>939613</xdr:colOff>
      <xdr:row>2</xdr:row>
      <xdr:rowOff>44824</xdr:rowOff>
    </xdr:to>
    <xdr:sp macro="[0]!OpenTickerBox" textlink="">
      <xdr:nvSpPr>
        <xdr:cNvPr id="2" name="Rounded Rectangle 1"/>
        <xdr:cNvSpPr/>
      </xdr:nvSpPr>
      <xdr:spPr>
        <a:xfrm>
          <a:off x="11339232" y="187699"/>
          <a:ext cx="1108822" cy="316566"/>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13</xdr:col>
      <xdr:colOff>100853</xdr:colOff>
      <xdr:row>0</xdr:row>
      <xdr:rowOff>179294</xdr:rowOff>
    </xdr:from>
    <xdr:to>
      <xdr:col>13</xdr:col>
      <xdr:colOff>952500</xdr:colOff>
      <xdr:row>2</xdr:row>
      <xdr:rowOff>33618</xdr:rowOff>
    </xdr:to>
    <xdr:sp macro="[0]!refreshButton" textlink="">
      <xdr:nvSpPr>
        <xdr:cNvPr id="3" name="Rectangle 2"/>
        <xdr:cNvSpPr/>
      </xdr:nvSpPr>
      <xdr:spPr>
        <a:xfrm>
          <a:off x="12662647" y="179294"/>
          <a:ext cx="851647" cy="31376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18</xdr:col>
      <xdr:colOff>22413</xdr:colOff>
      <xdr:row>0</xdr:row>
      <xdr:rowOff>168088</xdr:rowOff>
    </xdr:from>
    <xdr:to>
      <xdr:col>18</xdr:col>
      <xdr:colOff>649942</xdr:colOff>
      <xdr:row>2</xdr:row>
      <xdr:rowOff>44824</xdr:rowOff>
    </xdr:to>
    <xdr:sp macro="[0]!ShowHelp" textlink="">
      <xdr:nvSpPr>
        <xdr:cNvPr id="4" name="Rectangle 3"/>
        <xdr:cNvSpPr/>
      </xdr:nvSpPr>
      <xdr:spPr>
        <a:xfrm>
          <a:off x="13637560" y="168088"/>
          <a:ext cx="627529" cy="3361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76760</xdr:colOff>
      <xdr:row>4</xdr:row>
      <xdr:rowOff>97491</xdr:rowOff>
    </xdr:from>
    <xdr:to>
      <xdr:col>0</xdr:col>
      <xdr:colOff>1113303</xdr:colOff>
      <xdr:row>5</xdr:row>
      <xdr:rowOff>179294</xdr:rowOff>
    </xdr:to>
    <xdr:sp macro="[0]!OpenTickerBox" textlink="">
      <xdr:nvSpPr>
        <xdr:cNvPr id="9" name="Rounded Rectangle 8"/>
        <xdr:cNvSpPr/>
      </xdr:nvSpPr>
      <xdr:spPr>
        <a:xfrm>
          <a:off x="76760" y="1049991"/>
          <a:ext cx="1036543" cy="2386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78442</xdr:colOff>
      <xdr:row>5</xdr:row>
      <xdr:rowOff>22412</xdr:rowOff>
    </xdr:from>
    <xdr:to>
      <xdr:col>2</xdr:col>
      <xdr:colOff>784412</xdr:colOff>
      <xdr:row>6</xdr:row>
      <xdr:rowOff>179295</xdr:rowOff>
    </xdr:to>
    <xdr:sp macro="[0]!clearDCF" textlink="">
      <xdr:nvSpPr>
        <xdr:cNvPr id="10" name="Rectangle 9"/>
        <xdr:cNvSpPr/>
      </xdr:nvSpPr>
      <xdr:spPr>
        <a:xfrm>
          <a:off x="2465295" y="1131794"/>
          <a:ext cx="705970" cy="38100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0</xdr:col>
      <xdr:colOff>1535206</xdr:colOff>
      <xdr:row>5</xdr:row>
      <xdr:rowOff>22412</xdr:rowOff>
    </xdr:from>
    <xdr:to>
      <xdr:col>2</xdr:col>
      <xdr:colOff>0</xdr:colOff>
      <xdr:row>6</xdr:row>
      <xdr:rowOff>168087</xdr:rowOff>
    </xdr:to>
    <xdr:sp macro="[0]!refreshButton" textlink="">
      <xdr:nvSpPr>
        <xdr:cNvPr id="11" name="Rectangle 10"/>
        <xdr:cNvSpPr/>
      </xdr:nvSpPr>
      <xdr:spPr>
        <a:xfrm>
          <a:off x="1535206" y="1131794"/>
          <a:ext cx="851647" cy="36979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1</xdr:col>
      <xdr:colOff>19050</xdr:colOff>
      <xdr:row>9</xdr:row>
      <xdr:rowOff>142875</xdr:rowOff>
    </xdr:from>
    <xdr:to>
      <xdr:col>1</xdr:col>
      <xdr:colOff>800100</xdr:colOff>
      <xdr:row>11</xdr:row>
      <xdr:rowOff>19050</xdr:rowOff>
    </xdr:to>
    <xdr:graphicFrame macro="">
      <xdr:nvGraphicFramePr>
        <xdr:cNvPr id="5009597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10</xdr:row>
      <xdr:rowOff>142875</xdr:rowOff>
    </xdr:from>
    <xdr:to>
      <xdr:col>1</xdr:col>
      <xdr:colOff>800100</xdr:colOff>
      <xdr:row>12</xdr:row>
      <xdr:rowOff>9525</xdr:rowOff>
    </xdr:to>
    <xdr:graphicFrame macro="">
      <xdr:nvGraphicFramePr>
        <xdr:cNvPr id="50095976"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xdr:colOff>
      <xdr:row>11</xdr:row>
      <xdr:rowOff>142875</xdr:rowOff>
    </xdr:from>
    <xdr:to>
      <xdr:col>1</xdr:col>
      <xdr:colOff>800100</xdr:colOff>
      <xdr:row>13</xdr:row>
      <xdr:rowOff>9525</xdr:rowOff>
    </xdr:to>
    <xdr:graphicFrame macro="">
      <xdr:nvGraphicFramePr>
        <xdr:cNvPr id="5009597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12</xdr:row>
      <xdr:rowOff>142875</xdr:rowOff>
    </xdr:from>
    <xdr:to>
      <xdr:col>1</xdr:col>
      <xdr:colOff>800100</xdr:colOff>
      <xdr:row>14</xdr:row>
      <xdr:rowOff>9525</xdr:rowOff>
    </xdr:to>
    <xdr:graphicFrame macro="">
      <xdr:nvGraphicFramePr>
        <xdr:cNvPr id="5009597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16</xdr:row>
      <xdr:rowOff>142875</xdr:rowOff>
    </xdr:from>
    <xdr:to>
      <xdr:col>1</xdr:col>
      <xdr:colOff>800100</xdr:colOff>
      <xdr:row>18</xdr:row>
      <xdr:rowOff>9525</xdr:rowOff>
    </xdr:to>
    <xdr:graphicFrame macro="">
      <xdr:nvGraphicFramePr>
        <xdr:cNvPr id="50095979"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17</xdr:row>
      <xdr:rowOff>142875</xdr:rowOff>
    </xdr:from>
    <xdr:to>
      <xdr:col>1</xdr:col>
      <xdr:colOff>800100</xdr:colOff>
      <xdr:row>19</xdr:row>
      <xdr:rowOff>9525</xdr:rowOff>
    </xdr:to>
    <xdr:graphicFrame macro="">
      <xdr:nvGraphicFramePr>
        <xdr:cNvPr id="50095980"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9525</xdr:colOff>
      <xdr:row>18</xdr:row>
      <xdr:rowOff>142875</xdr:rowOff>
    </xdr:from>
    <xdr:to>
      <xdr:col>1</xdr:col>
      <xdr:colOff>800100</xdr:colOff>
      <xdr:row>20</xdr:row>
      <xdr:rowOff>9525</xdr:rowOff>
    </xdr:to>
    <xdr:graphicFrame macro="">
      <xdr:nvGraphicFramePr>
        <xdr:cNvPr id="50095981"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21</xdr:row>
      <xdr:rowOff>142875</xdr:rowOff>
    </xdr:from>
    <xdr:to>
      <xdr:col>1</xdr:col>
      <xdr:colOff>800100</xdr:colOff>
      <xdr:row>23</xdr:row>
      <xdr:rowOff>9525</xdr:rowOff>
    </xdr:to>
    <xdr:graphicFrame macro="">
      <xdr:nvGraphicFramePr>
        <xdr:cNvPr id="50095982"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9525</xdr:colOff>
      <xdr:row>22</xdr:row>
      <xdr:rowOff>142875</xdr:rowOff>
    </xdr:from>
    <xdr:to>
      <xdr:col>1</xdr:col>
      <xdr:colOff>800100</xdr:colOff>
      <xdr:row>24</xdr:row>
      <xdr:rowOff>9525</xdr:rowOff>
    </xdr:to>
    <xdr:graphicFrame macro="">
      <xdr:nvGraphicFramePr>
        <xdr:cNvPr id="50095983"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9525</xdr:colOff>
      <xdr:row>25</xdr:row>
      <xdr:rowOff>142875</xdr:rowOff>
    </xdr:from>
    <xdr:to>
      <xdr:col>1</xdr:col>
      <xdr:colOff>800100</xdr:colOff>
      <xdr:row>27</xdr:row>
      <xdr:rowOff>9525</xdr:rowOff>
    </xdr:to>
    <xdr:graphicFrame macro="">
      <xdr:nvGraphicFramePr>
        <xdr:cNvPr id="50095984"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9525</xdr:colOff>
      <xdr:row>26</xdr:row>
      <xdr:rowOff>142875</xdr:rowOff>
    </xdr:from>
    <xdr:to>
      <xdr:col>1</xdr:col>
      <xdr:colOff>800100</xdr:colOff>
      <xdr:row>28</xdr:row>
      <xdr:rowOff>9525</xdr:rowOff>
    </xdr:to>
    <xdr:graphicFrame macro="">
      <xdr:nvGraphicFramePr>
        <xdr:cNvPr id="50095985"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9525</xdr:colOff>
      <xdr:row>27</xdr:row>
      <xdr:rowOff>142875</xdr:rowOff>
    </xdr:from>
    <xdr:to>
      <xdr:col>1</xdr:col>
      <xdr:colOff>800100</xdr:colOff>
      <xdr:row>29</xdr:row>
      <xdr:rowOff>9525</xdr:rowOff>
    </xdr:to>
    <xdr:graphicFrame macro="">
      <xdr:nvGraphicFramePr>
        <xdr:cNvPr id="50095986"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28</xdr:row>
      <xdr:rowOff>142875</xdr:rowOff>
    </xdr:from>
    <xdr:to>
      <xdr:col>1</xdr:col>
      <xdr:colOff>800100</xdr:colOff>
      <xdr:row>30</xdr:row>
      <xdr:rowOff>9525</xdr:rowOff>
    </xdr:to>
    <xdr:graphicFrame macro="">
      <xdr:nvGraphicFramePr>
        <xdr:cNvPr id="50095987"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9525</xdr:colOff>
      <xdr:row>29</xdr:row>
      <xdr:rowOff>142875</xdr:rowOff>
    </xdr:from>
    <xdr:to>
      <xdr:col>1</xdr:col>
      <xdr:colOff>800100</xdr:colOff>
      <xdr:row>31</xdr:row>
      <xdr:rowOff>9525</xdr:rowOff>
    </xdr:to>
    <xdr:graphicFrame macro="">
      <xdr:nvGraphicFramePr>
        <xdr:cNvPr id="50095988"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9525</xdr:colOff>
      <xdr:row>32</xdr:row>
      <xdr:rowOff>142875</xdr:rowOff>
    </xdr:from>
    <xdr:to>
      <xdr:col>1</xdr:col>
      <xdr:colOff>800100</xdr:colOff>
      <xdr:row>34</xdr:row>
      <xdr:rowOff>9525</xdr:rowOff>
    </xdr:to>
    <xdr:graphicFrame macro="">
      <xdr:nvGraphicFramePr>
        <xdr:cNvPr id="50095989"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9525</xdr:colOff>
      <xdr:row>33</xdr:row>
      <xdr:rowOff>142875</xdr:rowOff>
    </xdr:from>
    <xdr:to>
      <xdr:col>1</xdr:col>
      <xdr:colOff>800100</xdr:colOff>
      <xdr:row>35</xdr:row>
      <xdr:rowOff>9525</xdr:rowOff>
    </xdr:to>
    <xdr:graphicFrame macro="">
      <xdr:nvGraphicFramePr>
        <xdr:cNvPr id="50095990"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9525</xdr:colOff>
      <xdr:row>34</xdr:row>
      <xdr:rowOff>142875</xdr:rowOff>
    </xdr:from>
    <xdr:to>
      <xdr:col>1</xdr:col>
      <xdr:colOff>800100</xdr:colOff>
      <xdr:row>35</xdr:row>
      <xdr:rowOff>152400</xdr:rowOff>
    </xdr:to>
    <xdr:graphicFrame macro="">
      <xdr:nvGraphicFramePr>
        <xdr:cNvPr id="50095991"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3</xdr:row>
      <xdr:rowOff>145678</xdr:rowOff>
    </xdr:from>
    <xdr:to>
      <xdr:col>1</xdr:col>
      <xdr:colOff>627529</xdr:colOff>
      <xdr:row>4</xdr:row>
      <xdr:rowOff>100854</xdr:rowOff>
    </xdr:to>
    <xdr:sp macro="[0]!ShowHelp" textlink="">
      <xdr:nvSpPr>
        <xdr:cNvPr id="29" name="Rectangle 28"/>
        <xdr:cNvSpPr/>
      </xdr:nvSpPr>
      <xdr:spPr>
        <a:xfrm>
          <a:off x="1546412" y="784413"/>
          <a:ext cx="627529" cy="26894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56030</xdr:colOff>
      <xdr:row>4</xdr:row>
      <xdr:rowOff>56589</xdr:rowOff>
    </xdr:from>
    <xdr:to>
      <xdr:col>0</xdr:col>
      <xdr:colOff>1093134</xdr:colOff>
      <xdr:row>5</xdr:row>
      <xdr:rowOff>134470</xdr:rowOff>
    </xdr:to>
    <xdr:sp macro="[0]!OpenTickerBox" textlink="">
      <xdr:nvSpPr>
        <xdr:cNvPr id="3" name="Rounded Rectangle 2"/>
        <xdr:cNvSpPr/>
      </xdr:nvSpPr>
      <xdr:spPr>
        <a:xfrm>
          <a:off x="56030" y="885824"/>
          <a:ext cx="1037104" cy="279587"/>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xdr:col>
      <xdr:colOff>67235</xdr:colOff>
      <xdr:row>5</xdr:row>
      <xdr:rowOff>0</xdr:rowOff>
    </xdr:from>
    <xdr:to>
      <xdr:col>1</xdr:col>
      <xdr:colOff>739588</xdr:colOff>
      <xdr:row>6</xdr:row>
      <xdr:rowOff>145675</xdr:rowOff>
    </xdr:to>
    <xdr:sp macro="[0]!refreshButton" textlink="">
      <xdr:nvSpPr>
        <xdr:cNvPr id="4" name="Rectangle 3"/>
        <xdr:cNvSpPr/>
      </xdr:nvSpPr>
      <xdr:spPr>
        <a:xfrm>
          <a:off x="1546411" y="1075765"/>
          <a:ext cx="672353" cy="3361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2</xdr:col>
      <xdr:colOff>56032</xdr:colOff>
      <xdr:row>5</xdr:row>
      <xdr:rowOff>1</xdr:rowOff>
    </xdr:from>
    <xdr:to>
      <xdr:col>2</xdr:col>
      <xdr:colOff>705972</xdr:colOff>
      <xdr:row>6</xdr:row>
      <xdr:rowOff>156882</xdr:rowOff>
    </xdr:to>
    <xdr:sp macro="[0]!clearGraham" textlink="">
      <xdr:nvSpPr>
        <xdr:cNvPr id="5" name="Rectangle 4"/>
        <xdr:cNvSpPr/>
      </xdr:nvSpPr>
      <xdr:spPr>
        <a:xfrm>
          <a:off x="2319620" y="1075766"/>
          <a:ext cx="649940" cy="34738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2</xdr:col>
      <xdr:colOff>419100</xdr:colOff>
      <xdr:row>21</xdr:row>
      <xdr:rowOff>19050</xdr:rowOff>
    </xdr:from>
    <xdr:to>
      <xdr:col>8</xdr:col>
      <xdr:colOff>133350</xdr:colOff>
      <xdr:row>30</xdr:row>
      <xdr:rowOff>104775</xdr:rowOff>
    </xdr:to>
    <xdr:graphicFrame macro="">
      <xdr:nvGraphicFramePr>
        <xdr:cNvPr id="58416788"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78443</xdr:colOff>
      <xdr:row>2</xdr:row>
      <xdr:rowOff>268941</xdr:rowOff>
    </xdr:from>
    <xdr:to>
      <xdr:col>1</xdr:col>
      <xdr:colOff>705972</xdr:colOff>
      <xdr:row>4</xdr:row>
      <xdr:rowOff>55870</xdr:rowOff>
    </xdr:to>
    <xdr:sp macro="[0]!ShowHelp" textlink="">
      <xdr:nvSpPr>
        <xdr:cNvPr id="6" name="Rectangle 5"/>
        <xdr:cNvSpPr/>
      </xdr:nvSpPr>
      <xdr:spPr>
        <a:xfrm>
          <a:off x="1557619" y="683559"/>
          <a:ext cx="627529" cy="3361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100852</xdr:colOff>
      <xdr:row>4</xdr:row>
      <xdr:rowOff>190499</xdr:rowOff>
    </xdr:from>
    <xdr:to>
      <xdr:col>0</xdr:col>
      <xdr:colOff>1137956</xdr:colOff>
      <xdr:row>6</xdr:row>
      <xdr:rowOff>156881</xdr:rowOff>
    </xdr:to>
    <xdr:sp macro="[0]!OpenTickerBox" textlink="">
      <xdr:nvSpPr>
        <xdr:cNvPr id="2" name="Rounded Rectangle 1"/>
        <xdr:cNvSpPr/>
      </xdr:nvSpPr>
      <xdr:spPr>
        <a:xfrm>
          <a:off x="100852" y="1120587"/>
          <a:ext cx="1037104" cy="347382"/>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0</xdr:col>
      <xdr:colOff>1367115</xdr:colOff>
      <xdr:row>4</xdr:row>
      <xdr:rowOff>189940</xdr:rowOff>
    </xdr:from>
    <xdr:to>
      <xdr:col>0</xdr:col>
      <xdr:colOff>2039468</xdr:colOff>
      <xdr:row>6</xdr:row>
      <xdr:rowOff>145115</xdr:rowOff>
    </xdr:to>
    <xdr:sp macro="[0]!refreshButton" textlink="">
      <xdr:nvSpPr>
        <xdr:cNvPr id="3" name="Rectangle 2"/>
        <xdr:cNvSpPr/>
      </xdr:nvSpPr>
      <xdr:spPr>
        <a:xfrm>
          <a:off x="1367115" y="1120028"/>
          <a:ext cx="672353" cy="3361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0</xdr:col>
      <xdr:colOff>2166937</xdr:colOff>
      <xdr:row>4</xdr:row>
      <xdr:rowOff>186297</xdr:rowOff>
    </xdr:from>
    <xdr:to>
      <xdr:col>1</xdr:col>
      <xdr:colOff>516170</xdr:colOff>
      <xdr:row>6</xdr:row>
      <xdr:rowOff>150578</xdr:rowOff>
    </xdr:to>
    <xdr:sp macro="[0]!clearEPV" textlink="">
      <xdr:nvSpPr>
        <xdr:cNvPr id="4" name="Rectangle 3"/>
        <xdr:cNvSpPr/>
      </xdr:nvSpPr>
      <xdr:spPr>
        <a:xfrm>
          <a:off x="2166937" y="1116385"/>
          <a:ext cx="691262" cy="34528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1</xdr:col>
      <xdr:colOff>627530</xdr:colOff>
      <xdr:row>5</xdr:row>
      <xdr:rowOff>0</xdr:rowOff>
    </xdr:from>
    <xdr:to>
      <xdr:col>2</xdr:col>
      <xdr:colOff>504264</xdr:colOff>
      <xdr:row>6</xdr:row>
      <xdr:rowOff>145677</xdr:rowOff>
    </xdr:to>
    <xdr:sp macro="[0]!ShowHelp" textlink="">
      <xdr:nvSpPr>
        <xdr:cNvPr id="6" name="Rectangle 5"/>
        <xdr:cNvSpPr/>
      </xdr:nvSpPr>
      <xdr:spPr>
        <a:xfrm>
          <a:off x="2969559" y="1120588"/>
          <a:ext cx="627529" cy="33617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39218</xdr:colOff>
      <xdr:row>4</xdr:row>
      <xdr:rowOff>127186</xdr:rowOff>
    </xdr:from>
    <xdr:to>
      <xdr:col>1</xdr:col>
      <xdr:colOff>1047749</xdr:colOff>
      <xdr:row>6</xdr:row>
      <xdr:rowOff>123265</xdr:rowOff>
    </xdr:to>
    <xdr:sp macro="[0]!OpenTickerBox" textlink="">
      <xdr:nvSpPr>
        <xdr:cNvPr id="2" name="Rounded Rectangle 1"/>
        <xdr:cNvSpPr/>
      </xdr:nvSpPr>
      <xdr:spPr>
        <a:xfrm>
          <a:off x="384499" y="1020155"/>
          <a:ext cx="1008531" cy="353266"/>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3</xdr:col>
      <xdr:colOff>0</xdr:colOff>
      <xdr:row>8</xdr:row>
      <xdr:rowOff>44824</xdr:rowOff>
    </xdr:from>
    <xdr:to>
      <xdr:col>3</xdr:col>
      <xdr:colOff>818028</xdr:colOff>
      <xdr:row>9</xdr:row>
      <xdr:rowOff>1</xdr:rowOff>
    </xdr:to>
    <xdr:sp macro="[0]!clearNetNet" textlink="">
      <xdr:nvSpPr>
        <xdr:cNvPr id="3" name="Rectangle 2"/>
        <xdr:cNvSpPr/>
      </xdr:nvSpPr>
      <xdr:spPr>
        <a:xfrm>
          <a:off x="3866029" y="1232648"/>
          <a:ext cx="818028" cy="31376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1</xdr:col>
      <xdr:colOff>1853173</xdr:colOff>
      <xdr:row>4</xdr:row>
      <xdr:rowOff>142875</xdr:rowOff>
    </xdr:from>
    <xdr:to>
      <xdr:col>1</xdr:col>
      <xdr:colOff>2440782</xdr:colOff>
      <xdr:row>6</xdr:row>
      <xdr:rowOff>123264</xdr:rowOff>
    </xdr:to>
    <xdr:sp macro="[0]!ShowHelp" textlink="">
      <xdr:nvSpPr>
        <xdr:cNvPr id="4" name="Rectangle 3"/>
        <xdr:cNvSpPr/>
      </xdr:nvSpPr>
      <xdr:spPr>
        <a:xfrm>
          <a:off x="2198454" y="1035844"/>
          <a:ext cx="587609" cy="33757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twoCellAnchor>
    <xdr:from>
      <xdr:col>1</xdr:col>
      <xdr:colOff>1131095</xdr:colOff>
      <xdr:row>4</xdr:row>
      <xdr:rowOff>130969</xdr:rowOff>
    </xdr:from>
    <xdr:to>
      <xdr:col>1</xdr:col>
      <xdr:colOff>1774033</xdr:colOff>
      <xdr:row>6</xdr:row>
      <xdr:rowOff>133769</xdr:rowOff>
    </xdr:to>
    <xdr:sp macro="[0]!refreshButton" textlink="">
      <xdr:nvSpPr>
        <xdr:cNvPr id="5" name="Rectangle 4"/>
        <xdr:cNvSpPr/>
      </xdr:nvSpPr>
      <xdr:spPr>
        <a:xfrm>
          <a:off x="1476376" y="1023938"/>
          <a:ext cx="642938" cy="359987"/>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28575</xdr:colOff>
      <xdr:row>3</xdr:row>
      <xdr:rowOff>76200</xdr:rowOff>
    </xdr:from>
    <xdr:to>
      <xdr:col>1</xdr:col>
      <xdr:colOff>1070162</xdr:colOff>
      <xdr:row>5</xdr:row>
      <xdr:rowOff>56029</xdr:rowOff>
    </xdr:to>
    <xdr:sp macro="[0]!OpenTickerBox" textlink="">
      <xdr:nvSpPr>
        <xdr:cNvPr id="2" name="Rounded Rectangle 1"/>
        <xdr:cNvSpPr/>
      </xdr:nvSpPr>
      <xdr:spPr>
        <a:xfrm>
          <a:off x="638175" y="781050"/>
          <a:ext cx="1041587" cy="303679"/>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1</xdr:col>
      <xdr:colOff>1277469</xdr:colOff>
      <xdr:row>3</xdr:row>
      <xdr:rowOff>44823</xdr:rowOff>
    </xdr:from>
    <xdr:to>
      <xdr:col>1</xdr:col>
      <xdr:colOff>1949822</xdr:colOff>
      <xdr:row>5</xdr:row>
      <xdr:rowOff>44822</xdr:rowOff>
    </xdr:to>
    <xdr:sp macro="[0]!refreshButton" textlink="">
      <xdr:nvSpPr>
        <xdr:cNvPr id="3" name="Rectangle 2"/>
        <xdr:cNvSpPr/>
      </xdr:nvSpPr>
      <xdr:spPr>
        <a:xfrm>
          <a:off x="1882587" y="750794"/>
          <a:ext cx="672353" cy="313763"/>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2</xdr:col>
      <xdr:colOff>78441</xdr:colOff>
      <xdr:row>3</xdr:row>
      <xdr:rowOff>44824</xdr:rowOff>
    </xdr:from>
    <xdr:to>
      <xdr:col>3</xdr:col>
      <xdr:colOff>100852</xdr:colOff>
      <xdr:row>5</xdr:row>
      <xdr:rowOff>44825</xdr:rowOff>
    </xdr:to>
    <xdr:sp macro="[0]!clearAltman" textlink="">
      <xdr:nvSpPr>
        <xdr:cNvPr id="7" name="Rectangle 6"/>
        <xdr:cNvSpPr/>
      </xdr:nvSpPr>
      <xdr:spPr>
        <a:xfrm>
          <a:off x="2667000" y="750795"/>
          <a:ext cx="694764" cy="31376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3</xdr:col>
      <xdr:colOff>235324</xdr:colOff>
      <xdr:row>3</xdr:row>
      <xdr:rowOff>44823</xdr:rowOff>
    </xdr:from>
    <xdr:to>
      <xdr:col>4</xdr:col>
      <xdr:colOff>190500</xdr:colOff>
      <xdr:row>5</xdr:row>
      <xdr:rowOff>56030</xdr:rowOff>
    </xdr:to>
    <xdr:sp macro="[0]!ShowHelp" textlink="">
      <xdr:nvSpPr>
        <xdr:cNvPr id="5" name="Rectangle 4"/>
        <xdr:cNvSpPr/>
      </xdr:nvSpPr>
      <xdr:spPr>
        <a:xfrm>
          <a:off x="3496236" y="750794"/>
          <a:ext cx="627529" cy="32497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13452</xdr:colOff>
      <xdr:row>3</xdr:row>
      <xdr:rowOff>80684</xdr:rowOff>
    </xdr:from>
    <xdr:to>
      <xdr:col>1</xdr:col>
      <xdr:colOff>1055039</xdr:colOff>
      <xdr:row>4</xdr:row>
      <xdr:rowOff>182657</xdr:rowOff>
    </xdr:to>
    <xdr:sp macro="[0]!OpenTickerBox" textlink="">
      <xdr:nvSpPr>
        <xdr:cNvPr id="2" name="Rounded Rectangle 1"/>
        <xdr:cNvSpPr/>
      </xdr:nvSpPr>
      <xdr:spPr>
        <a:xfrm>
          <a:off x="842687" y="797860"/>
          <a:ext cx="1041587" cy="303679"/>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3</xdr:col>
      <xdr:colOff>22413</xdr:colOff>
      <xdr:row>3</xdr:row>
      <xdr:rowOff>56030</xdr:rowOff>
    </xdr:from>
    <xdr:to>
      <xdr:col>3</xdr:col>
      <xdr:colOff>717177</xdr:colOff>
      <xdr:row>4</xdr:row>
      <xdr:rowOff>168089</xdr:rowOff>
    </xdr:to>
    <xdr:sp macro="[0]!clearComp" textlink="">
      <xdr:nvSpPr>
        <xdr:cNvPr id="3" name="Rectangle 2"/>
        <xdr:cNvSpPr/>
      </xdr:nvSpPr>
      <xdr:spPr>
        <a:xfrm>
          <a:off x="3104031" y="773206"/>
          <a:ext cx="694764" cy="31376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en-US" sz="1100"/>
            <a:t>CLEAR</a:t>
          </a:r>
        </a:p>
      </xdr:txBody>
    </xdr:sp>
    <xdr:clientData/>
  </xdr:twoCellAnchor>
  <xdr:twoCellAnchor>
    <xdr:from>
      <xdr:col>2</xdr:col>
      <xdr:colOff>78442</xdr:colOff>
      <xdr:row>3</xdr:row>
      <xdr:rowOff>56031</xdr:rowOff>
    </xdr:from>
    <xdr:to>
      <xdr:col>2</xdr:col>
      <xdr:colOff>818030</xdr:colOff>
      <xdr:row>4</xdr:row>
      <xdr:rowOff>168089</xdr:rowOff>
    </xdr:to>
    <xdr:sp macro="[0]!refreshButton" textlink="">
      <xdr:nvSpPr>
        <xdr:cNvPr id="4" name="Rectangle 3"/>
        <xdr:cNvSpPr/>
      </xdr:nvSpPr>
      <xdr:spPr>
        <a:xfrm>
          <a:off x="2241177" y="773207"/>
          <a:ext cx="739588" cy="313764"/>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3</xdr:col>
      <xdr:colOff>840441</xdr:colOff>
      <xdr:row>3</xdr:row>
      <xdr:rowOff>56030</xdr:rowOff>
    </xdr:from>
    <xdr:to>
      <xdr:col>4</xdr:col>
      <xdr:colOff>549088</xdr:colOff>
      <xdr:row>4</xdr:row>
      <xdr:rowOff>168090</xdr:rowOff>
    </xdr:to>
    <xdr:sp macro="[0]!ShowHelp" textlink="">
      <xdr:nvSpPr>
        <xdr:cNvPr id="5" name="Rectangle 4"/>
        <xdr:cNvSpPr/>
      </xdr:nvSpPr>
      <xdr:spPr>
        <a:xfrm>
          <a:off x="3922059" y="773206"/>
          <a:ext cx="627529" cy="31376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6</xdr:row>
      <xdr:rowOff>19050</xdr:rowOff>
    </xdr:from>
    <xdr:to>
      <xdr:col>12</xdr:col>
      <xdr:colOff>0</xdr:colOff>
      <xdr:row>14</xdr:row>
      <xdr:rowOff>114300</xdr:rowOff>
    </xdr:to>
    <xdr:graphicFrame macro="">
      <xdr:nvGraphicFramePr>
        <xdr:cNvPr id="191109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9525</xdr:rowOff>
    </xdr:from>
    <xdr:to>
      <xdr:col>12</xdr:col>
      <xdr:colOff>0</xdr:colOff>
      <xdr:row>29</xdr:row>
      <xdr:rowOff>114300</xdr:rowOff>
    </xdr:to>
    <xdr:graphicFrame macro="">
      <xdr:nvGraphicFramePr>
        <xdr:cNvPr id="1911093"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36</xdr:row>
      <xdr:rowOff>38100</xdr:rowOff>
    </xdr:from>
    <xdr:to>
      <xdr:col>12</xdr:col>
      <xdr:colOff>0</xdr:colOff>
      <xdr:row>44</xdr:row>
      <xdr:rowOff>133350</xdr:rowOff>
    </xdr:to>
    <xdr:graphicFrame macro="">
      <xdr:nvGraphicFramePr>
        <xdr:cNvPr id="1911094"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51</xdr:row>
      <xdr:rowOff>19050</xdr:rowOff>
    </xdr:from>
    <xdr:to>
      <xdr:col>12</xdr:col>
      <xdr:colOff>9525</xdr:colOff>
      <xdr:row>59</xdr:row>
      <xdr:rowOff>114300</xdr:rowOff>
    </xdr:to>
    <xdr:graphicFrame macro="">
      <xdr:nvGraphicFramePr>
        <xdr:cNvPr id="191109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6</xdr:row>
      <xdr:rowOff>47625</xdr:rowOff>
    </xdr:from>
    <xdr:to>
      <xdr:col>24</xdr:col>
      <xdr:colOff>0</xdr:colOff>
      <xdr:row>14</xdr:row>
      <xdr:rowOff>152400</xdr:rowOff>
    </xdr:to>
    <xdr:graphicFrame macro="">
      <xdr:nvGraphicFramePr>
        <xdr:cNvPr id="1911096"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21</xdr:row>
      <xdr:rowOff>47625</xdr:rowOff>
    </xdr:from>
    <xdr:to>
      <xdr:col>24</xdr:col>
      <xdr:colOff>0</xdr:colOff>
      <xdr:row>29</xdr:row>
      <xdr:rowOff>152400</xdr:rowOff>
    </xdr:to>
    <xdr:graphicFrame macro="">
      <xdr:nvGraphicFramePr>
        <xdr:cNvPr id="191109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36</xdr:row>
      <xdr:rowOff>0</xdr:rowOff>
    </xdr:from>
    <xdr:to>
      <xdr:col>24</xdr:col>
      <xdr:colOff>0</xdr:colOff>
      <xdr:row>44</xdr:row>
      <xdr:rowOff>85725</xdr:rowOff>
    </xdr:to>
    <xdr:graphicFrame macro="">
      <xdr:nvGraphicFramePr>
        <xdr:cNvPr id="191109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51</xdr:row>
      <xdr:rowOff>19050</xdr:rowOff>
    </xdr:from>
    <xdr:to>
      <xdr:col>24</xdr:col>
      <xdr:colOff>0</xdr:colOff>
      <xdr:row>59</xdr:row>
      <xdr:rowOff>114300</xdr:rowOff>
    </xdr:to>
    <xdr:graphicFrame macro="">
      <xdr:nvGraphicFramePr>
        <xdr:cNvPr id="191109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35860</xdr:colOff>
      <xdr:row>3</xdr:row>
      <xdr:rowOff>56030</xdr:rowOff>
    </xdr:from>
    <xdr:to>
      <xdr:col>2</xdr:col>
      <xdr:colOff>472329</xdr:colOff>
      <xdr:row>3</xdr:row>
      <xdr:rowOff>336178</xdr:rowOff>
    </xdr:to>
    <xdr:sp macro="[0]!OpenTickerBox" textlink="">
      <xdr:nvSpPr>
        <xdr:cNvPr id="10" name="Rounded Rectangle 9"/>
        <xdr:cNvSpPr/>
      </xdr:nvSpPr>
      <xdr:spPr>
        <a:xfrm>
          <a:off x="327213" y="784412"/>
          <a:ext cx="1041587" cy="280148"/>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twoCellAnchor>
    <xdr:from>
      <xdr:col>2</xdr:col>
      <xdr:colOff>593912</xdr:colOff>
      <xdr:row>3</xdr:row>
      <xdr:rowOff>56030</xdr:rowOff>
    </xdr:from>
    <xdr:to>
      <xdr:col>4</xdr:col>
      <xdr:colOff>56030</xdr:colOff>
      <xdr:row>3</xdr:row>
      <xdr:rowOff>336175</xdr:rowOff>
    </xdr:to>
    <xdr:sp macro="[0]!refreshButton" textlink="">
      <xdr:nvSpPr>
        <xdr:cNvPr id="11" name="Rectangle 10"/>
        <xdr:cNvSpPr/>
      </xdr:nvSpPr>
      <xdr:spPr>
        <a:xfrm>
          <a:off x="1490383" y="784412"/>
          <a:ext cx="672353" cy="28014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Refresh</a:t>
          </a:r>
        </a:p>
      </xdr:txBody>
    </xdr:sp>
    <xdr:clientData/>
  </xdr:twoCellAnchor>
  <xdr:twoCellAnchor>
    <xdr:from>
      <xdr:col>4</xdr:col>
      <xdr:colOff>190500</xdr:colOff>
      <xdr:row>3</xdr:row>
      <xdr:rowOff>56030</xdr:rowOff>
    </xdr:from>
    <xdr:to>
      <xdr:col>5</xdr:col>
      <xdr:colOff>212911</xdr:colOff>
      <xdr:row>3</xdr:row>
      <xdr:rowOff>347384</xdr:rowOff>
    </xdr:to>
    <xdr:sp macro="[0]!ShowHelp" textlink="">
      <xdr:nvSpPr>
        <xdr:cNvPr id="12" name="Rectangle 11"/>
        <xdr:cNvSpPr/>
      </xdr:nvSpPr>
      <xdr:spPr>
        <a:xfrm>
          <a:off x="2297206" y="784412"/>
          <a:ext cx="627529" cy="29135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twoCellAnchor>
    <xdr:from>
      <xdr:col>1</xdr:col>
      <xdr:colOff>0</xdr:colOff>
      <xdr:row>65</xdr:row>
      <xdr:rowOff>0</xdr:rowOff>
    </xdr:from>
    <xdr:to>
      <xdr:col>12</xdr:col>
      <xdr:colOff>0</xdr:colOff>
      <xdr:row>73</xdr:row>
      <xdr:rowOff>85725</xdr:rowOff>
    </xdr:to>
    <xdr:graphicFrame macro="">
      <xdr:nvGraphicFramePr>
        <xdr:cNvPr id="191110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65</xdr:row>
      <xdr:rowOff>0</xdr:rowOff>
    </xdr:from>
    <xdr:to>
      <xdr:col>24</xdr:col>
      <xdr:colOff>0</xdr:colOff>
      <xdr:row>73</xdr:row>
      <xdr:rowOff>85725</xdr:rowOff>
    </xdr:to>
    <xdr:graphicFrame macro="">
      <xdr:nvGraphicFramePr>
        <xdr:cNvPr id="1911104"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80</xdr:row>
      <xdr:rowOff>0</xdr:rowOff>
    </xdr:from>
    <xdr:to>
      <xdr:col>12</xdr:col>
      <xdr:colOff>0</xdr:colOff>
      <xdr:row>88</xdr:row>
      <xdr:rowOff>85725</xdr:rowOff>
    </xdr:to>
    <xdr:graphicFrame macro="">
      <xdr:nvGraphicFramePr>
        <xdr:cNvPr id="191110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80</xdr:row>
      <xdr:rowOff>0</xdr:rowOff>
    </xdr:from>
    <xdr:to>
      <xdr:col>24</xdr:col>
      <xdr:colOff>0</xdr:colOff>
      <xdr:row>88</xdr:row>
      <xdr:rowOff>85725</xdr:rowOff>
    </xdr:to>
    <xdr:graphicFrame macro="">
      <xdr:nvGraphicFramePr>
        <xdr:cNvPr id="1911106"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95</xdr:row>
      <xdr:rowOff>0</xdr:rowOff>
    </xdr:from>
    <xdr:to>
      <xdr:col>12</xdr:col>
      <xdr:colOff>0</xdr:colOff>
      <xdr:row>103</xdr:row>
      <xdr:rowOff>85725</xdr:rowOff>
    </xdr:to>
    <xdr:graphicFrame macro="">
      <xdr:nvGraphicFramePr>
        <xdr:cNvPr id="191110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0</xdr:colOff>
      <xdr:row>95</xdr:row>
      <xdr:rowOff>0</xdr:rowOff>
    </xdr:from>
    <xdr:to>
      <xdr:col>24</xdr:col>
      <xdr:colOff>0</xdr:colOff>
      <xdr:row>103</xdr:row>
      <xdr:rowOff>85725</xdr:rowOff>
    </xdr:to>
    <xdr:graphicFrame macro="">
      <xdr:nvGraphicFramePr>
        <xdr:cNvPr id="191110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110</xdr:row>
      <xdr:rowOff>0</xdr:rowOff>
    </xdr:from>
    <xdr:to>
      <xdr:col>12</xdr:col>
      <xdr:colOff>0</xdr:colOff>
      <xdr:row>118</xdr:row>
      <xdr:rowOff>85725</xdr:rowOff>
    </xdr:to>
    <xdr:graphicFrame macro="">
      <xdr:nvGraphicFramePr>
        <xdr:cNvPr id="191110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110</xdr:row>
      <xdr:rowOff>0</xdr:rowOff>
    </xdr:from>
    <xdr:to>
      <xdr:col>24</xdr:col>
      <xdr:colOff>0</xdr:colOff>
      <xdr:row>118</xdr:row>
      <xdr:rowOff>85725</xdr:rowOff>
    </xdr:to>
    <xdr:graphicFrame macro="">
      <xdr:nvGraphicFramePr>
        <xdr:cNvPr id="19111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125</xdr:row>
      <xdr:rowOff>0</xdr:rowOff>
    </xdr:from>
    <xdr:to>
      <xdr:col>12</xdr:col>
      <xdr:colOff>0</xdr:colOff>
      <xdr:row>133</xdr:row>
      <xdr:rowOff>85725</xdr:rowOff>
    </xdr:to>
    <xdr:graphicFrame macro="">
      <xdr:nvGraphicFramePr>
        <xdr:cNvPr id="1911111"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125</xdr:row>
      <xdr:rowOff>0</xdr:rowOff>
    </xdr:from>
    <xdr:to>
      <xdr:col>24</xdr:col>
      <xdr:colOff>0</xdr:colOff>
      <xdr:row>133</xdr:row>
      <xdr:rowOff>85725</xdr:rowOff>
    </xdr:to>
    <xdr:graphicFrame macro="">
      <xdr:nvGraphicFramePr>
        <xdr:cNvPr id="191111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140</xdr:row>
      <xdr:rowOff>0</xdr:rowOff>
    </xdr:from>
    <xdr:to>
      <xdr:col>12</xdr:col>
      <xdr:colOff>0</xdr:colOff>
      <xdr:row>148</xdr:row>
      <xdr:rowOff>85725</xdr:rowOff>
    </xdr:to>
    <xdr:graphicFrame macro="">
      <xdr:nvGraphicFramePr>
        <xdr:cNvPr id="191111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140</xdr:row>
      <xdr:rowOff>0</xdr:rowOff>
    </xdr:from>
    <xdr:to>
      <xdr:col>24</xdr:col>
      <xdr:colOff>0</xdr:colOff>
      <xdr:row>148</xdr:row>
      <xdr:rowOff>85725</xdr:rowOff>
    </xdr:to>
    <xdr:graphicFrame macro="">
      <xdr:nvGraphicFramePr>
        <xdr:cNvPr id="1911114"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95</xdr:row>
      <xdr:rowOff>9525</xdr:rowOff>
    </xdr:from>
    <xdr:to>
      <xdr:col>6</xdr:col>
      <xdr:colOff>0</xdr:colOff>
      <xdr:row>112</xdr:row>
      <xdr:rowOff>0</xdr:rowOff>
    </xdr:to>
    <xdr:graphicFrame macro="">
      <xdr:nvGraphicFramePr>
        <xdr:cNvPr id="2235721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739029</xdr:colOff>
      <xdr:row>0</xdr:row>
      <xdr:rowOff>160804</xdr:rowOff>
    </xdr:from>
    <xdr:to>
      <xdr:col>8</xdr:col>
      <xdr:colOff>179856</xdr:colOff>
      <xdr:row>1</xdr:row>
      <xdr:rowOff>206748</xdr:rowOff>
    </xdr:to>
    <xdr:sp macro="[0]!OpenTickerBox" textlink="">
      <xdr:nvSpPr>
        <xdr:cNvPr id="3" name="Rounded Rectangle 2"/>
        <xdr:cNvSpPr/>
      </xdr:nvSpPr>
      <xdr:spPr>
        <a:xfrm>
          <a:off x="6902264" y="160804"/>
          <a:ext cx="1009651" cy="23644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en-US" sz="1200" b="1"/>
            <a:t>Enter Ticker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209550</xdr:colOff>
      <xdr:row>6</xdr:row>
      <xdr:rowOff>47625</xdr:rowOff>
    </xdr:from>
    <xdr:to>
      <xdr:col>15</xdr:col>
      <xdr:colOff>38100</xdr:colOff>
      <xdr:row>33</xdr:row>
      <xdr:rowOff>76200</xdr:rowOff>
    </xdr:to>
    <xdr:graphicFrame macro="">
      <xdr:nvGraphicFramePr>
        <xdr:cNvPr id="49871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504264</xdr:colOff>
      <xdr:row>0</xdr:row>
      <xdr:rowOff>439270</xdr:rowOff>
    </xdr:from>
    <xdr:to>
      <xdr:col>4</xdr:col>
      <xdr:colOff>470647</xdr:colOff>
      <xdr:row>0</xdr:row>
      <xdr:rowOff>792714</xdr:rowOff>
    </xdr:to>
    <xdr:sp macro="[0]!ShowHelp" textlink="">
      <xdr:nvSpPr>
        <xdr:cNvPr id="3" name="Rectangle 2"/>
        <xdr:cNvSpPr/>
      </xdr:nvSpPr>
      <xdr:spPr>
        <a:xfrm>
          <a:off x="5871882" y="705970"/>
          <a:ext cx="1019736" cy="58270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sz="1100"/>
            <a:t>Help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MF\RCH_Stock_Market_Functions.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s>
    <definedNames>
      <definedName name="rchcreatecomment"/>
      <definedName name="RCHGetElementNumber"/>
      <definedName name="RCHGetTableCell"/>
      <definedName name="RCHGetYahooHistory"/>
      <definedName name="RCHGetYahooQuotes"/>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Sheet19"/>
  <dimension ref="A1:N36"/>
  <sheetViews>
    <sheetView topLeftCell="A26" zoomScale="75" zoomScaleNormal="75" zoomScaleSheetLayoutView="100" workbookViewId="0">
      <selection activeCell="C28" sqref="C28:I28"/>
    </sheetView>
  </sheetViews>
  <sheetFormatPr defaultRowHeight="15"/>
  <cols>
    <col min="1" max="1" width="12.7109375" style="12" customWidth="1"/>
    <col min="2" max="2" width="9.42578125" style="282" customWidth="1"/>
    <col min="3" max="8" width="9.140625" style="1"/>
    <col min="9" max="9" width="29" style="1" customWidth="1"/>
    <col min="10" max="10" width="9.140625" style="1"/>
    <col min="11" max="11" width="13" style="1" customWidth="1"/>
    <col min="12" max="12" width="10.5703125" style="1" customWidth="1"/>
    <col min="13" max="13" width="9.140625" style="1"/>
    <col min="14" max="14" width="54.5703125" style="1" customWidth="1"/>
    <col min="15" max="16384" width="9.140625" style="1"/>
  </cols>
  <sheetData>
    <row r="1" spans="1:12" ht="18">
      <c r="A1" s="276" t="s">
        <v>58</v>
      </c>
      <c r="B1" s="277" t="s">
        <v>472</v>
      </c>
      <c r="C1" s="1017" t="s">
        <v>473</v>
      </c>
      <c r="D1" s="1017"/>
      <c r="E1" s="1017"/>
      <c r="F1" s="1017"/>
      <c r="G1" s="1017"/>
      <c r="H1" s="1017"/>
      <c r="I1" s="1017"/>
      <c r="K1" s="1018" t="s">
        <v>474</v>
      </c>
      <c r="L1" s="1018"/>
    </row>
    <row r="2" spans="1:12" ht="24" customHeight="1">
      <c r="A2" s="278">
        <v>39360</v>
      </c>
      <c r="B2" s="279">
        <v>1</v>
      </c>
      <c r="C2" s="1016" t="s">
        <v>475</v>
      </c>
      <c r="D2" s="1016"/>
      <c r="E2" s="1016"/>
      <c r="F2" s="1016"/>
      <c r="G2" s="1016"/>
      <c r="H2" s="1016"/>
      <c r="I2" s="1016"/>
      <c r="K2" s="1" t="s">
        <v>476</v>
      </c>
      <c r="L2" s="1" t="s">
        <v>477</v>
      </c>
    </row>
    <row r="3" spans="1:12" ht="39.75" customHeight="1">
      <c r="A3" s="278">
        <v>39401</v>
      </c>
      <c r="B3" s="279">
        <v>1.1000000000000001</v>
      </c>
      <c r="C3" s="1016" t="s">
        <v>478</v>
      </c>
      <c r="D3" s="1016"/>
      <c r="E3" s="1016"/>
      <c r="F3" s="1016"/>
      <c r="G3" s="1016"/>
      <c r="H3" s="1016"/>
      <c r="I3" s="1016"/>
      <c r="K3" s="1" t="s">
        <v>479</v>
      </c>
      <c r="L3" s="1" t="s">
        <v>480</v>
      </c>
    </row>
    <row r="4" spans="1:12" ht="53.25" customHeight="1">
      <c r="A4" s="278">
        <v>39417</v>
      </c>
      <c r="B4" s="279">
        <v>2</v>
      </c>
      <c r="C4" s="1016" t="s">
        <v>481</v>
      </c>
      <c r="D4" s="1016"/>
      <c r="E4" s="1016"/>
      <c r="F4" s="1016"/>
      <c r="G4" s="1016"/>
      <c r="H4" s="1016"/>
      <c r="I4" s="1016"/>
      <c r="K4" s="1" t="s">
        <v>482</v>
      </c>
      <c r="L4" s="1" t="s">
        <v>483</v>
      </c>
    </row>
    <row r="5" spans="1:12" ht="116.25" customHeight="1">
      <c r="A5" s="278">
        <v>39418</v>
      </c>
      <c r="B5" s="279">
        <v>2.1</v>
      </c>
      <c r="C5" s="1016" t="s">
        <v>484</v>
      </c>
      <c r="D5" s="1016"/>
      <c r="E5" s="1016"/>
      <c r="F5" s="1016"/>
      <c r="G5" s="1016"/>
      <c r="H5" s="1016"/>
      <c r="I5" s="1016"/>
    </row>
    <row r="6" spans="1:12" ht="50.25" customHeight="1">
      <c r="A6" s="278">
        <v>39435</v>
      </c>
      <c r="B6" s="279">
        <v>3</v>
      </c>
      <c r="C6" s="1016" t="s">
        <v>485</v>
      </c>
      <c r="D6" s="1016"/>
      <c r="E6" s="1016"/>
      <c r="F6" s="1016"/>
      <c r="G6" s="1016"/>
      <c r="H6" s="1016"/>
      <c r="I6" s="1016"/>
    </row>
    <row r="7" spans="1:12" ht="17.25" customHeight="1">
      <c r="A7" s="278">
        <v>39438</v>
      </c>
      <c r="B7" s="279">
        <v>3.2</v>
      </c>
      <c r="C7" s="1016" t="s">
        <v>486</v>
      </c>
      <c r="D7" s="1016"/>
      <c r="E7" s="1016"/>
      <c r="F7" s="1016"/>
      <c r="G7" s="1016"/>
      <c r="H7" s="1016"/>
      <c r="I7" s="1016"/>
    </row>
    <row r="8" spans="1:12" ht="18" customHeight="1">
      <c r="A8" s="278">
        <v>39439</v>
      </c>
      <c r="B8" s="279">
        <v>4</v>
      </c>
      <c r="C8" s="1016" t="s">
        <v>487</v>
      </c>
      <c r="D8" s="1016"/>
      <c r="E8" s="1016"/>
      <c r="F8" s="1016"/>
      <c r="G8" s="1016"/>
      <c r="H8" s="1016"/>
      <c r="I8" s="1016"/>
    </row>
    <row r="9" spans="1:12" ht="21.75" customHeight="1">
      <c r="A9" s="278">
        <v>39440</v>
      </c>
      <c r="B9" s="279">
        <v>4.0999999999999996</v>
      </c>
      <c r="C9" s="1016" t="s">
        <v>488</v>
      </c>
      <c r="D9" s="1016"/>
      <c r="E9" s="1016"/>
      <c r="F9" s="1016"/>
      <c r="G9" s="1016"/>
      <c r="H9" s="1016"/>
      <c r="I9" s="1016"/>
    </row>
    <row r="10" spans="1:12" ht="20.25" customHeight="1">
      <c r="A10" s="278">
        <v>39449</v>
      </c>
      <c r="B10" s="279">
        <v>4.2</v>
      </c>
      <c r="C10" s="1016" t="s">
        <v>489</v>
      </c>
      <c r="D10" s="1016"/>
      <c r="E10" s="1016"/>
      <c r="F10" s="1016"/>
      <c r="G10" s="1016"/>
      <c r="H10" s="1016"/>
      <c r="I10" s="1016"/>
    </row>
    <row r="11" spans="1:12" ht="21" customHeight="1">
      <c r="A11" s="278">
        <v>39452</v>
      </c>
      <c r="B11" s="279">
        <v>4.3</v>
      </c>
      <c r="C11" s="1016" t="s">
        <v>490</v>
      </c>
      <c r="D11" s="1016"/>
      <c r="E11" s="1016"/>
      <c r="F11" s="1016"/>
      <c r="G11" s="1016"/>
      <c r="H11" s="1016"/>
      <c r="I11" s="1016"/>
    </row>
    <row r="12" spans="1:12" ht="63.75" customHeight="1">
      <c r="A12" s="278">
        <v>39453</v>
      </c>
      <c r="B12" s="279">
        <v>4.4000000000000004</v>
      </c>
      <c r="C12" s="1016" t="s">
        <v>491</v>
      </c>
      <c r="D12" s="1016"/>
      <c r="E12" s="1016"/>
      <c r="F12" s="1016"/>
      <c r="G12" s="1016"/>
      <c r="H12" s="1016"/>
      <c r="I12" s="1016"/>
    </row>
    <row r="13" spans="1:12">
      <c r="A13" s="278">
        <v>39454</v>
      </c>
      <c r="B13" s="279">
        <v>4.5</v>
      </c>
      <c r="C13" s="1015" t="s">
        <v>492</v>
      </c>
      <c r="D13" s="1015"/>
      <c r="E13" s="1015"/>
      <c r="F13" s="1015"/>
      <c r="G13" s="1015"/>
      <c r="H13" s="1015"/>
      <c r="I13" s="1015"/>
    </row>
    <row r="14" spans="1:12" ht="51.75" customHeight="1">
      <c r="A14" s="278">
        <v>39466</v>
      </c>
      <c r="B14" s="279">
        <v>4.5999999999999996</v>
      </c>
      <c r="C14" s="1014" t="s">
        <v>493</v>
      </c>
      <c r="D14" s="1015"/>
      <c r="E14" s="1015"/>
      <c r="F14" s="1015"/>
      <c r="G14" s="1015"/>
      <c r="H14" s="1015"/>
      <c r="I14" s="1015"/>
    </row>
    <row r="15" spans="1:12" ht="60.75" customHeight="1">
      <c r="A15" s="278">
        <v>39473</v>
      </c>
      <c r="B15" s="279">
        <v>4.7</v>
      </c>
      <c r="C15" s="1016" t="s">
        <v>494</v>
      </c>
      <c r="D15" s="1016"/>
      <c r="E15" s="1016"/>
      <c r="F15" s="1016"/>
      <c r="G15" s="1016"/>
      <c r="H15" s="1016"/>
      <c r="I15" s="1016"/>
    </row>
    <row r="16" spans="1:12" ht="48.75" customHeight="1">
      <c r="A16" s="278">
        <v>39485</v>
      </c>
      <c r="B16" s="279">
        <v>4.8</v>
      </c>
      <c r="C16" s="1013" t="s">
        <v>495</v>
      </c>
      <c r="D16" s="1012"/>
      <c r="E16" s="1012"/>
      <c r="F16" s="1012"/>
      <c r="G16" s="1012"/>
      <c r="H16" s="1012"/>
      <c r="I16" s="1012"/>
    </row>
    <row r="17" spans="1:14" ht="36.75" customHeight="1">
      <c r="A17" s="278">
        <v>39496</v>
      </c>
      <c r="B17" s="279">
        <v>4.9000000000000004</v>
      </c>
      <c r="C17" s="1013" t="s">
        <v>496</v>
      </c>
      <c r="D17" s="1012"/>
      <c r="E17" s="1012"/>
      <c r="F17" s="1012"/>
      <c r="G17" s="1012"/>
      <c r="H17" s="1012"/>
      <c r="I17" s="1012"/>
    </row>
    <row r="18" spans="1:14" ht="81.75" customHeight="1">
      <c r="A18" s="278">
        <v>39599</v>
      </c>
      <c r="B18" s="280">
        <v>4.0999999999999996</v>
      </c>
      <c r="C18" s="1013" t="s">
        <v>497</v>
      </c>
      <c r="D18" s="1012"/>
      <c r="E18" s="1012"/>
      <c r="F18" s="1012"/>
      <c r="G18" s="1012"/>
      <c r="H18" s="1012"/>
      <c r="I18" s="1012"/>
    </row>
    <row r="19" spans="1:14" ht="98.25" customHeight="1">
      <c r="A19" s="278">
        <v>39627</v>
      </c>
      <c r="B19" s="280">
        <v>5.01</v>
      </c>
      <c r="C19" s="1013" t="s">
        <v>498</v>
      </c>
      <c r="D19" s="1012"/>
      <c r="E19" s="1012"/>
      <c r="F19" s="1012"/>
      <c r="G19" s="1012"/>
      <c r="H19" s="1012"/>
      <c r="I19" s="1012"/>
    </row>
    <row r="20" spans="1:14" ht="183" customHeight="1">
      <c r="A20" s="278">
        <v>39806</v>
      </c>
      <c r="B20" s="280" t="s">
        <v>499</v>
      </c>
      <c r="C20" s="1013" t="s">
        <v>500</v>
      </c>
      <c r="D20" s="1013"/>
      <c r="E20" s="1013"/>
      <c r="F20" s="1013"/>
      <c r="G20" s="1013"/>
      <c r="H20" s="1013"/>
      <c r="I20" s="1013"/>
    </row>
    <row r="21" spans="1:14" ht="54" customHeight="1">
      <c r="A21" s="278">
        <v>39812</v>
      </c>
      <c r="B21" s="280" t="s">
        <v>501</v>
      </c>
      <c r="C21" s="1013" t="s">
        <v>502</v>
      </c>
      <c r="D21" s="1012"/>
      <c r="E21" s="1012"/>
      <c r="F21" s="1012"/>
      <c r="G21" s="1012"/>
      <c r="H21" s="1012"/>
      <c r="I21" s="1012"/>
    </row>
    <row r="22" spans="1:14" ht="46.5" customHeight="1">
      <c r="A22" s="278">
        <v>39859</v>
      </c>
      <c r="B22" s="280" t="s">
        <v>503</v>
      </c>
      <c r="C22" s="1013" t="s">
        <v>504</v>
      </c>
      <c r="D22" s="1012"/>
      <c r="E22" s="1012"/>
      <c r="F22" s="1012"/>
      <c r="G22" s="1012"/>
      <c r="H22" s="1012"/>
      <c r="I22" s="1012"/>
    </row>
    <row r="23" spans="1:14" ht="97.5" customHeight="1">
      <c r="A23" s="281" t="s">
        <v>505</v>
      </c>
      <c r="B23" s="280" t="s">
        <v>506</v>
      </c>
      <c r="C23" s="1013" t="s">
        <v>507</v>
      </c>
      <c r="D23" s="1012"/>
      <c r="E23" s="1012"/>
      <c r="F23" s="1012"/>
      <c r="G23" s="1012"/>
      <c r="H23" s="1012"/>
      <c r="I23" s="1012"/>
    </row>
    <row r="24" spans="1:14" ht="200.25" customHeight="1">
      <c r="A24" s="278">
        <v>40028</v>
      </c>
      <c r="B24" s="280" t="s">
        <v>508</v>
      </c>
      <c r="C24" s="1013" t="s">
        <v>509</v>
      </c>
      <c r="D24" s="1012"/>
      <c r="E24" s="1012"/>
      <c r="F24" s="1012"/>
      <c r="G24" s="1012"/>
      <c r="H24" s="1012"/>
      <c r="I24" s="1012"/>
    </row>
    <row r="25" spans="1:14" ht="137.25" customHeight="1">
      <c r="A25" s="281" t="s">
        <v>510</v>
      </c>
      <c r="B25" s="280" t="s">
        <v>511</v>
      </c>
      <c r="C25" s="1013" t="s">
        <v>512</v>
      </c>
      <c r="D25" s="1012"/>
      <c r="E25" s="1012"/>
      <c r="F25" s="1012"/>
      <c r="G25" s="1012"/>
      <c r="H25" s="1012"/>
      <c r="I25" s="1012"/>
    </row>
    <row r="26" spans="1:14" ht="77.25" customHeight="1">
      <c r="A26" s="278">
        <v>40151</v>
      </c>
      <c r="B26" s="280" t="s">
        <v>513</v>
      </c>
      <c r="C26" s="1014" t="s">
        <v>514</v>
      </c>
      <c r="D26" s="1015"/>
      <c r="E26" s="1015"/>
      <c r="F26" s="1015"/>
      <c r="G26" s="1015"/>
      <c r="H26" s="1015"/>
      <c r="I26" s="1015"/>
    </row>
    <row r="27" spans="1:14" ht="121.5" customHeight="1">
      <c r="A27" s="278">
        <v>40153</v>
      </c>
      <c r="B27" s="280" t="s">
        <v>515</v>
      </c>
      <c r="C27" s="1013" t="s">
        <v>516</v>
      </c>
      <c r="D27" s="1012"/>
      <c r="E27" s="1012"/>
      <c r="F27" s="1012"/>
      <c r="G27" s="1012"/>
      <c r="H27" s="1012"/>
      <c r="I27" s="1012"/>
    </row>
    <row r="28" spans="1:14" ht="345" customHeight="1">
      <c r="A28" s="281" t="s">
        <v>866</v>
      </c>
      <c r="B28" s="280" t="s">
        <v>867</v>
      </c>
      <c r="C28" s="1013" t="s">
        <v>868</v>
      </c>
      <c r="D28" s="1012"/>
      <c r="E28" s="1012"/>
      <c r="F28" s="1012"/>
      <c r="G28" s="1012"/>
      <c r="H28" s="1012"/>
      <c r="I28" s="1012"/>
      <c r="N28" s="283"/>
    </row>
    <row r="29" spans="1:14">
      <c r="A29" s="278"/>
      <c r="B29" s="280"/>
      <c r="C29" s="1012"/>
      <c r="D29" s="1012"/>
      <c r="E29" s="1012"/>
      <c r="F29" s="1012"/>
      <c r="G29" s="1012"/>
      <c r="H29" s="1012"/>
      <c r="I29" s="1012"/>
    </row>
    <row r="30" spans="1:14">
      <c r="A30" s="278"/>
      <c r="B30" s="280"/>
      <c r="C30" s="1012"/>
      <c r="D30" s="1012"/>
      <c r="E30" s="1012"/>
      <c r="F30" s="1012"/>
      <c r="G30" s="1012"/>
      <c r="H30" s="1012"/>
      <c r="I30" s="1012"/>
    </row>
    <row r="31" spans="1:14">
      <c r="A31" s="278"/>
      <c r="B31" s="280"/>
      <c r="C31" s="1012"/>
      <c r="D31" s="1012"/>
      <c r="E31" s="1012"/>
      <c r="F31" s="1012"/>
      <c r="G31" s="1012"/>
      <c r="H31" s="1012"/>
      <c r="I31" s="1012"/>
    </row>
    <row r="32" spans="1:14">
      <c r="A32" s="278"/>
      <c r="B32" s="279"/>
      <c r="C32" s="1012"/>
      <c r="D32" s="1012"/>
      <c r="E32" s="1012"/>
      <c r="F32" s="1012"/>
      <c r="G32" s="1012"/>
      <c r="H32" s="1012"/>
      <c r="I32" s="1012"/>
    </row>
    <row r="33" spans="1:9">
      <c r="A33" s="278"/>
      <c r="B33" s="279"/>
      <c r="C33" s="1012"/>
      <c r="D33" s="1012"/>
      <c r="E33" s="1012"/>
      <c r="F33" s="1012"/>
      <c r="G33" s="1012"/>
      <c r="H33" s="1012"/>
      <c r="I33" s="1012"/>
    </row>
    <row r="34" spans="1:9">
      <c r="C34" s="1012"/>
      <c r="D34" s="1012"/>
      <c r="E34" s="1012"/>
      <c r="F34" s="1012"/>
      <c r="G34" s="1012"/>
      <c r="H34" s="1012"/>
      <c r="I34" s="1012"/>
    </row>
    <row r="35" spans="1:9">
      <c r="C35" s="1012"/>
      <c r="D35" s="1012"/>
      <c r="E35" s="1012"/>
      <c r="F35" s="1012"/>
      <c r="G35" s="1012"/>
      <c r="H35" s="1012"/>
      <c r="I35" s="1012"/>
    </row>
    <row r="36" spans="1:9">
      <c r="C36" s="1012"/>
      <c r="D36" s="1012"/>
      <c r="E36" s="1012"/>
      <c r="F36" s="1012"/>
      <c r="G36" s="1012"/>
      <c r="H36" s="1012"/>
      <c r="I36" s="1012"/>
    </row>
  </sheetData>
  <mergeCells count="37">
    <mergeCell ref="C14:I14"/>
    <mergeCell ref="C5:I5"/>
    <mergeCell ref="C1:I1"/>
    <mergeCell ref="K1:L1"/>
    <mergeCell ref="C2:I2"/>
    <mergeCell ref="C3:I3"/>
    <mergeCell ref="C4:I4"/>
    <mergeCell ref="C24:I24"/>
    <mergeCell ref="C17:I17"/>
    <mergeCell ref="C6:I6"/>
    <mergeCell ref="C7:I7"/>
    <mergeCell ref="C8:I8"/>
    <mergeCell ref="C9:I9"/>
    <mergeCell ref="C10:I10"/>
    <mergeCell ref="C11:I11"/>
    <mergeCell ref="C12:I12"/>
    <mergeCell ref="C13:I13"/>
    <mergeCell ref="C34:I34"/>
    <mergeCell ref="C15:I15"/>
    <mergeCell ref="C16:I16"/>
    <mergeCell ref="C29:I29"/>
    <mergeCell ref="C18:I18"/>
    <mergeCell ref="C19:I19"/>
    <mergeCell ref="C20:I20"/>
    <mergeCell ref="C21:I21"/>
    <mergeCell ref="C22:I22"/>
    <mergeCell ref="C23:I23"/>
    <mergeCell ref="C35:I35"/>
    <mergeCell ref="C25:I25"/>
    <mergeCell ref="C26:I26"/>
    <mergeCell ref="C27:I27"/>
    <mergeCell ref="C28:I28"/>
    <mergeCell ref="C36:I36"/>
    <mergeCell ref="C30:I30"/>
    <mergeCell ref="C31:I31"/>
    <mergeCell ref="C32:I32"/>
    <mergeCell ref="C33:I33"/>
  </mergeCells>
  <pageMargins left="0.7" right="0.7" top="0.75" bottom="0.75" header="0.3" footer="0.3"/>
  <pageSetup scale="85" orientation="portrait" horizontalDpi="300" verticalDpi="300" r:id="rId1"/>
  <rowBreaks count="1" manualBreakCount="1">
    <brk id="14" max="8" man="1"/>
  </rowBreaks>
</worksheet>
</file>

<file path=xl/worksheets/sheet2.xml><?xml version="1.0" encoding="utf-8"?>
<worksheet xmlns="http://schemas.openxmlformats.org/spreadsheetml/2006/main" xmlns:r="http://schemas.openxmlformats.org/officeDocument/2006/relationships">
  <sheetPr codeName="Sheet28">
    <pageSetUpPr fitToPage="1"/>
  </sheetPr>
  <dimension ref="B1:T65"/>
  <sheetViews>
    <sheetView showGridLines="0" tabSelected="1" zoomScale="75" zoomScaleNormal="75" workbookViewId="0">
      <selection activeCell="P15" sqref="P15"/>
    </sheetView>
  </sheetViews>
  <sheetFormatPr defaultRowHeight="12.75"/>
  <cols>
    <col min="1" max="1" width="3.28515625" style="173" customWidth="1"/>
    <col min="2" max="2" width="26.85546875" style="173" customWidth="1"/>
    <col min="3" max="3" width="12.42578125" style="241" customWidth="1"/>
    <col min="4" max="4" width="2.42578125" style="173" customWidth="1"/>
    <col min="5" max="5" width="17" style="173" customWidth="1"/>
    <col min="6" max="6" width="10.42578125" style="241" customWidth="1"/>
    <col min="7" max="7" width="9.140625" style="173"/>
    <col min="8" max="8" width="22.140625" style="173" customWidth="1"/>
    <col min="9" max="9" width="11.85546875" style="173" customWidth="1"/>
    <col min="10" max="10" width="3.28515625" style="173" customWidth="1"/>
    <col min="11" max="11" width="4.28515625" style="173" customWidth="1"/>
    <col min="12" max="12" width="1.28515625" style="173" customWidth="1"/>
    <col min="13" max="13" width="16.28515625" style="173" customWidth="1"/>
    <col min="14" max="14" width="10.28515625" style="863" customWidth="1"/>
    <col min="15" max="19" width="12.5703125" style="863" customWidth="1"/>
    <col min="20" max="20" width="12.5703125" style="173" customWidth="1"/>
    <col min="21" max="16384" width="9.140625" style="173"/>
  </cols>
  <sheetData>
    <row r="1" spans="2:20">
      <c r="J1" s="232"/>
    </row>
    <row r="2" spans="2:20" ht="20.25">
      <c r="B2" s="233" t="str">
        <f ca="1">Statements!$A$2</f>
        <v>Coca-Cola Co</v>
      </c>
      <c r="E2" s="173" t="str">
        <f ca="1">[1]!rchcreatecomment("http://api.cnbc.com/api/chart/chart.asp?YYY330_VnsGsd2sggPqXYH+RDnPScXkpSswly0e9uLr1wPGDj0=&amp;charttype=spark&amp;realtime=1&amp;symbol="&amp;Ticker,99,90,40,1,,,,,"")</f>
        <v/>
      </c>
    </row>
    <row r="3" spans="2:20" ht="18">
      <c r="B3" s="234" t="str">
        <f ca="1">"("&amp;Ticker&amp;")"</f>
        <v>(KO)</v>
      </c>
      <c r="M3" s="244">
        <f ca="1">Statements!A4</f>
        <v>40369</v>
      </c>
    </row>
    <row r="4" spans="2:20">
      <c r="M4" s="235" t="s">
        <v>233</v>
      </c>
      <c r="O4" s="866" t="s">
        <v>215</v>
      </c>
      <c r="P4" s="866" t="s">
        <v>216</v>
      </c>
      <c r="Q4" s="866" t="s">
        <v>217</v>
      </c>
      <c r="R4" s="866" t="s">
        <v>218</v>
      </c>
      <c r="S4" s="866" t="s">
        <v>219</v>
      </c>
      <c r="T4" s="866" t="s">
        <v>220</v>
      </c>
    </row>
    <row r="5" spans="2:20" ht="16.5">
      <c r="B5" s="236" t="s">
        <v>434</v>
      </c>
      <c r="O5" s="1011">
        <v>4</v>
      </c>
      <c r="P5" s="1011">
        <v>4</v>
      </c>
      <c r="Q5" s="1011">
        <v>4</v>
      </c>
      <c r="R5" s="1011">
        <v>4</v>
      </c>
      <c r="S5" s="1011">
        <v>4</v>
      </c>
      <c r="T5" s="1011">
        <v>4</v>
      </c>
    </row>
    <row r="6" spans="2:20" ht="174.75" customHeight="1">
      <c r="B6" s="1019" t="str">
        <f ca="1">Assessment!A34</f>
        <v xml:space="preserve">The Coca-Cola Company is the owner and marketer of nonalcoholic beverage brands. It also manufactures, distributes and markets concentrates and syrups used to produce nonalcoholic beverages. The Company owns or licenses and markets more than 500 nonalcoholic beverage brands, primarily sparkling beverages but also a variety of still beverages, such as waters, enhanced waters, juices and juice drinks, ready-to-drink teas and coffees, and energy and sports drinks. It also manufactures, or authorizes bottling partners to manufacture, fountain syrups, which it sells to fountain retailers, such as restaurants and convenience stores, which use the fountain syrups to produce finished beverages for immediate consumption, or to fountain wholesalers or bottlers, which in turn sell and distribute the fountain syrups to fountain retailers. In addition, the Company manufactures certain finished beverages, such as juices and juice drinks and water products. </v>
      </c>
      <c r="C6" s="1019"/>
      <c r="D6" s="1019"/>
      <c r="E6" s="1019"/>
      <c r="F6" s="1019"/>
      <c r="G6" s="285"/>
      <c r="H6" s="285"/>
      <c r="I6" s="285"/>
      <c r="J6" s="285"/>
      <c r="K6" s="285"/>
      <c r="L6" s="285"/>
      <c r="M6" s="285"/>
    </row>
    <row r="7" spans="2:20" ht="22.5" customHeight="1">
      <c r="B7" s="252" t="s">
        <v>134</v>
      </c>
      <c r="C7" s="253"/>
    </row>
    <row r="8" spans="2:20" ht="16.5">
      <c r="B8" s="476" t="s">
        <v>4</v>
      </c>
      <c r="C8" s="247">
        <f ca="1">DCFData!B2</f>
        <v>52.4</v>
      </c>
      <c r="E8" s="245" t="s">
        <v>127</v>
      </c>
      <c r="F8" s="242"/>
    </row>
    <row r="9" spans="2:20">
      <c r="B9" s="258" t="s">
        <v>441</v>
      </c>
      <c r="C9" s="259">
        <f ca="1">EPV!C30</f>
        <v>-3.2463203463203465</v>
      </c>
      <c r="E9" s="882"/>
      <c r="F9" s="882"/>
    </row>
    <row r="10" spans="2:20">
      <c r="B10" s="251" t="s">
        <v>302</v>
      </c>
      <c r="C10" s="247">
        <f ca="1">EPV!C33</f>
        <v>17.498122999533503</v>
      </c>
      <c r="E10" s="237"/>
      <c r="F10" s="237"/>
    </row>
    <row r="11" spans="2:20">
      <c r="B11" s="258" t="s">
        <v>318</v>
      </c>
      <c r="C11" s="275">
        <f ca="1">EPV!F7</f>
        <v>19.669048687248942</v>
      </c>
      <c r="E11" s="882"/>
      <c r="F11" s="882"/>
    </row>
    <row r="12" spans="2:20">
      <c r="B12" s="251" t="s">
        <v>442</v>
      </c>
      <c r="C12" s="247">
        <f ca="1">'DCF Valuation'!E7</f>
        <v>33.053477080716441</v>
      </c>
      <c r="E12" s="237"/>
      <c r="F12" s="237"/>
    </row>
    <row r="13" spans="2:20" ht="13.5" thickBot="1">
      <c r="B13" s="260" t="s">
        <v>443</v>
      </c>
      <c r="C13" s="883">
        <f ca="1">'Graham Valuation'!E7</f>
        <v>54.997605532269375</v>
      </c>
      <c r="E13" s="262"/>
      <c r="F13" s="262"/>
    </row>
    <row r="14" spans="2:20" ht="13.5" thickTop="1"/>
    <row r="15" spans="2:20" ht="16.5">
      <c r="B15" s="254" t="s">
        <v>427</v>
      </c>
      <c r="C15" s="253"/>
      <c r="E15" s="255" t="s">
        <v>93</v>
      </c>
      <c r="F15" s="253"/>
      <c r="P15" s="864"/>
    </row>
    <row r="16" spans="2:20">
      <c r="B16" s="246" t="s">
        <v>435</v>
      </c>
      <c r="C16" s="247">
        <f ca="1">Competitors!C12</f>
        <v>120830.0000001</v>
      </c>
      <c r="E16" t="s">
        <v>452</v>
      </c>
      <c r="F16" s="239">
        <f ca="1">Competitors!C18</f>
        <v>17.2200001</v>
      </c>
    </row>
    <row r="17" spans="2:16">
      <c r="B17" s="261" t="s">
        <v>227</v>
      </c>
      <c r="C17" s="259">
        <f ca="1">Competitors!C14</f>
        <v>59.450000100000004</v>
      </c>
      <c r="E17" s="268" t="s">
        <v>451</v>
      </c>
      <c r="F17" s="269">
        <f ca="1">Competitors!C19</f>
        <v>3.8500000999999999</v>
      </c>
      <c r="O17" s="864"/>
    </row>
    <row r="18" spans="2:16">
      <c r="B18" s="246" t="s">
        <v>228</v>
      </c>
      <c r="C18" s="247">
        <f ca="1">Competitors!C15</f>
        <v>47.420000100000003</v>
      </c>
      <c r="E18" t="s">
        <v>768</v>
      </c>
      <c r="F18" s="239">
        <f ca="1">Competitors!C20</f>
        <v>9.6200000999999986</v>
      </c>
    </row>
    <row r="19" spans="2:16" ht="13.5" thickBot="1">
      <c r="B19" s="262" t="s">
        <v>229</v>
      </c>
      <c r="C19" s="263">
        <f ca="1">Competitors!C16</f>
        <v>0.10501907933361444</v>
      </c>
      <c r="E19" s="268" t="s">
        <v>453</v>
      </c>
      <c r="F19" s="269">
        <f ca="1">Competitors!C20</f>
        <v>9.6200000999999986</v>
      </c>
    </row>
    <row r="20" spans="2:16" ht="13.5" thickTop="1">
      <c r="E20" t="s">
        <v>454</v>
      </c>
      <c r="F20" s="240">
        <f ca="1">Statements!S90/DCFData!B106</f>
        <v>4.6274068787531451E-2</v>
      </c>
    </row>
    <row r="21" spans="2:16" ht="16.5">
      <c r="B21" s="255" t="s">
        <v>462</v>
      </c>
      <c r="C21" s="253"/>
      <c r="D21"/>
      <c r="E21" s="268" t="s">
        <v>455</v>
      </c>
      <c r="F21" s="269">
        <f ca="1">Competitors!C22</f>
        <v>42.320000100000001</v>
      </c>
      <c r="G21"/>
      <c r="H21"/>
    </row>
    <row r="22" spans="2:16" ht="15.75" customHeight="1">
      <c r="B22" s="229" t="str">
        <f ca="1">DCFData!A30</f>
        <v>Owner Earnings FCF</v>
      </c>
      <c r="D22"/>
      <c r="E22" t="s">
        <v>855</v>
      </c>
      <c r="F22" s="240">
        <f ca="1">earnings_yield</f>
        <v>8.7243836609250516E-2</v>
      </c>
      <c r="G22"/>
      <c r="H22"/>
    </row>
    <row r="23" spans="2:16" ht="15.75" customHeight="1">
      <c r="B23" s="264" t="s">
        <v>583</v>
      </c>
      <c r="C23" s="265">
        <f ca="1">'DCF Valuation'!K43</f>
        <v>4.8281426550994988E-2</v>
      </c>
      <c r="D23"/>
      <c r="E23" s="268" t="s">
        <v>856</v>
      </c>
      <c r="F23" s="271">
        <f ca="1">piotroski_f</f>
        <v>8</v>
      </c>
      <c r="G23"/>
      <c r="H23"/>
    </row>
    <row r="24" spans="2:16" ht="15.75" customHeight="1" thickBot="1">
      <c r="B24" s="473" t="s">
        <v>582</v>
      </c>
      <c r="C24" s="474">
        <f ca="1">'DCF Valuation'!J58</f>
        <v>7.2823729594433839E-2</v>
      </c>
      <c r="D24"/>
      <c r="E24" t="s">
        <v>858</v>
      </c>
      <c r="F24" s="997">
        <f ca="1">Altman</f>
        <v>4.8932863169328442</v>
      </c>
      <c r="G24"/>
      <c r="H24"/>
      <c r="P24" s="864"/>
    </row>
    <row r="25" spans="2:16" ht="18" thickTop="1" thickBot="1">
      <c r="D25"/>
      <c r="E25" s="270" t="s">
        <v>857</v>
      </c>
      <c r="F25" s="996">
        <f ca="1">PioAltZ!M73</f>
        <v>-2.6454541841182744</v>
      </c>
      <c r="G25"/>
      <c r="H25" s="255" t="s">
        <v>75</v>
      </c>
      <c r="I25" s="257"/>
    </row>
    <row r="26" spans="2:16" ht="15" customHeight="1" thickTop="1">
      <c r="B26" s="255" t="s">
        <v>456</v>
      </c>
      <c r="C26" s="253"/>
      <c r="D26"/>
      <c r="G26"/>
      <c r="H26" t="s">
        <v>24</v>
      </c>
      <c r="I26" s="231">
        <f ca="1">EPV!B38</f>
        <v>9000</v>
      </c>
    </row>
    <row r="27" spans="2:16" ht="15" customHeight="1">
      <c r="B27" s="173" t="s">
        <v>2</v>
      </c>
      <c r="D27"/>
      <c r="E27" s="256" t="s">
        <v>428</v>
      </c>
      <c r="F27" s="253"/>
      <c r="G27"/>
      <c r="H27" s="268" t="s">
        <v>25</v>
      </c>
      <c r="I27" s="275">
        <f ca="1">EPV!B39</f>
        <v>0</v>
      </c>
    </row>
    <row r="28" spans="2:16" ht="15" customHeight="1">
      <c r="B28" s="268" t="s">
        <v>517</v>
      </c>
      <c r="C28" s="265">
        <f ca="1">multi_croic</f>
        <v>0.30833099579242634</v>
      </c>
      <c r="D28"/>
      <c r="E28" s="229" t="s">
        <v>457</v>
      </c>
      <c r="G28"/>
      <c r="H28" t="s">
        <v>26</v>
      </c>
      <c r="I28" s="231">
        <f ca="1">EPV!B42</f>
        <v>3705</v>
      </c>
    </row>
    <row r="29" spans="2:16" ht="15" customHeight="1">
      <c r="B29" t="s">
        <v>464</v>
      </c>
      <c r="D29"/>
      <c r="E29" s="264" t="s">
        <v>468</v>
      </c>
      <c r="F29" s="271"/>
      <c r="G29"/>
      <c r="H29" s="268" t="s">
        <v>27</v>
      </c>
      <c r="I29" s="275">
        <f ca="1">EPV!B48</f>
        <v>2327</v>
      </c>
    </row>
    <row r="30" spans="2:16" ht="15" customHeight="1">
      <c r="B30" s="268" t="s">
        <v>517</v>
      </c>
      <c r="C30" s="265">
        <f ca="1">multi_fcf_sales</f>
        <v>0.19142311524410494</v>
      </c>
      <c r="D30"/>
      <c r="E30" s="229" t="s">
        <v>460</v>
      </c>
      <c r="G30"/>
      <c r="H30" t="s">
        <v>29</v>
      </c>
      <c r="I30" s="231">
        <f ca="1">EPV!B52</f>
        <v>17414</v>
      </c>
    </row>
    <row r="31" spans="2:16" ht="15" customHeight="1">
      <c r="B31" t="s">
        <v>458</v>
      </c>
      <c r="D31"/>
      <c r="E31" s="264" t="s">
        <v>469</v>
      </c>
      <c r="F31" s="271"/>
      <c r="G31"/>
      <c r="H31" s="268" t="s">
        <v>30</v>
      </c>
      <c r="I31" s="275">
        <f ca="1">EPV!E56</f>
        <v>9036</v>
      </c>
    </row>
    <row r="32" spans="2:16" ht="15" customHeight="1">
      <c r="B32" s="268" t="s">
        <v>517</v>
      </c>
      <c r="C32" s="265">
        <f ca="1">multi_roa</f>
        <v>0.15443886019311304</v>
      </c>
      <c r="D32"/>
      <c r="E32" s="229" t="s">
        <v>117</v>
      </c>
      <c r="G32"/>
      <c r="H32" t="s">
        <v>31</v>
      </c>
      <c r="I32" s="231">
        <f ca="1">EPV!B55</f>
        <v>12315</v>
      </c>
      <c r="P32" s="864"/>
    </row>
    <row r="33" spans="2:11" ht="15" customHeight="1" thickBot="1">
      <c r="B33" t="s">
        <v>459</v>
      </c>
      <c r="D33"/>
      <c r="E33" s="266" t="s">
        <v>470</v>
      </c>
      <c r="F33" s="272"/>
      <c r="G33"/>
      <c r="H33" s="268" t="s">
        <v>33</v>
      </c>
      <c r="I33" s="275">
        <f ca="1">EPV!B60</f>
        <v>47609</v>
      </c>
    </row>
    <row r="34" spans="2:11" ht="15" customHeight="1" thickTop="1" thickBot="1">
      <c r="B34" s="270" t="s">
        <v>517</v>
      </c>
      <c r="C34" s="267">
        <f ca="1">multi_roe</f>
        <v>0.29077313912006814</v>
      </c>
      <c r="D34"/>
      <c r="G34"/>
      <c r="H34"/>
      <c r="I34" s="231"/>
    </row>
    <row r="35" spans="2:11" ht="17.25" thickTop="1">
      <c r="D35"/>
      <c r="E35" s="256" t="s">
        <v>465</v>
      </c>
      <c r="F35" s="253"/>
      <c r="G35"/>
      <c r="H35" t="s">
        <v>39</v>
      </c>
      <c r="I35" s="231">
        <f ca="1">EPV!K44</f>
        <v>13583</v>
      </c>
    </row>
    <row r="36" spans="2:11" ht="16.5">
      <c r="B36" s="255" t="s">
        <v>91</v>
      </c>
      <c r="C36" s="253"/>
      <c r="D36"/>
      <c r="E36" s="229" t="s">
        <v>109</v>
      </c>
      <c r="F36" s="238">
        <f ca="1">Competitors!C37</f>
        <v>1.1000001000000001</v>
      </c>
      <c r="G36"/>
      <c r="H36" s="268" t="s">
        <v>40</v>
      </c>
      <c r="I36" s="275">
        <f ca="1">EPV!K45</f>
        <v>4419</v>
      </c>
    </row>
    <row r="37" spans="2:11" ht="13.5" thickBot="1">
      <c r="B37" t="s">
        <v>448</v>
      </c>
      <c r="C37" s="238">
        <f ca="1">Competitors!C54</f>
        <v>9.1600000999999995</v>
      </c>
      <c r="D37"/>
      <c r="E37" s="264" t="s">
        <v>110</v>
      </c>
      <c r="F37" s="273">
        <f ca="1">Competitors!C38</f>
        <v>1.2700001000000001</v>
      </c>
      <c r="G37"/>
      <c r="H37" s="248" t="s">
        <v>1</v>
      </c>
      <c r="I37" s="250">
        <f ca="1">EPV!K50</f>
        <v>22531</v>
      </c>
    </row>
    <row r="38" spans="2:11" ht="13.5" thickTop="1">
      <c r="B38" s="268" t="s">
        <v>449</v>
      </c>
      <c r="C38" s="273">
        <f ca="1">Competitors!C55</f>
        <v>4.7700000999999999</v>
      </c>
      <c r="D38"/>
      <c r="E38" s="229" t="s">
        <v>466</v>
      </c>
      <c r="F38" s="238">
        <f ca="1">Competitors!C39</f>
        <v>17.770000100000001</v>
      </c>
      <c r="G38"/>
    </row>
    <row r="39" spans="2:11" ht="13.5" thickBot="1">
      <c r="B39" s="248" t="s">
        <v>450</v>
      </c>
      <c r="C39" s="249">
        <f ca="1">Competitors!C56</f>
        <v>0.69000009999999989</v>
      </c>
      <c r="E39" s="266" t="s">
        <v>467</v>
      </c>
      <c r="F39" s="274">
        <f ca="1">Competitors!C40</f>
        <v>46.780000100000002</v>
      </c>
    </row>
    <row r="40" spans="2:11" ht="13.5" thickTop="1">
      <c r="F40" s="243"/>
    </row>
    <row r="41" spans="2:11">
      <c r="K41"/>
    </row>
    <row r="51" spans="15:15">
      <c r="O51" s="865"/>
    </row>
    <row r="52" spans="15:15">
      <c r="O52" s="864"/>
    </row>
    <row r="53" spans="15:15">
      <c r="O53" s="864"/>
    </row>
    <row r="54" spans="15:15">
      <c r="O54" s="864"/>
    </row>
    <row r="55" spans="15:15">
      <c r="O55" s="864"/>
    </row>
    <row r="56" spans="15:15">
      <c r="O56" s="865"/>
    </row>
    <row r="57" spans="15:15">
      <c r="O57" s="864"/>
    </row>
    <row r="58" spans="15:15">
      <c r="O58" s="864"/>
    </row>
    <row r="59" spans="15:15">
      <c r="O59" s="864"/>
    </row>
    <row r="60" spans="15:15">
      <c r="O60" s="864"/>
    </row>
    <row r="61" spans="15:15">
      <c r="O61" s="865"/>
    </row>
    <row r="62" spans="15:15">
      <c r="O62" s="864"/>
    </row>
    <row r="63" spans="15:15">
      <c r="O63" s="864"/>
    </row>
    <row r="64" spans="15:15">
      <c r="O64" s="864"/>
    </row>
    <row r="65" spans="15:15">
      <c r="O65" s="864"/>
    </row>
  </sheetData>
  <sheetProtection selectLockedCells="1"/>
  <mergeCells count="1">
    <mergeCell ref="B6:F6"/>
  </mergeCells>
  <pageMargins left="0.7" right="0.7" top="0.75" bottom="0.75" header="0.3" footer="0.3"/>
  <pageSetup scale="68" orientation="landscape" horizontalDpi="0" verticalDpi="0" r:id="rId1"/>
  <colBreaks count="1" manualBreakCount="1">
    <brk id="13" max="1048575" man="1"/>
  </colBreaks>
  <drawing r:id="rId2"/>
  <legacyDrawing r:id="rId3"/>
</worksheet>
</file>

<file path=xl/worksheets/sheet3.xml><?xml version="1.0" encoding="utf-8"?>
<worksheet xmlns="http://schemas.openxmlformats.org/spreadsheetml/2006/main" xmlns:r="http://schemas.openxmlformats.org/officeDocument/2006/relationships">
  <sheetPr codeName="Sheet18"/>
  <dimension ref="A1:E16"/>
  <sheetViews>
    <sheetView zoomScale="75" zoomScaleNormal="75" workbookViewId="0">
      <selection activeCell="N26" sqref="N26"/>
    </sheetView>
  </sheetViews>
  <sheetFormatPr defaultRowHeight="12.75"/>
  <cols>
    <col min="1" max="1" width="11.28515625" customWidth="1"/>
    <col min="2" max="2" width="13.5703125" customWidth="1"/>
    <col min="3" max="3" width="10" bestFit="1" customWidth="1"/>
    <col min="4" max="5" width="9.28515625" bestFit="1" customWidth="1"/>
  </cols>
  <sheetData>
    <row r="1" spans="1:5">
      <c r="A1" t="s">
        <v>444</v>
      </c>
      <c r="B1" t="s">
        <v>445</v>
      </c>
      <c r="C1" t="s">
        <v>446</v>
      </c>
      <c r="D1" t="s">
        <v>461</v>
      </c>
    </row>
    <row r="2" spans="1:5">
      <c r="A2" t="s">
        <v>447</v>
      </c>
      <c r="B2">
        <v>6138689</v>
      </c>
      <c r="C2">
        <v>2772732</v>
      </c>
      <c r="D2">
        <v>8080899</v>
      </c>
    </row>
    <row r="3" spans="1:5">
      <c r="A3" s="229" t="s">
        <v>457</v>
      </c>
      <c r="B3">
        <v>9362861</v>
      </c>
      <c r="C3">
        <v>5026558</v>
      </c>
    </row>
    <row r="4" spans="1:5">
      <c r="A4" s="229" t="s">
        <v>460</v>
      </c>
      <c r="B4">
        <v>7980664</v>
      </c>
      <c r="C4">
        <v>3968509</v>
      </c>
    </row>
    <row r="5" spans="1:5">
      <c r="A5" s="229" t="s">
        <v>117</v>
      </c>
      <c r="B5">
        <v>6138689</v>
      </c>
      <c r="C5">
        <v>2772732</v>
      </c>
    </row>
    <row r="9" spans="1:5">
      <c r="B9" t="s">
        <v>783</v>
      </c>
      <c r="C9" t="s">
        <v>61</v>
      </c>
      <c r="D9" t="s">
        <v>784</v>
      </c>
      <c r="E9" t="s">
        <v>785</v>
      </c>
    </row>
    <row r="10" spans="1:5">
      <c r="A10" s="879" t="str">
        <f ca="1">Dashboard!B8</f>
        <v>Current Price</v>
      </c>
      <c r="B10" s="880">
        <f ca="1">Dashboard!C8</f>
        <v>52.4</v>
      </c>
      <c r="D10" s="225">
        <v>100</v>
      </c>
    </row>
    <row r="11" spans="1:5">
      <c r="A11" s="879" t="str">
        <f ca="1">Dashboard!B9</f>
        <v>NCAV</v>
      </c>
      <c r="B11" s="880">
        <f ca="1">Dashboard!C9</f>
        <v>-3.2463203463203465</v>
      </c>
      <c r="C11" s="129">
        <f ca="1">IF(B11&gt;0,1-($B$10/B11),($B$10/B11)-1)</f>
        <v>-17.141352180290703</v>
      </c>
      <c r="D11" s="225">
        <f ca="1">C11*$D$10</f>
        <v>-1714.1352180290703</v>
      </c>
      <c r="E11" s="225">
        <f ca="1">IF(D11&lt;0,IF(ABS(D11)&gt;50,-50,D11),IF(D11&gt;50,50,D11))</f>
        <v>-50</v>
      </c>
    </row>
    <row r="12" spans="1:5">
      <c r="A12" s="879" t="str">
        <f ca="1">Dashboard!B10</f>
        <v>Total Net Reprod. Cost</v>
      </c>
      <c r="B12" s="880">
        <f ca="1">Dashboard!C10</f>
        <v>17.498122999533503</v>
      </c>
      <c r="C12" s="129">
        <f ca="1">IF(B12&gt;0,1-($B$10/B12),($B$10/B12)-1)</f>
        <v>-1.9946069073464034</v>
      </c>
      <c r="D12" s="225">
        <f ca="1">C12*$D$10</f>
        <v>-199.46069073464034</v>
      </c>
      <c r="E12" s="225">
        <f ca="1">IF(D12&lt;0,IF(ABS(D12)&gt;50,-50,D12),IF(D12&gt;50,50,D12))</f>
        <v>-50</v>
      </c>
    </row>
    <row r="13" spans="1:5">
      <c r="A13" s="879" t="str">
        <f ca="1">Dashboard!B11</f>
        <v>Earnings Power Value (EPV)</v>
      </c>
      <c r="B13" s="880">
        <f ca="1">Dashboard!C11</f>
        <v>19.669048687248942</v>
      </c>
      <c r="C13" s="129">
        <f ca="1">IF(B13&gt;0,1-($B$10/B13),($B$10/B13)-1)</f>
        <v>-1.6640841066182266</v>
      </c>
      <c r="D13" s="225">
        <f ca="1">C13*$D$10</f>
        <v>-166.40841066182267</v>
      </c>
      <c r="E13" s="225">
        <f ca="1">IF(D13&lt;0,IF(ABS(D13)&gt;50,-50,D13),IF(D13&gt;50,50,D13))</f>
        <v>-50</v>
      </c>
    </row>
    <row r="14" spans="1:5">
      <c r="A14" s="879" t="str">
        <f ca="1">Dashboard!B12</f>
        <v>Discounted Cash Flow (DCF)</v>
      </c>
      <c r="B14" s="880">
        <f ca="1">Dashboard!C12</f>
        <v>33.053477080716441</v>
      </c>
      <c r="C14" s="129">
        <f ca="1">IF(B14&gt;0,1-($B$10/B14),($B$10/B14)-1)</f>
        <v>-0.58530976550634706</v>
      </c>
      <c r="D14" s="225">
        <f ca="1">C14*$D$10</f>
        <v>-58.530976550634705</v>
      </c>
      <c r="E14" s="225">
        <f ca="1">IF(D14&lt;0,IF(ABS(D14)&gt;50,-50,D14),IF(D14&gt;50,50,D14))</f>
        <v>-50</v>
      </c>
    </row>
    <row r="15" spans="1:5">
      <c r="A15" s="879" t="str">
        <f ca="1">Dashboard!B13</f>
        <v>Ben Graham Formula</v>
      </c>
      <c r="B15" s="880">
        <f ca="1">graham_price</f>
        <v>54.997605532269375</v>
      </c>
      <c r="C15" s="881">
        <f ca="1">IF(B15&gt;0,1-($B$10/B15),($B$10/B15)-1)</f>
        <v>4.7231247744872307E-2</v>
      </c>
      <c r="D15" s="225">
        <f ca="1">C15*$D$10</f>
        <v>4.7231247744872302</v>
      </c>
      <c r="E15" s="225">
        <f ca="1">IF(D15&lt;0,IF(ABS(D15)&gt;50,-50,D15),IF(D15&gt;50,50,D15))</f>
        <v>4.7231247744872302</v>
      </c>
    </row>
    <row r="16" spans="1:5">
      <c r="A16" s="879"/>
    </row>
  </sheetData>
  <pageMargins left="0.7" right="0.7" top="0.75" bottom="0.75" header="0.3" footer="0.3"/>
  <pageSetup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sheetPr codeName="Sheet1">
    <outlinePr applyStyles="1" summaryBelow="0"/>
  </sheetPr>
  <dimension ref="A1:T93"/>
  <sheetViews>
    <sheetView showGridLines="0" topLeftCell="E1" zoomScale="75" zoomScaleNormal="75" zoomScaleSheetLayoutView="85" workbookViewId="0">
      <pane ySplit="5" topLeftCell="A68" activePane="bottomLeft" state="frozen"/>
      <selection pane="bottomLeft" activeCell="E91" sqref="E91:S91"/>
    </sheetView>
  </sheetViews>
  <sheetFormatPr defaultColWidth="0" defaultRowHeight="17.25" customHeight="1" outlineLevelCol="1"/>
  <cols>
    <col min="1" max="1" width="12.140625" style="410" customWidth="1"/>
    <col min="2" max="2" width="34.140625" style="321" customWidth="1"/>
    <col min="3" max="3" width="10.42578125" style="975" hidden="1" customWidth="1"/>
    <col min="4" max="4" width="11.5703125" style="975" hidden="1" customWidth="1"/>
    <col min="5" max="14" width="15.85546875" style="344" customWidth="1"/>
    <col min="15" max="18" width="15.85546875" style="344" hidden="1" customWidth="1" outlineLevel="1"/>
    <col min="19" max="19" width="15.85546875" style="929" customWidth="1" collapsed="1"/>
    <col min="20" max="20" width="15.42578125" style="321" customWidth="1"/>
    <col min="21" max="16384" width="9.140625" style="321" hidden="1"/>
  </cols>
  <sheetData>
    <row r="1" spans="1:19" ht="15" customHeight="1">
      <c r="A1" s="343"/>
      <c r="B1" s="246"/>
      <c r="C1" s="934"/>
      <c r="D1" s="934"/>
      <c r="E1" s="246"/>
      <c r="F1" s="246"/>
      <c r="G1" s="246"/>
      <c r="H1" s="246"/>
      <c r="I1" s="321"/>
      <c r="J1" s="321"/>
      <c r="N1" s="1021"/>
      <c r="O1" s="1021"/>
      <c r="P1" s="1021"/>
      <c r="Q1" s="1021"/>
      <c r="R1" s="1021"/>
      <c r="S1" s="1021"/>
    </row>
    <row r="2" spans="1:19" ht="21" customHeight="1">
      <c r="A2" s="345" t="str">
        <f ca="1">[1]!RCHGetElementNumber(Ticker,13862)</f>
        <v>Coca-Cola Co</v>
      </c>
      <c r="B2" s="346"/>
      <c r="C2" s="935"/>
      <c r="D2" s="935"/>
      <c r="E2" s="346"/>
      <c r="F2" s="346"/>
      <c r="G2" s="346"/>
      <c r="H2" s="290"/>
      <c r="I2" s="347"/>
      <c r="J2" s="347"/>
      <c r="N2" s="348"/>
      <c r="O2" s="348"/>
      <c r="P2" s="348"/>
      <c r="Q2" s="348"/>
      <c r="R2" s="348"/>
      <c r="S2" s="918"/>
    </row>
    <row r="3" spans="1:19" ht="23.25" customHeight="1">
      <c r="A3" s="304" t="str">
        <f ca="1">"("&amp;Ticker&amp;")"</f>
        <v>(KO)</v>
      </c>
      <c r="B3" s="349"/>
      <c r="C3" s="936"/>
      <c r="D3" s="936"/>
      <c r="E3" s="349"/>
      <c r="F3" s="349"/>
      <c r="G3" s="349"/>
      <c r="H3" s="349"/>
      <c r="I3" s="349"/>
      <c r="J3" s="349"/>
      <c r="K3" s="349"/>
      <c r="P3" s="412"/>
      <c r="S3" s="919" t="s">
        <v>233</v>
      </c>
    </row>
    <row r="4" spans="1:19" ht="16.5" customHeight="1">
      <c r="A4" s="350">
        <f ca="1">TODAY()</f>
        <v>40369</v>
      </c>
      <c r="B4" s="173"/>
      <c r="C4" s="537"/>
      <c r="D4" s="537"/>
      <c r="E4" s="930"/>
      <c r="F4" s="930"/>
      <c r="G4" s="930"/>
      <c r="H4" s="930"/>
      <c r="I4" s="930"/>
      <c r="J4" s="930"/>
      <c r="K4" s="930"/>
      <c r="L4" s="930"/>
      <c r="M4" s="930"/>
      <c r="N4" s="930"/>
      <c r="O4" s="930"/>
      <c r="P4" s="930"/>
      <c r="Q4" s="930"/>
      <c r="R4" s="930"/>
      <c r="S4" s="930"/>
    </row>
    <row r="5" spans="1:19" ht="18">
      <c r="A5" s="351" t="s">
        <v>869</v>
      </c>
      <c r="B5" s="352"/>
      <c r="C5" s="937">
        <v>8006</v>
      </c>
      <c r="D5" s="937"/>
      <c r="E5" s="353">
        <f ca="1">[1]!RCHGetTableCell("http://quicktake.morningstar.com/StockNet/cashflow10.aspx?Symbol="&amp;Ticker,3,"&gt;Cash Flows From Operating Activities",,,,1,"&lt;/table")</f>
        <v>2000</v>
      </c>
      <c r="F5" s="353">
        <f ca="1">E5+1</f>
        <v>2001</v>
      </c>
      <c r="G5" s="353">
        <f t="shared" ref="G5:L5" ca="1" si="0">F5+1</f>
        <v>2002</v>
      </c>
      <c r="H5" s="353">
        <f t="shared" ca="1" si="0"/>
        <v>2003</v>
      </c>
      <c r="I5" s="353">
        <f t="shared" ca="1" si="0"/>
        <v>2004</v>
      </c>
      <c r="J5" s="353">
        <f t="shared" ca="1" si="0"/>
        <v>2005</v>
      </c>
      <c r="K5" s="353">
        <f t="shared" ca="1" si="0"/>
        <v>2006</v>
      </c>
      <c r="L5" s="353">
        <f t="shared" ca="1" si="0"/>
        <v>2007</v>
      </c>
      <c r="M5" s="353">
        <f ca="1">L5+1</f>
        <v>2008</v>
      </c>
      <c r="N5" s="353">
        <f ca="1">M5+1</f>
        <v>2009</v>
      </c>
      <c r="O5" s="931" t="str">
        <f ca="1">"Qtr "&amp;[1]!RCHGetElementNumber(Ticker,$C5+O$6)</f>
        <v>Qtr 2009/06</v>
      </c>
      <c r="P5" s="931" t="str">
        <f ca="1">"Qtr "&amp;[1]!RCHGetElementNumber(Ticker,$C5+P$6)</f>
        <v>Qtr 2009/09</v>
      </c>
      <c r="Q5" s="931" t="str">
        <f ca="1">"Qtr "&amp;[1]!RCHGetElementNumber(Ticker,$C5+Q$6)</f>
        <v>Qtr 2009/12</v>
      </c>
      <c r="R5" s="931" t="str">
        <f ca="1">"Qtr "&amp;[1]!RCHGetElementNumber(Ticker,$C5+R$6)</f>
        <v>Qtr 2010/03</v>
      </c>
      <c r="S5" s="353" t="s">
        <v>98</v>
      </c>
    </row>
    <row r="6" spans="1:19" ht="21.75" customHeight="1">
      <c r="A6" s="427" t="s">
        <v>72</v>
      </c>
      <c r="B6" s="425"/>
      <c r="C6" s="938" t="s">
        <v>839</v>
      </c>
      <c r="D6" s="938" t="s">
        <v>693</v>
      </c>
      <c r="E6" s="911">
        <v>9</v>
      </c>
      <c r="F6" s="911">
        <v>8</v>
      </c>
      <c r="G6" s="911">
        <v>7</v>
      </c>
      <c r="H6" s="911">
        <v>6</v>
      </c>
      <c r="I6" s="911">
        <v>5</v>
      </c>
      <c r="J6" s="911">
        <v>4</v>
      </c>
      <c r="K6" s="911">
        <v>3</v>
      </c>
      <c r="L6" s="911">
        <v>2</v>
      </c>
      <c r="M6" s="911">
        <v>1</v>
      </c>
      <c r="N6" s="911">
        <v>0</v>
      </c>
      <c r="O6" s="911">
        <v>3</v>
      </c>
      <c r="P6" s="911">
        <v>2</v>
      </c>
      <c r="Q6" s="911">
        <v>1</v>
      </c>
      <c r="R6" s="911">
        <v>0</v>
      </c>
      <c r="S6" s="920"/>
    </row>
    <row r="7" spans="1:19" ht="15">
      <c r="A7" s="1022"/>
      <c r="B7" s="354" t="s">
        <v>14</v>
      </c>
      <c r="C7" s="939">
        <v>8206</v>
      </c>
      <c r="D7" s="940">
        <v>5296</v>
      </c>
      <c r="E7" s="355">
        <f ca="1">[1]!RCHGetElementNumber(Ticker,$D7+E$6)</f>
        <v>20458</v>
      </c>
      <c r="F7" s="355">
        <f ca="1">[1]!RCHGetElementNumber(Ticker,$D7+F$6)</f>
        <v>20092</v>
      </c>
      <c r="G7" s="355">
        <f ca="1">[1]!RCHGetElementNumber(Ticker,$D7+G$6)</f>
        <v>19564</v>
      </c>
      <c r="H7" s="355">
        <f ca="1">[1]!RCHGetElementNumber(Ticker,$D7+H$6)</f>
        <v>21044</v>
      </c>
      <c r="I7" s="355">
        <f ca="1">[1]!RCHGetElementNumber(Ticker,$D7+I$6)</f>
        <v>21962</v>
      </c>
      <c r="J7" s="355">
        <f ca="1">[1]!RCHGetElementNumber(Ticker,$D7+J$6)</f>
        <v>23104</v>
      </c>
      <c r="K7" s="355">
        <f ca="1">[1]!RCHGetElementNumber(Ticker,$D7+K$6)</f>
        <v>24088</v>
      </c>
      <c r="L7" s="355">
        <f ca="1">[1]!RCHGetElementNumber(Ticker,$D7+L$6)</f>
        <v>28857</v>
      </c>
      <c r="M7" s="355">
        <f ca="1">[1]!RCHGetElementNumber(Ticker,$D7+M$6)</f>
        <v>31944</v>
      </c>
      <c r="N7" s="355">
        <f ca="1">[1]!RCHGetElementNumber(Ticker,$D7+N$6)</f>
        <v>30990</v>
      </c>
      <c r="O7" s="355">
        <f ca="1">[1]!RCHGetElementNumber(Ticker,$C7+O$6)</f>
        <v>8267</v>
      </c>
      <c r="P7" s="355">
        <f ca="1">[1]!RCHGetElementNumber(Ticker,$C7+P$6)</f>
        <v>8044</v>
      </c>
      <c r="Q7" s="355">
        <f ca="1">[1]!RCHGetElementNumber(Ticker,$C7+Q$6)</f>
        <v>7510</v>
      </c>
      <c r="R7" s="355">
        <f ca="1">[1]!RCHGetElementNumber(Ticker,$C7+R$6)</f>
        <v>7525</v>
      </c>
      <c r="S7" s="355">
        <f ca="1">SUM(O7:R7)</f>
        <v>31346</v>
      </c>
    </row>
    <row r="8" spans="1:19" s="357" customFormat="1" ht="15" customHeight="1">
      <c r="A8" s="1022"/>
      <c r="B8" s="413" t="s">
        <v>536</v>
      </c>
      <c r="C8" s="941"/>
      <c r="D8" s="942"/>
      <c r="E8" s="356"/>
      <c r="F8" s="356">
        <f t="shared" ref="F8:N8" ca="1" si="1">IF(F7=0,"",(F7-E7)/E7)</f>
        <v>-1.7890311858441685E-2</v>
      </c>
      <c r="G8" s="356">
        <f t="shared" ca="1" si="1"/>
        <v>-2.627911606609596E-2</v>
      </c>
      <c r="H8" s="356">
        <f t="shared" ca="1" si="1"/>
        <v>7.5649151502760179E-2</v>
      </c>
      <c r="I8" s="356">
        <f t="shared" ca="1" si="1"/>
        <v>4.3622885383007036E-2</v>
      </c>
      <c r="J8" s="356">
        <f t="shared" ca="1" si="1"/>
        <v>5.1998907203351243E-2</v>
      </c>
      <c r="K8" s="356">
        <f t="shared" ca="1" si="1"/>
        <v>4.2590027700831028E-2</v>
      </c>
      <c r="L8" s="356">
        <f t="shared" ca="1" si="1"/>
        <v>0.19798239787446031</v>
      </c>
      <c r="M8" s="356">
        <f t="shared" ca="1" si="1"/>
        <v>0.10697577710780747</v>
      </c>
      <c r="N8" s="356">
        <f t="shared" ca="1" si="1"/>
        <v>-2.9864763335837714E-2</v>
      </c>
      <c r="O8" s="356"/>
      <c r="P8" s="356"/>
      <c r="Q8" s="356"/>
      <c r="R8" s="356"/>
      <c r="S8" s="356">
        <f ca="1">IF(S7=0,"",(S7-N7)/N7)</f>
        <v>1.1487576637625041E-2</v>
      </c>
    </row>
    <row r="9" spans="1:19" ht="14.25">
      <c r="A9" s="1022"/>
      <c r="B9" s="358" t="s">
        <v>15</v>
      </c>
      <c r="C9" s="943">
        <v>8266</v>
      </c>
      <c r="D9" s="944">
        <v>5326</v>
      </c>
      <c r="E9" s="359">
        <f ca="1">[1]!RCHGetElementNumber(Ticker,$D9+E$6)</f>
        <v>6204</v>
      </c>
      <c r="F9" s="359">
        <f ca="1">[1]!RCHGetElementNumber(Ticker,$D9+F$6)</f>
        <v>6044</v>
      </c>
      <c r="G9" s="359">
        <f ca="1">[1]!RCHGetElementNumber(Ticker,$D9+G$6)</f>
        <v>7105</v>
      </c>
      <c r="H9" s="359">
        <f ca="1">[1]!RCHGetElementNumber(Ticker,$D9+H$6)</f>
        <v>7762</v>
      </c>
      <c r="I9" s="359">
        <f ca="1">[1]!RCHGetElementNumber(Ticker,$D9+I$6)</f>
        <v>7638</v>
      </c>
      <c r="J9" s="359">
        <f ca="1">[1]!RCHGetElementNumber(Ticker,$D9+J$6)</f>
        <v>8195</v>
      </c>
      <c r="K9" s="359">
        <f ca="1">[1]!RCHGetElementNumber(Ticker,$D9+K$6)</f>
        <v>8164</v>
      </c>
      <c r="L9" s="359">
        <f ca="1">[1]!RCHGetElementNumber(Ticker,$D9+L$6)</f>
        <v>10406</v>
      </c>
      <c r="M9" s="359">
        <f ca="1">[1]!RCHGetElementNumber(Ticker,$D9+M$6)</f>
        <v>11374</v>
      </c>
      <c r="N9" s="359">
        <f ca="1">[1]!RCHGetElementNumber(Ticker,$D9+N$6)</f>
        <v>11088</v>
      </c>
      <c r="O9" s="915">
        <f ca="1">[1]!RCHGetElementNumber(Ticker,$C9+O$6)</f>
        <v>2913</v>
      </c>
      <c r="P9" s="915">
        <f ca="1">[1]!RCHGetElementNumber(Ticker,$C9+P$6)</f>
        <v>2934</v>
      </c>
      <c r="Q9" s="915">
        <f ca="1">[1]!RCHGetElementNumber(Ticker,$C9+Q$6)</f>
        <v>2651</v>
      </c>
      <c r="R9" s="915">
        <f ca="1">[1]!RCHGetElementNumber(Ticker,$C9+R$6)</f>
        <v>2541</v>
      </c>
      <c r="S9" s="359">
        <f ca="1">SUM(O9:R9)</f>
        <v>11039</v>
      </c>
    </row>
    <row r="10" spans="1:19" ht="14.25">
      <c r="A10" s="1022"/>
      <c r="B10" s="360" t="s">
        <v>65</v>
      </c>
      <c r="C10" s="945"/>
      <c r="D10" s="946"/>
      <c r="E10" s="361">
        <f ca="1">IF(E7=0,"",E9/E7)</f>
        <v>0.30325545019063449</v>
      </c>
      <c r="F10" s="361">
        <f t="shared" ref="F10:S10" ca="1" si="2">IF(F7=0,"",F9/F7)</f>
        <v>0.30081624527174994</v>
      </c>
      <c r="G10" s="361">
        <f t="shared" ca="1" si="2"/>
        <v>0.36316704150480472</v>
      </c>
      <c r="H10" s="361">
        <f t="shared" ca="1" si="2"/>
        <v>0.36884622695305075</v>
      </c>
      <c r="I10" s="361">
        <f t="shared" ca="1" si="2"/>
        <v>0.34778253346689736</v>
      </c>
      <c r="J10" s="361">
        <f t="shared" ca="1" si="2"/>
        <v>0.35470048476454291</v>
      </c>
      <c r="K10" s="361">
        <f t="shared" ca="1" si="2"/>
        <v>0.3389239455330455</v>
      </c>
      <c r="L10" s="361">
        <f t="shared" ca="1" si="2"/>
        <v>0.3606057455729979</v>
      </c>
      <c r="M10" s="361">
        <f t="shared" ca="1" si="2"/>
        <v>0.35606060606060608</v>
      </c>
      <c r="N10" s="361">
        <f t="shared" ca="1" si="2"/>
        <v>0.35779283639883835</v>
      </c>
      <c r="O10" s="361"/>
      <c r="P10" s="361"/>
      <c r="Q10" s="361"/>
      <c r="R10" s="361"/>
      <c r="S10" s="361">
        <f t="shared" ca="1" si="2"/>
        <v>0.35216614560071463</v>
      </c>
    </row>
    <row r="11" spans="1:19" ht="15">
      <c r="A11" s="1022"/>
      <c r="B11" s="362" t="s">
        <v>16</v>
      </c>
      <c r="C11" s="947"/>
      <c r="D11" s="948"/>
      <c r="E11" s="363">
        <f t="shared" ref="E11:M11" ca="1" si="3">E7-E9</f>
        <v>14254</v>
      </c>
      <c r="F11" s="363">
        <f t="shared" ca="1" si="3"/>
        <v>14048</v>
      </c>
      <c r="G11" s="363">
        <f t="shared" ca="1" si="3"/>
        <v>12459</v>
      </c>
      <c r="H11" s="363">
        <f t="shared" ca="1" si="3"/>
        <v>13282</v>
      </c>
      <c r="I11" s="363">
        <f t="shared" ca="1" si="3"/>
        <v>14324</v>
      </c>
      <c r="J11" s="363">
        <f t="shared" ca="1" si="3"/>
        <v>14909</v>
      </c>
      <c r="K11" s="363">
        <f t="shared" ca="1" si="3"/>
        <v>15924</v>
      </c>
      <c r="L11" s="363">
        <f t="shared" ca="1" si="3"/>
        <v>18451</v>
      </c>
      <c r="M11" s="363">
        <f t="shared" ca="1" si="3"/>
        <v>20570</v>
      </c>
      <c r="N11" s="363">
        <f ca="1">N7-N9</f>
        <v>19902</v>
      </c>
      <c r="O11" s="914">
        <f ca="1">O7-O9</f>
        <v>5354</v>
      </c>
      <c r="P11" s="914">
        <f ca="1">P7-P9</f>
        <v>5110</v>
      </c>
      <c r="Q11" s="914">
        <f ca="1">Q7-Q9</f>
        <v>4859</v>
      </c>
      <c r="R11" s="914">
        <f ca="1">R7-R9</f>
        <v>4984</v>
      </c>
      <c r="S11" s="363">
        <f ca="1">SUM(O11:R11)</f>
        <v>20307</v>
      </c>
    </row>
    <row r="12" spans="1:19" ht="16.5" customHeight="1" thickBot="1">
      <c r="A12" s="1022"/>
      <c r="B12" s="364" t="s">
        <v>66</v>
      </c>
      <c r="C12" s="949"/>
      <c r="D12" s="950"/>
      <c r="E12" s="365">
        <f ca="1">IF(E7=0,"",E11/E7)</f>
        <v>0.69674454980936551</v>
      </c>
      <c r="F12" s="365">
        <f t="shared" ref="F12:S12" ca="1" si="4">IF(F7=0,"",F11/F7)</f>
        <v>0.69918375472825001</v>
      </c>
      <c r="G12" s="365">
        <f t="shared" ca="1" si="4"/>
        <v>0.63683295849519528</v>
      </c>
      <c r="H12" s="365">
        <f t="shared" ca="1" si="4"/>
        <v>0.6311537730469492</v>
      </c>
      <c r="I12" s="365">
        <f t="shared" ca="1" si="4"/>
        <v>0.65221746653310264</v>
      </c>
      <c r="J12" s="365">
        <f t="shared" ca="1" si="4"/>
        <v>0.64529951523545703</v>
      </c>
      <c r="K12" s="365">
        <f t="shared" ca="1" si="4"/>
        <v>0.6610760544669545</v>
      </c>
      <c r="L12" s="365">
        <f t="shared" ca="1" si="4"/>
        <v>0.63939425442700215</v>
      </c>
      <c r="M12" s="365">
        <f t="shared" ca="1" si="4"/>
        <v>0.64393939393939392</v>
      </c>
      <c r="N12" s="365">
        <f t="shared" ca="1" si="4"/>
        <v>0.6422071636011617</v>
      </c>
      <c r="O12" s="365">
        <f ca="1">IF(O7=0,"",O11/O7)</f>
        <v>0.64763517600096765</v>
      </c>
      <c r="P12" s="365">
        <f ca="1">IF(P7=0,"",P11/P7)</f>
        <v>0.63525609149676776</v>
      </c>
      <c r="Q12" s="365">
        <f ca="1">IF(Q7=0,"",Q11/Q7)</f>
        <v>0.64700399467376835</v>
      </c>
      <c r="R12" s="365">
        <f ca="1">IF(R7=0,"",R11/R7)</f>
        <v>0.66232558139534881</v>
      </c>
      <c r="S12" s="365">
        <f t="shared" ca="1" si="4"/>
        <v>0.64783385439928542</v>
      </c>
    </row>
    <row r="13" spans="1:19" ht="36.75" customHeight="1" thickTop="1">
      <c r="A13" s="366"/>
      <c r="B13" s="367" t="s">
        <v>73</v>
      </c>
      <c r="C13" s="951"/>
      <c r="D13" s="952"/>
      <c r="E13" s="367"/>
      <c r="F13" s="368"/>
      <c r="G13" s="367"/>
      <c r="H13" s="367"/>
      <c r="I13" s="367"/>
      <c r="J13" s="367"/>
      <c r="K13" s="367"/>
      <c r="L13" s="367"/>
      <c r="M13" s="367"/>
      <c r="N13" s="367"/>
      <c r="O13" s="367"/>
      <c r="P13" s="367"/>
      <c r="Q13" s="367"/>
      <c r="R13" s="367"/>
      <c r="S13" s="921"/>
    </row>
    <row r="14" spans="1:19" ht="14.25">
      <c r="A14" s="1022"/>
      <c r="B14" s="369" t="s">
        <v>17</v>
      </c>
      <c r="C14" s="953">
        <v>8346</v>
      </c>
      <c r="D14" s="953">
        <v>5366</v>
      </c>
      <c r="E14" s="370">
        <f ca="1">[1]!RCHGetElementNumber(Ticker,$D14+E$6)</f>
        <v>10563</v>
      </c>
      <c r="F14" s="370">
        <f ca="1">[1]!RCHGetElementNumber(Ticker,$D14+F$6)</f>
        <v>8696</v>
      </c>
      <c r="G14" s="370">
        <f ca="1">[1]!RCHGetElementNumber(Ticker,$D14+G$6)</f>
        <v>7001</v>
      </c>
      <c r="H14" s="370">
        <f ca="1">[1]!RCHGetElementNumber(Ticker,$D14+H$6)</f>
        <v>8061</v>
      </c>
      <c r="I14" s="370">
        <f ca="1">[1]!RCHGetElementNumber(Ticker,$D14+I$6)</f>
        <v>8626</v>
      </c>
      <c r="J14" s="370">
        <f ca="1">[1]!RCHGetElementNumber(Ticker,$D14+J$6)</f>
        <v>8824</v>
      </c>
      <c r="K14" s="370">
        <f ca="1">[1]!RCHGetElementNumber(Ticker,$D14+K$6)</f>
        <v>9616</v>
      </c>
      <c r="L14" s="370">
        <f ca="1">[1]!RCHGetElementNumber(Ticker,$D14+L$6)</f>
        <v>11199</v>
      </c>
      <c r="M14" s="370">
        <f ca="1">[1]!RCHGetElementNumber(Ticker,$D14+M$6)</f>
        <v>11774</v>
      </c>
      <c r="N14" s="370">
        <f ca="1">[1]!RCHGetElementNumber(Ticker,$D14+N$6)</f>
        <v>11358</v>
      </c>
      <c r="O14" s="370">
        <f ca="1">[1]!RCHGetElementNumber(Ticker,$C14+O$6)</f>
        <v>2916</v>
      </c>
      <c r="P14" s="370">
        <f ca="1">[1]!RCHGetElementNumber(Ticker,$C14+P$6)</f>
        <v>2960</v>
      </c>
      <c r="Q14" s="370">
        <f ca="1">[1]!RCHGetElementNumber(Ticker,$C14+Q$6)</f>
        <v>2766</v>
      </c>
      <c r="R14" s="370">
        <f ca="1">[1]!RCHGetElementNumber(Ticker,$C14+R$6)</f>
        <v>2705</v>
      </c>
      <c r="S14" s="370">
        <f ca="1">SUM(O14:R14)</f>
        <v>11347</v>
      </c>
    </row>
    <row r="15" spans="1:19" ht="14.25">
      <c r="A15" s="1022"/>
      <c r="B15" s="371" t="s">
        <v>67</v>
      </c>
      <c r="C15" s="954"/>
      <c r="D15" s="954"/>
      <c r="E15" s="356">
        <f ca="1">IF(E7=0,"",E14/E7)</f>
        <v>0.5163261315866654</v>
      </c>
      <c r="F15" s="356">
        <f t="shared" ref="F15:S15" ca="1" si="5">IF(F7=0,"",F14/F7)</f>
        <v>0.43280907824009557</v>
      </c>
      <c r="G15" s="356">
        <f t="shared" ca="1" si="5"/>
        <v>0.35785115518298916</v>
      </c>
      <c r="H15" s="356">
        <f t="shared" ca="1" si="5"/>
        <v>0.38305455236647024</v>
      </c>
      <c r="I15" s="356">
        <f t="shared" ca="1" si="5"/>
        <v>0.39276932884072491</v>
      </c>
      <c r="J15" s="356">
        <f t="shared" ca="1" si="5"/>
        <v>0.38192520775623268</v>
      </c>
      <c r="K15" s="356">
        <f t="shared" ca="1" si="5"/>
        <v>0.39920292261707074</v>
      </c>
      <c r="L15" s="356">
        <f t="shared" ca="1" si="5"/>
        <v>0.38808607963405761</v>
      </c>
      <c r="M15" s="356">
        <f t="shared" ca="1" si="5"/>
        <v>0.36858251940896569</v>
      </c>
      <c r="N15" s="356">
        <f t="shared" ca="1" si="5"/>
        <v>0.36650532429816068</v>
      </c>
      <c r="O15" s="356">
        <f ca="1">IF(O7=0,"",O14/O7)</f>
        <v>0.35272771259223418</v>
      </c>
      <c r="P15" s="356">
        <f ca="1">IF(P7=0,"",P14/P7)</f>
        <v>0.36797613127797119</v>
      </c>
      <c r="Q15" s="356">
        <f ca="1">IF(Q7=0,"",Q14/Q7)</f>
        <v>0.36830892143808258</v>
      </c>
      <c r="R15" s="356">
        <f ca="1">IF(R7=0,"",R14/R7)</f>
        <v>0.35946843853820598</v>
      </c>
      <c r="S15" s="356">
        <f t="shared" ca="1" si="5"/>
        <v>0.36199196069673961</v>
      </c>
    </row>
    <row r="16" spans="1:19" ht="14.25">
      <c r="A16" s="1022"/>
      <c r="B16" s="372" t="s">
        <v>18</v>
      </c>
      <c r="C16" s="944">
        <v>8326</v>
      </c>
      <c r="D16" s="944">
        <v>5356</v>
      </c>
      <c r="E16" s="359">
        <f ca="1">[1]!RCHGetElementNumber(Ticker,$D16+E$6)</f>
        <v>0</v>
      </c>
      <c r="F16" s="359">
        <f ca="1">[1]!RCHGetElementNumber(Ticker,$D16+F$6)</f>
        <v>0</v>
      </c>
      <c r="G16" s="359">
        <f ca="1">[1]!RCHGetElementNumber(Ticker,$D16+G$6)</f>
        <v>0</v>
      </c>
      <c r="H16" s="359">
        <f ca="1">[1]!RCHGetElementNumber(Ticker,$D16+H$6)</f>
        <v>0</v>
      </c>
      <c r="I16" s="359">
        <f ca="1">[1]!RCHGetElementNumber(Ticker,$D16+I$6)</f>
        <v>0</v>
      </c>
      <c r="J16" s="359">
        <f ca="1">[1]!RCHGetElementNumber(Ticker,$D16+J$6)</f>
        <v>0</v>
      </c>
      <c r="K16" s="359">
        <f ca="1">[1]!RCHGetElementNumber(Ticker,$D16+K$6)</f>
        <v>0</v>
      </c>
      <c r="L16" s="359">
        <f ca="1">[1]!RCHGetElementNumber(Ticker,$D16+L$6)</f>
        <v>0</v>
      </c>
      <c r="M16" s="359">
        <f ca="1">[1]!RCHGetElementNumber(Ticker,$D16+M$6)</f>
        <v>0</v>
      </c>
      <c r="N16" s="359">
        <f ca="1">[1]!RCHGetElementNumber(Ticker,$D16+N$6)</f>
        <v>0</v>
      </c>
      <c r="O16" s="915">
        <f ca="1">[1]!RCHGetElementNumber(Ticker,$C16+O$6)</f>
        <v>0</v>
      </c>
      <c r="P16" s="915">
        <f ca="1">[1]!RCHGetElementNumber(Ticker,$C16+P$6)</f>
        <v>0</v>
      </c>
      <c r="Q16" s="915">
        <f ca="1">[1]!RCHGetElementNumber(Ticker,$C16+Q$6)</f>
        <v>0</v>
      </c>
      <c r="R16" s="915">
        <f ca="1">[1]!RCHGetElementNumber(Ticker,$C16+R$6)</f>
        <v>0</v>
      </c>
      <c r="S16" s="359">
        <f ca="1">SUM(O16:R16)</f>
        <v>0</v>
      </c>
    </row>
    <row r="17" spans="1:19" ht="14.25">
      <c r="A17" s="1022"/>
      <c r="B17" s="371" t="s">
        <v>68</v>
      </c>
      <c r="C17" s="954"/>
      <c r="D17" s="954"/>
      <c r="E17" s="356">
        <f ca="1">IF(E7=0,"",E16/E7)</f>
        <v>0</v>
      </c>
      <c r="F17" s="356">
        <f t="shared" ref="F17:S17" ca="1" si="6">IF(F7=0,"",F16/F7)</f>
        <v>0</v>
      </c>
      <c r="G17" s="356">
        <f t="shared" ca="1" si="6"/>
        <v>0</v>
      </c>
      <c r="H17" s="356">
        <f t="shared" ca="1" si="6"/>
        <v>0</v>
      </c>
      <c r="I17" s="356">
        <f t="shared" ca="1" si="6"/>
        <v>0</v>
      </c>
      <c r="J17" s="356">
        <f t="shared" ca="1" si="6"/>
        <v>0</v>
      </c>
      <c r="K17" s="356">
        <f t="shared" ca="1" si="6"/>
        <v>0</v>
      </c>
      <c r="L17" s="356">
        <f t="shared" ca="1" si="6"/>
        <v>0</v>
      </c>
      <c r="M17" s="356">
        <f t="shared" ca="1" si="6"/>
        <v>0</v>
      </c>
      <c r="N17" s="356">
        <f t="shared" ca="1" si="6"/>
        <v>0</v>
      </c>
      <c r="O17" s="356">
        <f ca="1">IF(O7=0,"",O16/O7)</f>
        <v>0</v>
      </c>
      <c r="P17" s="356">
        <f ca="1">IF(P7=0,"",P16/P7)</f>
        <v>0</v>
      </c>
      <c r="Q17" s="356">
        <f ca="1">IF(Q7=0,"",Q16/Q7)</f>
        <v>0</v>
      </c>
      <c r="R17" s="356">
        <f ca="1">IF(R7=0,"",R16/R7)</f>
        <v>0</v>
      </c>
      <c r="S17" s="356">
        <f t="shared" ca="1" si="6"/>
        <v>0</v>
      </c>
    </row>
    <row r="18" spans="1:19" ht="14.25">
      <c r="A18" s="1022"/>
      <c r="B18" s="372" t="s">
        <v>836</v>
      </c>
      <c r="C18" s="944">
        <v>8606</v>
      </c>
      <c r="D18" s="944">
        <v>5496</v>
      </c>
      <c r="E18" s="359">
        <f ca="1">ABS([1]!RCHGetElementNumber(Ticker,$D18+E$6))</f>
        <v>0</v>
      </c>
      <c r="F18" s="359">
        <f ca="1">ABS([1]!RCHGetElementNumber(Ticker,$D18+F$6))</f>
        <v>0</v>
      </c>
      <c r="G18" s="359">
        <f ca="1">ABS([1]!RCHGetElementNumber(Ticker,$D18+G$6))</f>
        <v>0</v>
      </c>
      <c r="H18" s="359">
        <f ca="1">ABS([1]!RCHGetElementNumber(Ticker,$D18+H$6))</f>
        <v>0</v>
      </c>
      <c r="I18" s="359">
        <f ca="1">ABS([1]!RCHGetElementNumber(Ticker,$D18+I$6))</f>
        <v>0</v>
      </c>
      <c r="J18" s="359">
        <f ca="1">ABS([1]!RCHGetElementNumber(Ticker,$D18+J$6))</f>
        <v>0</v>
      </c>
      <c r="K18" s="359">
        <f ca="1">ABS([1]!RCHGetElementNumber(Ticker,$D18+K$6))</f>
        <v>0</v>
      </c>
      <c r="L18" s="359">
        <f ca="1">ABS([1]!RCHGetElementNumber(Ticker,$D18+L$6))</f>
        <v>0</v>
      </c>
      <c r="M18" s="359">
        <f ca="1">ABS([1]!RCHGetElementNumber(Ticker,$D18+M$6))</f>
        <v>0</v>
      </c>
      <c r="N18" s="359">
        <f ca="1">ABS([1]!RCHGetElementNumber(Ticker,$D18+N$6))</f>
        <v>0</v>
      </c>
      <c r="O18" s="915">
        <f ca="1">ABS([1]!RCHGetElementNumber(Ticker,$C18+O$6))</f>
        <v>0</v>
      </c>
      <c r="P18" s="915">
        <f ca="1">ABS([1]!RCHGetElementNumber(Ticker,$C18+P$6))</f>
        <v>0</v>
      </c>
      <c r="Q18" s="915">
        <f ca="1">ABS([1]!RCHGetElementNumber(Ticker,$C18+Q$6))</f>
        <v>0</v>
      </c>
      <c r="R18" s="915">
        <f ca="1">ABS([1]!RCHGetElementNumber(Ticker,$C18+R$6))</f>
        <v>0</v>
      </c>
      <c r="S18" s="359">
        <f ca="1">SUM(O18:R18)</f>
        <v>0</v>
      </c>
    </row>
    <row r="19" spans="1:19" ht="14.25">
      <c r="A19" s="1022"/>
      <c r="B19" s="369" t="s">
        <v>837</v>
      </c>
      <c r="C19" s="953">
        <v>8586</v>
      </c>
      <c r="D19" s="953">
        <v>5486</v>
      </c>
      <c r="E19" s="370">
        <f ca="1">ABS([1]!RCHGetElementNumber(Ticker,$D19+E$6))</f>
        <v>0</v>
      </c>
      <c r="F19" s="370">
        <f ca="1">ABS([1]!RCHGetElementNumber(Ticker,$D19+F$6))</f>
        <v>0</v>
      </c>
      <c r="G19" s="370">
        <f ca="1">ABS([1]!RCHGetElementNumber(Ticker,$D19+G$6))</f>
        <v>0</v>
      </c>
      <c r="H19" s="370">
        <f ca="1">ABS([1]!RCHGetElementNumber(Ticker,$D19+H$6))</f>
        <v>0</v>
      </c>
      <c r="I19" s="370">
        <f ca="1">ABS([1]!RCHGetElementNumber(Ticker,$D19+I$6))</f>
        <v>0</v>
      </c>
      <c r="J19" s="370">
        <f ca="1">ABS([1]!RCHGetElementNumber(Ticker,$D19+J$6))</f>
        <v>0</v>
      </c>
      <c r="K19" s="370">
        <f ca="1">ABS([1]!RCHGetElementNumber(Ticker,$D19+K$6))</f>
        <v>0</v>
      </c>
      <c r="L19" s="370">
        <f ca="1">ABS([1]!RCHGetElementNumber(Ticker,$D19+L$6))</f>
        <v>0</v>
      </c>
      <c r="M19" s="370">
        <f ca="1">ABS([1]!RCHGetElementNumber(Ticker,$D19+M$6))</f>
        <v>0</v>
      </c>
      <c r="N19" s="370">
        <f ca="1">ABS([1]!RCHGetElementNumber(Ticker,$D19+N$6))</f>
        <v>0</v>
      </c>
      <c r="O19" s="370">
        <f ca="1">ABS([1]!RCHGetElementNumber(Ticker,$C19+O$6))</f>
        <v>0</v>
      </c>
      <c r="P19" s="370">
        <f ca="1">ABS([1]!RCHGetElementNumber(Ticker,$C19+P$6))</f>
        <v>0</v>
      </c>
      <c r="Q19" s="370">
        <f ca="1">ABS([1]!RCHGetElementNumber(Ticker,$C19+Q$6))</f>
        <v>0</v>
      </c>
      <c r="R19" s="370">
        <f ca="1">ABS([1]!RCHGetElementNumber(Ticker,$C19+R$6))</f>
        <v>0</v>
      </c>
      <c r="S19" s="370">
        <f ca="1">SUM(O19:R19)</f>
        <v>0</v>
      </c>
    </row>
    <row r="20" spans="1:19" ht="14.25">
      <c r="A20" s="1022"/>
      <c r="B20" s="372" t="s">
        <v>840</v>
      </c>
      <c r="C20" s="944">
        <v>8626</v>
      </c>
      <c r="D20" s="944">
        <v>5506</v>
      </c>
      <c r="E20" s="359">
        <f ca="1">ABS([1]!RCHGetElementNumber(Ticker,$D20+E$6))</f>
        <v>0</v>
      </c>
      <c r="F20" s="359">
        <f ca="1">ABS([1]!RCHGetElementNumber(Ticker,$D20+F$6))</f>
        <v>91</v>
      </c>
      <c r="G20" s="359">
        <f ca="1">ABS([1]!RCHGetElementNumber(Ticker,$D20+G$6))</f>
        <v>0</v>
      </c>
      <c r="H20" s="359">
        <f ca="1">ABS([1]!RCHGetElementNumber(Ticker,$D20+H$6))</f>
        <v>8</v>
      </c>
      <c r="I20" s="359">
        <f ca="1">ABS([1]!RCHGetElementNumber(Ticker,$D20+I$6))</f>
        <v>24</v>
      </c>
      <c r="J20" s="359">
        <f ca="1">ABS([1]!RCHGetElementNumber(Ticker,$D20+J$6))</f>
        <v>23</v>
      </c>
      <c r="K20" s="359">
        <f ca="1">ABS([1]!RCHGetElementNumber(Ticker,$D20+K$6))</f>
        <v>0</v>
      </c>
      <c r="L20" s="359">
        <f ca="1">ABS([1]!RCHGetElementNumber(Ticker,$D20+L$6))</f>
        <v>0</v>
      </c>
      <c r="M20" s="359">
        <f ca="1">ABS([1]!RCHGetElementNumber(Ticker,$D20+M$6))</f>
        <v>0</v>
      </c>
      <c r="N20" s="359">
        <f ca="1">ABS([1]!RCHGetElementNumber(Ticker,$D20+N$6))</f>
        <v>0</v>
      </c>
      <c r="O20" s="915">
        <f ca="1">ABS([1]!RCHGetElementNumber(Ticker,$C20+O$6))</f>
        <v>0</v>
      </c>
      <c r="P20" s="915">
        <f ca="1">ABS([1]!RCHGetElementNumber(Ticker,$C20+P$6))</f>
        <v>0</v>
      </c>
      <c r="Q20" s="915">
        <f ca="1">ABS([1]!RCHGetElementNumber(Ticker,$C20+Q$6))</f>
        <v>0</v>
      </c>
      <c r="R20" s="915">
        <f ca="1">ABS([1]!RCHGetElementNumber(Ticker,$C20+R$6))</f>
        <v>96</v>
      </c>
      <c r="S20" s="359"/>
    </row>
    <row r="21" spans="1:19" ht="24.75" customHeight="1">
      <c r="A21" s="1022"/>
      <c r="B21" s="354" t="s">
        <v>20</v>
      </c>
      <c r="C21" s="940">
        <v>8386</v>
      </c>
      <c r="D21" s="940">
        <v>5386</v>
      </c>
      <c r="E21" s="355">
        <f ca="1">IF([1]!RCHGetElementNumber(Ticker,$D21+E$6)=0,E11-SUM(E14,E16,E18:E20),[1]!RCHGetElementNumber(Ticker,$D21+E$6))</f>
        <v>3691</v>
      </c>
      <c r="F21" s="355">
        <f ca="1">IF([1]!RCHGetElementNumber(Ticker,$D21+F$6)=0,F11-SUM(F14,F16,F18:F20),[1]!RCHGetElementNumber(Ticker,$D21+F$6))</f>
        <v>5352</v>
      </c>
      <c r="G21" s="355">
        <f ca="1">IF([1]!RCHGetElementNumber(Ticker,$D21+G$6)=0,G11-SUM(G14,G16,G18:G20),[1]!RCHGetElementNumber(Ticker,$D21+G$6))</f>
        <v>5458</v>
      </c>
      <c r="H21" s="355">
        <f ca="1">IF([1]!RCHGetElementNumber(Ticker,$D21+H$6)=0,H11-SUM(H14,H16,H18:H20),[1]!RCHGetElementNumber(Ticker,$D21+H$6))</f>
        <v>5221</v>
      </c>
      <c r="I21" s="355">
        <f ca="1">IF([1]!RCHGetElementNumber(Ticker,$D21+I$6)=0,I11-SUM(I14,I16,I18:I20),[1]!RCHGetElementNumber(Ticker,$D21+I$6))</f>
        <v>5698</v>
      </c>
      <c r="J21" s="355">
        <f ca="1">IF([1]!RCHGetElementNumber(Ticker,$D21+J$6)=0,J11-SUM(J14,J16,J18:J20),[1]!RCHGetElementNumber(Ticker,$D21+J$6))</f>
        <v>6085</v>
      </c>
      <c r="K21" s="355">
        <f ca="1">IF([1]!RCHGetElementNumber(Ticker,$D21+K$6)=0,K11-SUM(K14,K16,K18:K20),[1]!RCHGetElementNumber(Ticker,$D21+K$6))</f>
        <v>6308</v>
      </c>
      <c r="L21" s="355">
        <f ca="1">IF([1]!RCHGetElementNumber(Ticker,$D21+L$6)=0,L11-SUM(L14,L16,L18:L20),[1]!RCHGetElementNumber(Ticker,$D21+L$6))</f>
        <v>7252</v>
      </c>
      <c r="M21" s="355">
        <f ca="1">IF([1]!RCHGetElementNumber(Ticker,$D21+M$6)=0,M11-SUM(M14,M16,M18:M20),[1]!RCHGetElementNumber(Ticker,$D21+M$6))</f>
        <v>8446</v>
      </c>
      <c r="N21" s="355">
        <f ca="1">IF([1]!RCHGetElementNumber(Ticker,$D21+N$6)=0,N11-SUM(N14,N16,N18:N20),[1]!RCHGetElementNumber(Ticker,$D21+N$6))</f>
        <v>8231</v>
      </c>
      <c r="O21" s="355">
        <f ca="1">O11-SUM(O14,O16,O18:O20)</f>
        <v>2438</v>
      </c>
      <c r="P21" s="355">
        <f ca="1">P11-SUM(P14,P16,P18:P20)</f>
        <v>2150</v>
      </c>
      <c r="Q21" s="355">
        <f ca="1">Q11-SUM(Q14,Q16,Q18:Q20)</f>
        <v>2093</v>
      </c>
      <c r="R21" s="355">
        <f ca="1">R11-SUM(R14,R16,R18:R20)</f>
        <v>2183</v>
      </c>
      <c r="S21" s="355">
        <f ca="1">SUM(O21:R21)</f>
        <v>8864</v>
      </c>
    </row>
    <row r="22" spans="1:19" ht="15" thickBot="1">
      <c r="A22" s="1022"/>
      <c r="B22" s="364" t="s">
        <v>69</v>
      </c>
      <c r="C22" s="949"/>
      <c r="D22" s="950"/>
      <c r="E22" s="365">
        <f t="shared" ref="E22:S22" ca="1" si="7">IF(E7=0,"",E21/E7)</f>
        <v>0.18041841822270016</v>
      </c>
      <c r="F22" s="365">
        <f t="shared" ca="1" si="7"/>
        <v>0.26637467648815449</v>
      </c>
      <c r="G22" s="365">
        <f t="shared" ca="1" si="7"/>
        <v>0.27898180331220607</v>
      </c>
      <c r="H22" s="365">
        <f t="shared" ca="1" si="7"/>
        <v>0.24809922068047899</v>
      </c>
      <c r="I22" s="365">
        <f t="shared" ca="1" si="7"/>
        <v>0.25944813769237773</v>
      </c>
      <c r="J22" s="365">
        <f t="shared" ca="1" si="7"/>
        <v>0.26337430747922436</v>
      </c>
      <c r="K22" s="365">
        <f t="shared" ca="1" si="7"/>
        <v>0.26187313184988376</v>
      </c>
      <c r="L22" s="365">
        <f t="shared" ca="1" si="7"/>
        <v>0.25130817479294454</v>
      </c>
      <c r="M22" s="365">
        <f t="shared" ca="1" si="7"/>
        <v>0.26440020035061357</v>
      </c>
      <c r="N22" s="365">
        <f t="shared" ca="1" si="7"/>
        <v>0.26560180703452729</v>
      </c>
      <c r="O22" s="365">
        <f t="shared" ca="1" si="7"/>
        <v>0.29490746340873353</v>
      </c>
      <c r="P22" s="365">
        <f t="shared" ca="1" si="7"/>
        <v>0.26727996021879663</v>
      </c>
      <c r="Q22" s="365">
        <f t="shared" ca="1" si="7"/>
        <v>0.27869507323568576</v>
      </c>
      <c r="R22" s="365">
        <f t="shared" ca="1" si="7"/>
        <v>0.29009966777408636</v>
      </c>
      <c r="S22" s="365">
        <f t="shared" ca="1" si="7"/>
        <v>0.28277930198430423</v>
      </c>
    </row>
    <row r="23" spans="1:19" ht="34.5" customHeight="1" thickTop="1">
      <c r="A23" s="373"/>
      <c r="B23" s="374" t="s">
        <v>74</v>
      </c>
      <c r="C23" s="951"/>
      <c r="D23" s="952"/>
      <c r="E23" s="374"/>
      <c r="F23" s="374"/>
      <c r="G23" s="374"/>
      <c r="H23" s="374"/>
      <c r="I23" s="374"/>
      <c r="J23" s="374"/>
      <c r="K23" s="374"/>
      <c r="L23" s="374"/>
      <c r="M23" s="374"/>
      <c r="N23" s="374"/>
      <c r="O23" s="374"/>
      <c r="P23" s="374"/>
      <c r="Q23" s="374"/>
      <c r="R23" s="374"/>
      <c r="S23" s="921"/>
    </row>
    <row r="24" spans="1:19" ht="14.25">
      <c r="A24" s="373"/>
      <c r="B24" s="908" t="s">
        <v>827</v>
      </c>
      <c r="C24" s="955">
        <v>8526</v>
      </c>
      <c r="D24" s="956">
        <v>5456</v>
      </c>
      <c r="E24" s="370">
        <f ca="1">[1]!RCHGetElementNumber(Ticker,$D24+E$6)</f>
        <v>345</v>
      </c>
      <c r="F24" s="370">
        <f ca="1">[1]!RCHGetElementNumber(Ticker,$D24+F$6)</f>
        <v>325</v>
      </c>
      <c r="G24" s="370">
        <f ca="1">[1]!RCHGetElementNumber(Ticker,$D24+G$6)</f>
        <v>209</v>
      </c>
      <c r="H24" s="370">
        <f ca="1">[1]!RCHGetElementNumber(Ticker,$D24+H$6)</f>
        <v>176</v>
      </c>
      <c r="I24" s="370">
        <f ca="1">[1]!RCHGetElementNumber(Ticker,$D24+I$6)</f>
        <v>157</v>
      </c>
      <c r="J24" s="370">
        <f ca="1">[1]!RCHGetElementNumber(Ticker,$D24+J$6)</f>
        <v>235</v>
      </c>
      <c r="K24" s="370">
        <f ca="1">[1]!RCHGetElementNumber(Ticker,$D24+K$6)</f>
        <v>193</v>
      </c>
      <c r="L24" s="370">
        <f ca="1">[1]!RCHGetElementNumber(Ticker,$D24+L$6)</f>
        <v>236</v>
      </c>
      <c r="M24" s="370">
        <f ca="1">[1]!RCHGetElementNumber(Ticker,$D24+M$6)</f>
        <v>333</v>
      </c>
      <c r="N24" s="370">
        <f ca="1">[1]!RCHGetElementNumber(Ticker,$D24+N$6)</f>
        <v>249</v>
      </c>
      <c r="O24" s="370">
        <f ca="1">[1]!RCHGetElementNumber(Ticker,$C24+O$6)</f>
        <v>57</v>
      </c>
      <c r="P24" s="370">
        <f ca="1">[1]!RCHGetElementNumber(Ticker,$C24+P$6)</f>
        <v>67</v>
      </c>
      <c r="Q24" s="370">
        <f ca="1">[1]!RCHGetElementNumber(Ticker,$C24+Q$6)</f>
        <v>65</v>
      </c>
      <c r="R24" s="370">
        <f ca="1">[1]!RCHGetElementNumber(Ticker,$C24+R$6)</f>
        <v>60</v>
      </c>
      <c r="S24" s="370">
        <f ca="1">SUM(O24:R24)</f>
        <v>249</v>
      </c>
    </row>
    <row r="25" spans="1:19" ht="14.25">
      <c r="A25" s="373"/>
      <c r="B25" s="358" t="s">
        <v>828</v>
      </c>
      <c r="C25" s="943">
        <v>8566</v>
      </c>
      <c r="D25" s="944">
        <v>5476</v>
      </c>
      <c r="E25" s="359">
        <f ca="1">[1]!RCHGetElementNumber(Ticker,$D25+E$6)</f>
        <v>-190</v>
      </c>
      <c r="F25" s="359">
        <f ca="1">[1]!RCHGetElementNumber(Ticker,$D25+F$6)</f>
        <v>39</v>
      </c>
      <c r="G25" s="359">
        <f ca="1">[1]!RCHGetElementNumber(Ticker,$D25+G$6)</f>
        <v>-353</v>
      </c>
      <c r="H25" s="359">
        <f ca="1">[1]!RCHGetElementNumber(Ticker,$D25+H$6)</f>
        <v>-138</v>
      </c>
      <c r="I25" s="359">
        <f ca="1">[1]!RCHGetElementNumber(Ticker,$D25+I$6)</f>
        <v>-82</v>
      </c>
      <c r="J25" s="359">
        <f ca="1">[1]!RCHGetElementNumber(Ticker,$D25+J$6)</f>
        <v>-93</v>
      </c>
      <c r="K25" s="359">
        <f ca="1">[1]!RCHGetElementNumber(Ticker,$D25+K$6)</f>
        <v>195</v>
      </c>
      <c r="L25" s="359">
        <f ca="1">[1]!RCHGetElementNumber(Ticker,$D25+L$6)</f>
        <v>173</v>
      </c>
      <c r="M25" s="359">
        <f ca="1">[1]!RCHGetElementNumber(Ticker,$D25+M$6)</f>
        <v>-378</v>
      </c>
      <c r="N25" s="359">
        <f ca="1">[1]!RCHGetElementNumber(Ticker,$D25+N$6)</f>
        <v>-273</v>
      </c>
      <c r="O25" s="915">
        <f ca="1">[1]!RCHGetElementNumber(Ticker,$C25+O$6)</f>
        <v>32</v>
      </c>
      <c r="P25" s="915">
        <f ca="1">[1]!RCHGetElementNumber(Ticker,$C25+P$6)</f>
        <v>33</v>
      </c>
      <c r="Q25" s="915">
        <f ca="1">[1]!RCHGetElementNumber(Ticker,$C25+Q$6)</f>
        <v>-286</v>
      </c>
      <c r="R25" s="915">
        <f ca="1">[1]!RCHGetElementNumber(Ticker,$C25+R$6)</f>
        <v>-115</v>
      </c>
      <c r="S25" s="359">
        <f ca="1">SUM(O25:R25)</f>
        <v>-336</v>
      </c>
    </row>
    <row r="26" spans="1:19" ht="14.25">
      <c r="A26" s="1020"/>
      <c r="B26" s="909" t="s">
        <v>829</v>
      </c>
      <c r="C26" s="957">
        <v>8686</v>
      </c>
      <c r="D26" s="958">
        <v>5536</v>
      </c>
      <c r="E26" s="370">
        <f ca="1">[1]!RCHGetElementNumber(Ticker,$D26+E$6)</f>
        <v>447</v>
      </c>
      <c r="F26" s="370">
        <f ca="1">[1]!RCHGetElementNumber(Ticker,$D26+F$6)</f>
        <v>289</v>
      </c>
      <c r="G26" s="370">
        <f ca="1">[1]!RCHGetElementNumber(Ticker,$D26+G$6)</f>
        <v>199</v>
      </c>
      <c r="H26" s="370">
        <f ca="1">[1]!RCHGetElementNumber(Ticker,$D26+H$6)</f>
        <v>178</v>
      </c>
      <c r="I26" s="370">
        <f ca="1">[1]!RCHGetElementNumber(Ticker,$D26+I$6)</f>
        <v>196</v>
      </c>
      <c r="J26" s="370">
        <f ca="1">[1]!RCHGetElementNumber(Ticker,$D26+J$6)</f>
        <v>240</v>
      </c>
      <c r="K26" s="370">
        <f ca="1">[1]!RCHGetElementNumber(Ticker,$D26+K$6)</f>
        <v>220</v>
      </c>
      <c r="L26" s="370">
        <f ca="1">[1]!RCHGetElementNumber(Ticker,$D26+L$6)</f>
        <v>456</v>
      </c>
      <c r="M26" s="370">
        <f ca="1">[1]!RCHGetElementNumber(Ticker,$D26+M$6)</f>
        <v>438</v>
      </c>
      <c r="N26" s="370">
        <f ca="1">[1]!RCHGetElementNumber(Ticker,$D26+N$6)</f>
        <v>355</v>
      </c>
      <c r="O26" s="370">
        <f ca="1">[1]!RCHGetElementNumber(Ticker,$C26+O$6)</f>
        <v>97</v>
      </c>
      <c r="P26" s="370">
        <f ca="1">[1]!RCHGetElementNumber(Ticker,$C26+P$6)</f>
        <v>89</v>
      </c>
      <c r="Q26" s="370">
        <f ca="1">[1]!RCHGetElementNumber(Ticker,$C26+Q$6)</f>
        <v>84</v>
      </c>
      <c r="R26" s="370">
        <f ca="1">[1]!RCHGetElementNumber(Ticker,$C26+R$6)</f>
        <v>85</v>
      </c>
      <c r="S26" s="370">
        <f ca="1">SUM(O26:R26)</f>
        <v>355</v>
      </c>
    </row>
    <row r="27" spans="1:19" ht="18.75" customHeight="1">
      <c r="A27" s="1020"/>
      <c r="B27" s="362" t="s">
        <v>830</v>
      </c>
      <c r="C27" s="947">
        <v>8706</v>
      </c>
      <c r="D27" s="948">
        <v>5546</v>
      </c>
      <c r="E27" s="363">
        <f ca="1">[1]!RCHGetElementNumber(Ticker,$D27+E$6)</f>
        <v>3399</v>
      </c>
      <c r="F27" s="363">
        <f ca="1">[1]!RCHGetElementNumber(Ticker,$D27+F$6)</f>
        <v>5670</v>
      </c>
      <c r="G27" s="363">
        <f ca="1">[1]!RCHGetElementNumber(Ticker,$D27+G$6)</f>
        <v>5499</v>
      </c>
      <c r="H27" s="363">
        <f ca="1">[1]!RCHGetElementNumber(Ticker,$D27+H$6)</f>
        <v>5495</v>
      </c>
      <c r="I27" s="363">
        <f ca="1">[1]!RCHGetElementNumber(Ticker,$D27+I$6)</f>
        <v>6222</v>
      </c>
      <c r="J27" s="363">
        <f ca="1">[1]!RCHGetElementNumber(Ticker,$D27+J$6)</f>
        <v>6690</v>
      </c>
      <c r="K27" s="363">
        <f ca="1">[1]!RCHGetElementNumber(Ticker,$D27+K$6)</f>
        <v>6578</v>
      </c>
      <c r="L27" s="363">
        <f ca="1">[1]!RCHGetElementNumber(Ticker,$D27+L$6)</f>
        <v>7873</v>
      </c>
      <c r="M27" s="363">
        <f ca="1">[1]!RCHGetElementNumber(Ticker,$D27+M$6)</f>
        <v>7439</v>
      </c>
      <c r="N27" s="363">
        <f ca="1">[1]!RCHGetElementNumber(Ticker,$D27+N$6)</f>
        <v>8946</v>
      </c>
      <c r="O27" s="915">
        <f ca="1">[1]!RCHGetElementNumber(Ticker,$C27+O$6)</f>
        <v>2740</v>
      </c>
      <c r="P27" s="915">
        <f ca="1">[1]!RCHGetElementNumber(Ticker,$C27+P$6)</f>
        <v>2443</v>
      </c>
      <c r="Q27" s="915">
        <f ca="1">[1]!RCHGetElementNumber(Ticker,$C27+Q$6)</f>
        <v>1960</v>
      </c>
      <c r="R27" s="915">
        <f ca="1">[1]!RCHGetElementNumber(Ticker,$C27+R$6)</f>
        <v>2179</v>
      </c>
      <c r="S27" s="363">
        <f ca="1">SUM(O27:R27)</f>
        <v>9322</v>
      </c>
    </row>
    <row r="28" spans="1:19" ht="14.25">
      <c r="A28" s="1020"/>
      <c r="B28" s="378" t="s">
        <v>21</v>
      </c>
      <c r="C28" s="959">
        <v>8726</v>
      </c>
      <c r="D28" s="953">
        <v>5556</v>
      </c>
      <c r="E28" s="370">
        <f ca="1">[1]!RCHGetElementNumber(Ticker,$D28+E$6)</f>
        <v>1222</v>
      </c>
      <c r="F28" s="370">
        <f ca="1">[1]!RCHGetElementNumber(Ticker,$D28+F$6)</f>
        <v>1691</v>
      </c>
      <c r="G28" s="370">
        <f ca="1">[1]!RCHGetElementNumber(Ticker,$D28+G$6)</f>
        <v>1523</v>
      </c>
      <c r="H28" s="370">
        <f ca="1">[1]!RCHGetElementNumber(Ticker,$D28+H$6)</f>
        <v>1148</v>
      </c>
      <c r="I28" s="370">
        <f ca="1">[1]!RCHGetElementNumber(Ticker,$D28+I$6)</f>
        <v>1375</v>
      </c>
      <c r="J28" s="370">
        <f ca="1">[1]!RCHGetElementNumber(Ticker,$D28+J$6)</f>
        <v>1818</v>
      </c>
      <c r="K28" s="370">
        <f ca="1">[1]!RCHGetElementNumber(Ticker,$D28+K$6)</f>
        <v>1498</v>
      </c>
      <c r="L28" s="370">
        <f ca="1">[1]!RCHGetElementNumber(Ticker,$D28+L$6)</f>
        <v>1892</v>
      </c>
      <c r="M28" s="370">
        <f ca="1">[1]!RCHGetElementNumber(Ticker,$D28+M$6)</f>
        <v>1632</v>
      </c>
      <c r="N28" s="370">
        <f ca="1">[1]!RCHGetElementNumber(Ticker,$D28+N$6)</f>
        <v>2040</v>
      </c>
      <c r="O28" s="370">
        <f ca="1">[1]!RCHGetElementNumber(Ticker,$C28+O$6)</f>
        <v>679</v>
      </c>
      <c r="P28" s="370">
        <f ca="1">[1]!RCHGetElementNumber(Ticker,$C28+P$6)</f>
        <v>523</v>
      </c>
      <c r="Q28" s="370">
        <f ca="1">[1]!RCHGetElementNumber(Ticker,$C28+Q$6)</f>
        <v>382</v>
      </c>
      <c r="R28" s="370">
        <f ca="1">[1]!RCHGetElementNumber(Ticker,$C28+R$6)</f>
        <v>553</v>
      </c>
      <c r="S28" s="370">
        <f ca="1">SUM(O28:R28)</f>
        <v>2137</v>
      </c>
    </row>
    <row r="29" spans="1:19" ht="14.25">
      <c r="A29" s="1020"/>
      <c r="B29" s="360" t="s">
        <v>232</v>
      </c>
      <c r="C29" s="945"/>
      <c r="D29" s="946"/>
      <c r="E29" s="379">
        <f ca="1">IF(E27=0,"",E28/E27)</f>
        <v>0.35951750514857311</v>
      </c>
      <c r="F29" s="379">
        <f ca="1">IF(F27=0,"",F28/F27)</f>
        <v>0.29823633156966489</v>
      </c>
      <c r="G29" s="379">
        <f t="shared" ref="G29:S29" ca="1" si="8">IF(G27=0,"",G28/G27)</f>
        <v>0.2769594471722131</v>
      </c>
      <c r="H29" s="379">
        <f t="shared" ca="1" si="8"/>
        <v>0.20891719745222931</v>
      </c>
      <c r="I29" s="379">
        <f t="shared" ca="1" si="8"/>
        <v>0.22099003535840567</v>
      </c>
      <c r="J29" s="379">
        <f t="shared" ca="1" si="8"/>
        <v>0.27174887892376681</v>
      </c>
      <c r="K29" s="379">
        <f t="shared" ca="1" si="8"/>
        <v>0.22772879294618426</v>
      </c>
      <c r="L29" s="379">
        <f t="shared" ca="1" si="8"/>
        <v>0.24031500063508193</v>
      </c>
      <c r="M29" s="379">
        <f t="shared" ca="1" si="8"/>
        <v>0.2193843258502487</v>
      </c>
      <c r="N29" s="379">
        <f t="shared" ca="1" si="8"/>
        <v>0.22803487592219987</v>
      </c>
      <c r="O29" s="379">
        <f ca="1">IF(O27=0,"",O28/O27)</f>
        <v>0.24781021897810218</v>
      </c>
      <c r="P29" s="379">
        <f ca="1">IF(P27=0,"",P28/P27)</f>
        <v>0.21408104789193613</v>
      </c>
      <c r="Q29" s="379">
        <f ca="1">IF(Q27=0,"",Q28/Q27)</f>
        <v>0.19489795918367347</v>
      </c>
      <c r="R29" s="379">
        <f ca="1">IF(R27=0,"",R28/R27)</f>
        <v>0.25378614043139053</v>
      </c>
      <c r="S29" s="379">
        <f t="shared" ca="1" si="8"/>
        <v>0.22924265179146106</v>
      </c>
    </row>
    <row r="30" spans="1:19" ht="19.5" customHeight="1">
      <c r="A30" s="1020"/>
      <c r="B30" s="362" t="s">
        <v>831</v>
      </c>
      <c r="C30" s="947">
        <v>8806</v>
      </c>
      <c r="D30" s="948">
        <v>5596</v>
      </c>
      <c r="E30" s="359">
        <f ca="1">[1]!RCHGetElementNumber(Ticker,$D30+E$6)</f>
        <v>2177</v>
      </c>
      <c r="F30" s="359">
        <f ca="1">[1]!RCHGetElementNumber(Ticker,$D30+F$6)</f>
        <v>3979</v>
      </c>
      <c r="G30" s="359">
        <f ca="1">[1]!RCHGetElementNumber(Ticker,$D30+G$6)</f>
        <v>3976</v>
      </c>
      <c r="H30" s="359">
        <f ca="1">[1]!RCHGetElementNumber(Ticker,$D30+H$6)</f>
        <v>4347</v>
      </c>
      <c r="I30" s="359">
        <f ca="1">[1]!RCHGetElementNumber(Ticker,$D30+I$6)</f>
        <v>4847</v>
      </c>
      <c r="J30" s="359">
        <f ca="1">[1]!RCHGetElementNumber(Ticker,$D30+J$6)</f>
        <v>4872</v>
      </c>
      <c r="K30" s="359">
        <f ca="1">[1]!RCHGetElementNumber(Ticker,$D30+K$6)</f>
        <v>5080</v>
      </c>
      <c r="L30" s="359">
        <f ca="1">[1]!RCHGetElementNumber(Ticker,$D30+L$6)</f>
        <v>5981</v>
      </c>
      <c r="M30" s="359">
        <f ca="1">[1]!RCHGetElementNumber(Ticker,$D30+M$6)</f>
        <v>5807</v>
      </c>
      <c r="N30" s="359">
        <f ca="1">[1]!RCHGetElementNumber(Ticker,$D30+N$6)</f>
        <v>6824</v>
      </c>
      <c r="O30" s="915">
        <f ca="1">[1]!RCHGetElementNumber(Ticker,$C30+O$6)</f>
        <v>2049</v>
      </c>
      <c r="P30" s="915">
        <f ca="1">[1]!RCHGetElementNumber(Ticker,$C30+P$6)</f>
        <v>1896</v>
      </c>
      <c r="Q30" s="915">
        <f ca="1">[1]!RCHGetElementNumber(Ticker,$C30+Q$6)</f>
        <v>1543</v>
      </c>
      <c r="R30" s="915">
        <f ca="1">[1]!RCHGetElementNumber(Ticker,$C30+R$6)</f>
        <v>1614</v>
      </c>
      <c r="S30" s="359">
        <f ca="1">SUM(O30:R30)</f>
        <v>7102</v>
      </c>
    </row>
    <row r="31" spans="1:19" ht="21.75" customHeight="1">
      <c r="A31" s="1020"/>
      <c r="B31" s="354" t="s">
        <v>22</v>
      </c>
      <c r="C31" s="939">
        <v>8946</v>
      </c>
      <c r="D31" s="940">
        <v>5666</v>
      </c>
      <c r="E31" s="355">
        <f ca="1">[1]!RCHGetElementNumber(Ticker,$D31+E$6)</f>
        <v>2177</v>
      </c>
      <c r="F31" s="355">
        <f ca="1">[1]!RCHGetElementNumber(Ticker,$D31+F$6)</f>
        <v>3969</v>
      </c>
      <c r="G31" s="355">
        <f ca="1">[1]!RCHGetElementNumber(Ticker,$D31+G$6)</f>
        <v>3050</v>
      </c>
      <c r="H31" s="355">
        <f ca="1">[1]!RCHGetElementNumber(Ticker,$D31+H$6)</f>
        <v>4347</v>
      </c>
      <c r="I31" s="355">
        <f ca="1">[1]!RCHGetElementNumber(Ticker,$D31+I$6)</f>
        <v>4847</v>
      </c>
      <c r="J31" s="355">
        <f ca="1">[1]!RCHGetElementNumber(Ticker,$D31+J$6)</f>
        <v>4872</v>
      </c>
      <c r="K31" s="355">
        <f ca="1">[1]!RCHGetElementNumber(Ticker,$D31+K$6)</f>
        <v>5080</v>
      </c>
      <c r="L31" s="355">
        <f ca="1">[1]!RCHGetElementNumber(Ticker,$D31+L$6)</f>
        <v>5981</v>
      </c>
      <c r="M31" s="355">
        <f ca="1">[1]!RCHGetElementNumber(Ticker,$D31+M$6)</f>
        <v>5807</v>
      </c>
      <c r="N31" s="355">
        <f ca="1">[1]!RCHGetElementNumber(Ticker,$D31+N$6)</f>
        <v>6824</v>
      </c>
      <c r="O31" s="370">
        <f ca="1">[1]!RCHGetElementNumber(Ticker,$C31+O$6)</f>
        <v>2049</v>
      </c>
      <c r="P31" s="370">
        <f ca="1">[1]!RCHGetElementNumber(Ticker,$C31+P$6)</f>
        <v>1896</v>
      </c>
      <c r="Q31" s="370">
        <f ca="1">[1]!RCHGetElementNumber(Ticker,$C31+Q$6)</f>
        <v>1543</v>
      </c>
      <c r="R31" s="370">
        <f ca="1">[1]!RCHGetElementNumber(Ticker,$C31+R$6)</f>
        <v>1614</v>
      </c>
      <c r="S31" s="355">
        <f ca="1">SUM(O31:R31)</f>
        <v>7102</v>
      </c>
    </row>
    <row r="32" spans="1:19" ht="15" thickBot="1">
      <c r="A32" s="1020"/>
      <c r="B32" s="364" t="s">
        <v>70</v>
      </c>
      <c r="C32" s="949"/>
      <c r="D32" s="950"/>
      <c r="E32" s="365">
        <f t="shared" ref="E32:S32" ca="1" si="9">IF(E7=0,"",E31/E7)</f>
        <v>0.10641313911428292</v>
      </c>
      <c r="F32" s="365">
        <f t="shared" ca="1" si="9"/>
        <v>0.19754130997411906</v>
      </c>
      <c r="G32" s="365">
        <f t="shared" ca="1" si="9"/>
        <v>0.15589858924555305</v>
      </c>
      <c r="H32" s="365">
        <f t="shared" ca="1" si="9"/>
        <v>0.20656719254894507</v>
      </c>
      <c r="I32" s="365">
        <f t="shared" ca="1" si="9"/>
        <v>0.22069938985520443</v>
      </c>
      <c r="J32" s="365">
        <f t="shared" ca="1" si="9"/>
        <v>0.21087257617728533</v>
      </c>
      <c r="K32" s="365">
        <f t="shared" ca="1" si="9"/>
        <v>0.2108933909000332</v>
      </c>
      <c r="L32" s="365">
        <f t="shared" ca="1" si="9"/>
        <v>0.20726340229407075</v>
      </c>
      <c r="M32" s="365">
        <f t="shared" ca="1" si="9"/>
        <v>0.18178687703481092</v>
      </c>
      <c r="N32" s="365">
        <f t="shared" ca="1" si="9"/>
        <v>0.2202000645369474</v>
      </c>
      <c r="O32" s="365">
        <f t="shared" ca="1" si="9"/>
        <v>0.24785290915688885</v>
      </c>
      <c r="P32" s="365">
        <f t="shared" ca="1" si="9"/>
        <v>0.23570363003480854</v>
      </c>
      <c r="Q32" s="365">
        <f t="shared" ca="1" si="9"/>
        <v>0.20545938748335552</v>
      </c>
      <c r="R32" s="365">
        <f t="shared" ca="1" si="9"/>
        <v>0.21448504983388705</v>
      </c>
      <c r="S32" s="365">
        <f t="shared" ca="1" si="9"/>
        <v>0.22656798315574556</v>
      </c>
    </row>
    <row r="33" spans="1:20" ht="27" customHeight="1" thickTop="1">
      <c r="A33" s="1020"/>
      <c r="B33" s="374" t="s">
        <v>537</v>
      </c>
      <c r="C33" s="951"/>
      <c r="D33" s="952"/>
      <c r="E33" s="382"/>
      <c r="F33" s="382"/>
      <c r="G33" s="382"/>
      <c r="H33" s="382"/>
      <c r="I33" s="382"/>
      <c r="J33" s="382"/>
      <c r="K33" s="382"/>
      <c r="L33" s="382"/>
      <c r="M33" s="382"/>
      <c r="N33" s="382"/>
      <c r="O33" s="382"/>
      <c r="P33" s="382"/>
      <c r="Q33" s="382"/>
      <c r="R33" s="382"/>
      <c r="S33" s="922"/>
    </row>
    <row r="34" spans="1:20" ht="14.25">
      <c r="A34" s="1020"/>
      <c r="B34" s="378" t="s">
        <v>832</v>
      </c>
      <c r="C34" s="959">
        <v>9186</v>
      </c>
      <c r="D34" s="953">
        <v>5786</v>
      </c>
      <c r="E34" s="912">
        <f ca="1">[1]!RCHGetElementNumber(Ticker,$D34+E$6)</f>
        <v>0.88</v>
      </c>
      <c r="F34" s="912">
        <f ca="1">[1]!RCHGetElementNumber(Ticker,$D34+F$6)</f>
        <v>1.6</v>
      </c>
      <c r="G34" s="912">
        <f ca="1">[1]!RCHGetElementNumber(Ticker,$D34+G$6)</f>
        <v>1.23</v>
      </c>
      <c r="H34" s="912">
        <f ca="1">[1]!RCHGetElementNumber(Ticker,$D34+H$6)</f>
        <v>1.77</v>
      </c>
      <c r="I34" s="912">
        <f ca="1">[1]!RCHGetElementNumber(Ticker,$D34+I$6)</f>
        <v>2</v>
      </c>
      <c r="J34" s="912">
        <f ca="1">[1]!RCHGetElementNumber(Ticker,$D34+J$6)</f>
        <v>2.04</v>
      </c>
      <c r="K34" s="912">
        <f ca="1">[1]!RCHGetElementNumber(Ticker,$D34+K$6)</f>
        <v>2.16</v>
      </c>
      <c r="L34" s="912">
        <f ca="1">[1]!RCHGetElementNumber(Ticker,$D34+L$6)</f>
        <v>2.59</v>
      </c>
      <c r="M34" s="912">
        <f ca="1">[1]!RCHGetElementNumber(Ticker,$D34+M$6)</f>
        <v>2.5099999999999998</v>
      </c>
      <c r="N34" s="912">
        <f ca="1">[1]!RCHGetElementNumber(Ticker,$D34+N$6)</f>
        <v>2.95</v>
      </c>
      <c r="O34" s="912">
        <f ca="1">[1]!RCHGetElementNumber(Ticker,$C34+O$6)</f>
        <v>0.88</v>
      </c>
      <c r="P34" s="912">
        <f ca="1">[1]!RCHGetElementNumber(Ticker,$C34+P$6)</f>
        <v>0.82</v>
      </c>
      <c r="Q34" s="912">
        <f ca="1">[1]!RCHGetElementNumber(Ticker,$C34+Q$6)</f>
        <v>0.67</v>
      </c>
      <c r="R34" s="912">
        <f ca="1">[1]!RCHGetElementNumber(Ticker,$C34+R$6)</f>
        <v>0.7</v>
      </c>
      <c r="S34" s="912">
        <f ca="1">SUM(O34:R34)</f>
        <v>3.0700000000000003</v>
      </c>
    </row>
    <row r="35" spans="1:20" ht="14.25">
      <c r="A35" s="1020"/>
      <c r="B35" s="358" t="s">
        <v>833</v>
      </c>
      <c r="C35" s="943">
        <v>9366</v>
      </c>
      <c r="D35" s="944">
        <v>5876</v>
      </c>
      <c r="E35" s="917">
        <f ca="1">[1]!RCHGetElementNumber(Ticker,$D35+E$6)</f>
        <v>0.88</v>
      </c>
      <c r="F35" s="917">
        <f ca="1">[1]!RCHGetElementNumber(Ticker,$D35+F$6)</f>
        <v>1.6</v>
      </c>
      <c r="G35" s="917">
        <f ca="1">[1]!RCHGetElementNumber(Ticker,$D35+G$6)</f>
        <v>1.23</v>
      </c>
      <c r="H35" s="917">
        <f ca="1">[1]!RCHGetElementNumber(Ticker,$D35+H$6)</f>
        <v>1.77</v>
      </c>
      <c r="I35" s="917">
        <f ca="1">[1]!RCHGetElementNumber(Ticker,$D35+I$6)</f>
        <v>2</v>
      </c>
      <c r="J35" s="917">
        <f ca="1">[1]!RCHGetElementNumber(Ticker,$D35+J$6)</f>
        <v>2.04</v>
      </c>
      <c r="K35" s="917">
        <f ca="1">[1]!RCHGetElementNumber(Ticker,$D35+K$6)</f>
        <v>2.16</v>
      </c>
      <c r="L35" s="917">
        <f ca="1">[1]!RCHGetElementNumber(Ticker,$D35+L$6)</f>
        <v>2.57</v>
      </c>
      <c r="M35" s="917">
        <f ca="1">[1]!RCHGetElementNumber(Ticker,$D35+M$6)</f>
        <v>2.4900000000000002</v>
      </c>
      <c r="N35" s="917">
        <f ca="1">[1]!RCHGetElementNumber(Ticker,$D35+N$6)</f>
        <v>2.93</v>
      </c>
      <c r="O35" s="916">
        <f ca="1">[1]!RCHGetElementNumber(Ticker,$C35+O$6)</f>
        <v>0.88</v>
      </c>
      <c r="P35" s="916">
        <f ca="1">[1]!RCHGetElementNumber(Ticker,$C35+P$6)</f>
        <v>0.81</v>
      </c>
      <c r="Q35" s="916">
        <f ca="1">[1]!RCHGetElementNumber(Ticker,$C35+Q$6)</f>
        <v>0.66</v>
      </c>
      <c r="R35" s="916">
        <f ca="1">[1]!RCHGetElementNumber(Ticker,$C35+R$6)</f>
        <v>0.69</v>
      </c>
      <c r="S35" s="917">
        <f ca="1">SUM(O35:R35)</f>
        <v>3.04</v>
      </c>
    </row>
    <row r="36" spans="1:20" ht="14.25">
      <c r="A36" s="1020"/>
      <c r="B36" s="378" t="s">
        <v>834</v>
      </c>
      <c r="C36" s="959">
        <v>10946</v>
      </c>
      <c r="D36" s="953">
        <v>6666</v>
      </c>
      <c r="E36" s="913">
        <f ca="1">[1]!RCHGetElementNumber(Ticker,$D36+E$6)</f>
        <v>2477</v>
      </c>
      <c r="F36" s="913">
        <f ca="1">[1]!RCHGetElementNumber(Ticker,$D36+F$6)</f>
        <v>2487</v>
      </c>
      <c r="G36" s="913">
        <f ca="1">[1]!RCHGetElementNumber(Ticker,$D36+G$6)</f>
        <v>2478</v>
      </c>
      <c r="H36" s="913">
        <f ca="1">[1]!RCHGetElementNumber(Ticker,$D36+H$6)</f>
        <v>2459</v>
      </c>
      <c r="I36" s="913">
        <f ca="1">[1]!RCHGetElementNumber(Ticker,$D36+I$6)</f>
        <v>2426</v>
      </c>
      <c r="J36" s="913">
        <f ca="1">[1]!RCHGetElementNumber(Ticker,$D36+J$6)</f>
        <v>2392</v>
      </c>
      <c r="K36" s="913">
        <f ca="1">[1]!RCHGetElementNumber(Ticker,$D36+K$6)</f>
        <v>2348</v>
      </c>
      <c r="L36" s="913">
        <f ca="1">[1]!RCHGetElementNumber(Ticker,$D36+L$6)</f>
        <v>2313</v>
      </c>
      <c r="M36" s="913">
        <f ca="1">[1]!RCHGetElementNumber(Ticker,$D36+M$6)</f>
        <v>2315</v>
      </c>
      <c r="N36" s="913">
        <f ca="1">[1]!RCHGetElementNumber(Ticker,$D36+N$6)</f>
        <v>2314</v>
      </c>
      <c r="O36" s="913">
        <f ca="1">[1]!RCHGetElementNumber(Ticker,$C36+O$6)</f>
        <v>2313</v>
      </c>
      <c r="P36" s="913">
        <f ca="1">[1]!RCHGetElementNumber(Ticker,$C36+P$6)</f>
        <v>2316</v>
      </c>
      <c r="Q36" s="913">
        <f ca="1">[1]!RCHGetElementNumber(Ticker,$C36+Q$6)</f>
        <v>2314</v>
      </c>
      <c r="R36" s="913">
        <f ca="1">[1]!RCHGetElementNumber(Ticker,$C36+R$6)</f>
        <v>2304</v>
      </c>
      <c r="S36" s="913">
        <f ca="1">R36</f>
        <v>2304</v>
      </c>
    </row>
    <row r="37" spans="1:20" ht="15.75" thickBot="1">
      <c r="A37" s="1020"/>
      <c r="B37" s="910" t="s">
        <v>835</v>
      </c>
      <c r="C37" s="960">
        <v>10966</v>
      </c>
      <c r="D37" s="961">
        <v>6676</v>
      </c>
      <c r="E37" s="932">
        <f ca="1">[1]!RCHGetElementNumber(Ticker,$D37+E$6)</f>
        <v>2487</v>
      </c>
      <c r="F37" s="932">
        <f ca="1">[1]!RCHGetElementNumber(Ticker,$D37+F$6)</f>
        <v>2487</v>
      </c>
      <c r="G37" s="932">
        <f ca="1">[1]!RCHGetElementNumber(Ticker,$D37+G$6)</f>
        <v>2483</v>
      </c>
      <c r="H37" s="932">
        <f ca="1">[1]!RCHGetElementNumber(Ticker,$D37+H$6)</f>
        <v>2462</v>
      </c>
      <c r="I37" s="932">
        <f ca="1">[1]!RCHGetElementNumber(Ticker,$D37+I$6)</f>
        <v>2429</v>
      </c>
      <c r="J37" s="932">
        <f ca="1">[1]!RCHGetElementNumber(Ticker,$D37+J$6)</f>
        <v>2393</v>
      </c>
      <c r="K37" s="932">
        <f ca="1">[1]!RCHGetElementNumber(Ticker,$D37+K$6)</f>
        <v>2350</v>
      </c>
      <c r="L37" s="932">
        <f ca="1">[1]!RCHGetElementNumber(Ticker,$D37+L$6)</f>
        <v>2331</v>
      </c>
      <c r="M37" s="932">
        <f ca="1">[1]!RCHGetElementNumber(Ticker,$D37+M$6)</f>
        <v>2336</v>
      </c>
      <c r="N37" s="932">
        <f ca="1">[1]!RCHGetElementNumber(Ticker,$D37+N$6)</f>
        <v>2329</v>
      </c>
      <c r="O37" s="933">
        <f ca="1">[1]!RCHGetElementNumber(Ticker,$C37+O$6)</f>
        <v>2323</v>
      </c>
      <c r="P37" s="933">
        <f ca="1">[1]!RCHGetElementNumber(Ticker,$C37+P$6)</f>
        <v>2332</v>
      </c>
      <c r="Q37" s="933">
        <f ca="1">[1]!RCHGetElementNumber(Ticker,$C37+Q$6)</f>
        <v>2329</v>
      </c>
      <c r="R37" s="933">
        <f ca="1">[1]!RCHGetElementNumber(Ticker,$C37+R$6)</f>
        <v>2327</v>
      </c>
      <c r="S37" s="932">
        <f ca="1">R37</f>
        <v>2327</v>
      </c>
    </row>
    <row r="38" spans="1:20" ht="22.5" customHeight="1" thickTop="1">
      <c r="A38" s="375"/>
      <c r="B38" s="383"/>
      <c r="C38" s="962"/>
      <c r="D38" s="962"/>
      <c r="E38" s="384"/>
      <c r="F38" s="384"/>
      <c r="G38" s="384"/>
      <c r="H38" s="384"/>
      <c r="I38" s="384"/>
      <c r="J38" s="384"/>
      <c r="K38" s="384"/>
      <c r="L38" s="384"/>
      <c r="M38" s="384"/>
      <c r="N38" s="384"/>
      <c r="O38" s="384"/>
      <c r="P38" s="384"/>
      <c r="Q38" s="384"/>
      <c r="R38" s="384"/>
      <c r="S38" s="923"/>
    </row>
    <row r="39" spans="1:20" ht="24.75" customHeight="1">
      <c r="A39" s="428" t="s">
        <v>75</v>
      </c>
      <c r="B39" s="424"/>
      <c r="C39" s="963"/>
      <c r="D39" s="963"/>
      <c r="E39" s="424"/>
      <c r="F39" s="424"/>
      <c r="G39" s="424"/>
      <c r="H39" s="424"/>
      <c r="I39" s="424"/>
      <c r="J39" s="424"/>
      <c r="K39" s="424"/>
      <c r="L39" s="424"/>
      <c r="M39" s="424"/>
      <c r="N39" s="424"/>
      <c r="O39" s="424"/>
      <c r="P39" s="424"/>
      <c r="Q39" s="424"/>
      <c r="R39" s="424"/>
      <c r="S39" s="924"/>
      <c r="T39" s="423"/>
    </row>
    <row r="40" spans="1:20" s="386" customFormat="1" ht="16.5">
      <c r="A40" s="385"/>
      <c r="B40" s="367" t="s">
        <v>76</v>
      </c>
      <c r="C40" s="951"/>
      <c r="D40" s="951"/>
      <c r="S40" s="921"/>
    </row>
    <row r="41" spans="1:20" ht="14.25">
      <c r="A41" s="1020"/>
      <c r="B41" s="378" t="s">
        <v>24</v>
      </c>
      <c r="C41" s="959"/>
      <c r="D41" s="959"/>
      <c r="E41" s="370">
        <f ca="1">[1]!RCHGetTableCell("http://quicktake.morningstar.com/StockNet/balance10.aspx?Symbol="&amp;Ticker,2,"&gt;Cash and Equiv")</f>
        <v>1819</v>
      </c>
      <c r="F41" s="370">
        <f ca="1">[1]!RCHGetTableCell("http://quicktake.morningstar.com/StockNet/balance10.aspx?Symbol="&amp;Ticker,5,"&gt;Cash and Equiv")</f>
        <v>1866</v>
      </c>
      <c r="G41" s="387">
        <f ca="1">[1]!RCHGetTableCell("http://quicktake.morningstar.com/StockNet/balance10.aspx?Symbol="&amp;Ticker,8,"&gt;Cash and Equiv")</f>
        <v>2126</v>
      </c>
      <c r="H41" s="387">
        <f ca="1">[1]!RCHGetTableCell("http://quicktake.morningstar.com/StockNet/balance10.aspx?Symbol="&amp;Ticker,11,"&gt;Cash and Equiv")</f>
        <v>3362</v>
      </c>
      <c r="I41" s="387">
        <f ca="1">[1]!RCHGetTableCell("http://quicktake.morningstar.com/StockNet/balance10.aspx?Symbol="&amp;Ticker,14,"&gt;Cash and Equiv")</f>
        <v>6707</v>
      </c>
      <c r="J41" s="387">
        <f ca="1">[1]!RCHGetTableCell("http://quicktake.morningstar.com/StockNet/balance10.aspx?Symbol="&amp;Ticker,17,"&gt;Cash and Equiv")</f>
        <v>4701</v>
      </c>
      <c r="K41" s="387">
        <f ca="1">[1]!RCHGetTableCell("http://quicktake.morningstar.com/StockNet/balance10.aspx?Symbol="&amp;Ticker,20,"&gt;Cash and Equiv")</f>
        <v>2440</v>
      </c>
      <c r="L41" s="387">
        <f ca="1">[1]!RCHGetTableCell("http://quicktake.morningstar.com/StockNet/balance10.aspx?Symbol="&amp;Ticker,23,"&gt;Cash and Equiv")</f>
        <v>4093</v>
      </c>
      <c r="M41" s="387">
        <f ca="1">[1]!RCHGetTableCell("http://quicktake.morningstar.com/StockNet/balance10.aspx?Symbol="&amp;Ticker,26,"&gt;Cash and Equiv")</f>
        <v>4701</v>
      </c>
      <c r="N41" s="387">
        <f ca="1">[1]!RCHGetTableCell("http://quicktake.morningstar.com/StockNet/balance10.aspx?Symbol="&amp;Ticker,29,"&gt;Cash and Equiv")</f>
        <v>7021</v>
      </c>
      <c r="O41" s="387"/>
      <c r="P41" s="387"/>
      <c r="Q41" s="387"/>
      <c r="R41" s="387"/>
      <c r="S41" s="387">
        <f ca="1">[1]!RCHGetTableCell("http://quicktake.morningstar.com/StockNet/balance10.aspx?Symbol="&amp;Ticker,32,"&gt;Cash and Equiv")</f>
        <v>5684</v>
      </c>
    </row>
    <row r="42" spans="1:20" ht="14.25">
      <c r="A42" s="1020"/>
      <c r="B42" s="358" t="s">
        <v>25</v>
      </c>
      <c r="C42" s="943"/>
      <c r="D42" s="943"/>
      <c r="E42" s="359">
        <f ca="1">[1]!RCHGetTableCell("http://quicktake.morningstar.com/StockNet/balance10.aspx?Symbol="&amp;Ticker,2,"&gt;Short-Term Investments")</f>
        <v>73</v>
      </c>
      <c r="F42" s="359">
        <f ca="1">[1]!RCHGetTableCell("http://quicktake.morningstar.com/StockNet/balance10.aspx?Symbol="&amp;Ticker,5,"&gt;Short-Term Investments")</f>
        <v>68</v>
      </c>
      <c r="G42" s="388">
        <f ca="1">[1]!RCHGetTableCell("http://quicktake.morningstar.com/StockNet/balance10.aspx?Symbol="&amp;Ticker,8,"&gt;Short-Term Investments")</f>
        <v>219</v>
      </c>
      <c r="H42" s="388">
        <f ca="1">[1]!RCHGetTableCell("http://quicktake.morningstar.com/StockNet/balance10.aspx?Symbol="&amp;Ticker,11,"&gt;Short-Term Investments")</f>
        <v>120</v>
      </c>
      <c r="I42" s="388">
        <f ca="1">[1]!RCHGetTableCell("http://quicktake.morningstar.com/StockNet/balance10.aspx?Symbol="&amp;Ticker,14,"&gt;Short-Term Investments")</f>
        <v>61</v>
      </c>
      <c r="J42" s="388">
        <f ca="1">[1]!RCHGetTableCell("http://quicktake.morningstar.com/StockNet/balance10.aspx?Symbol="&amp;Ticker,17,"&gt;Short-Term Investments")</f>
        <v>66</v>
      </c>
      <c r="K42" s="388">
        <f ca="1">[1]!RCHGetTableCell("http://quicktake.morningstar.com/StockNet/balance10.aspx?Symbol="&amp;Ticker,20,"&gt;Short-Term Investments")</f>
        <v>150</v>
      </c>
      <c r="L42" s="388">
        <f ca="1">[1]!RCHGetTableCell("http://quicktake.morningstar.com/StockNet/balance10.aspx?Symbol="&amp;Ticker,23,"&gt;Short-Term Investments")</f>
        <v>215</v>
      </c>
      <c r="M42" s="388">
        <f ca="1">[1]!RCHGetTableCell("http://quicktake.morningstar.com/StockNet/balance10.aspx?Symbol="&amp;Ticker,26,"&gt;Short-Term Investments")</f>
        <v>278</v>
      </c>
      <c r="N42" s="388">
        <f ca="1">[1]!RCHGetTableCell("http://quicktake.morningstar.com/StockNet/balance10.aspx?Symbol="&amp;Ticker,29,"&gt;Short-Term Investments")</f>
        <v>2192</v>
      </c>
      <c r="O42" s="388"/>
      <c r="P42" s="388"/>
      <c r="Q42" s="388"/>
      <c r="R42" s="388"/>
      <c r="S42" s="388">
        <f ca="1">[1]!RCHGetTableCell("http://quicktake.morningstar.com/StockNet/balance10.aspx?Symbol="&amp;Ticker,32,"&gt;Short-Term Investments")</f>
        <v>3110</v>
      </c>
    </row>
    <row r="43" spans="1:20" ht="14.25">
      <c r="A43" s="1020"/>
      <c r="B43" s="378" t="s">
        <v>26</v>
      </c>
      <c r="C43" s="959"/>
      <c r="D43" s="959"/>
      <c r="E43" s="370">
        <f ca="1">[1]!RCHGetTableCell("http://quicktake.morningstar.com/StockNet/balance10.aspx?Symbol="&amp;Ticker,2,"&gt;Accts Rec")</f>
        <v>1757</v>
      </c>
      <c r="F43" s="370">
        <f ca="1">[1]!RCHGetTableCell("http://quicktake.morningstar.com/StockNet/balance10.aspx?Symbol="&amp;Ticker,5,"&gt;Accts Rec")</f>
        <v>1882</v>
      </c>
      <c r="G43" s="387">
        <f ca="1">[1]!RCHGetTableCell("http://quicktake.morningstar.com/StockNet/balance10.aspx?Symbol="&amp;Ticker,8,"&gt;Accts Rec")</f>
        <v>2097</v>
      </c>
      <c r="H43" s="387">
        <f ca="1">[1]!RCHGetTableCell("http://quicktake.morningstar.com/StockNet/balance10.aspx?Symbol="&amp;Ticker,11,"&gt;Accts Rec")</f>
        <v>2091</v>
      </c>
      <c r="I43" s="387">
        <f ca="1">[1]!RCHGetTableCell("http://quicktake.morningstar.com/StockNet/balance10.aspx?Symbol="&amp;Ticker,14,"&gt;Accts Rec")</f>
        <v>2171</v>
      </c>
      <c r="J43" s="387">
        <f ca="1">[1]!RCHGetTableCell("http://quicktake.morningstar.com/StockNet/balance10.aspx?Symbol="&amp;Ticker,17,"&gt;Accts Rec")</f>
        <v>2281</v>
      </c>
      <c r="K43" s="387">
        <f ca="1">[1]!RCHGetTableCell("http://quicktake.morningstar.com/StockNet/balance10.aspx?Symbol="&amp;Ticker,20,"&gt;Accts Rec")</f>
        <v>2587</v>
      </c>
      <c r="L43" s="387">
        <f ca="1">[1]!RCHGetTableCell("http://quicktake.morningstar.com/StockNet/balance10.aspx?Symbol="&amp;Ticker,23,"&gt;Accts Rec")</f>
        <v>3317</v>
      </c>
      <c r="M43" s="387">
        <f ca="1">[1]!RCHGetTableCell("http://quicktake.morningstar.com/StockNet/balance10.aspx?Symbol="&amp;Ticker,26,"&gt;Accts Rec")</f>
        <v>3090</v>
      </c>
      <c r="N43" s="387">
        <f ca="1">[1]!RCHGetTableCell("http://quicktake.morningstar.com/StockNet/balance10.aspx?Symbol="&amp;Ticker,29,"&gt;Accts Rec")</f>
        <v>3758</v>
      </c>
      <c r="O43" s="387"/>
      <c r="P43" s="387"/>
      <c r="Q43" s="387"/>
      <c r="R43" s="387"/>
      <c r="S43" s="387">
        <f ca="1">[1]!RCHGetTableCell("http://quicktake.morningstar.com/StockNet/balance10.aspx?Symbol="&amp;Ticker,32,"&gt;Accts Rec")</f>
        <v>3705</v>
      </c>
    </row>
    <row r="44" spans="1:20" s="391" customFormat="1" ht="17.25" customHeight="1">
      <c r="A44" s="1020"/>
      <c r="B44" s="413" t="s">
        <v>536</v>
      </c>
      <c r="C44" s="941"/>
      <c r="D44" s="941"/>
      <c r="E44" s="389"/>
      <c r="F44" s="356">
        <f ca="1">IF(F43=0,"",(F43-E43)/F43)</f>
        <v>6.6418703506907539E-2</v>
      </c>
      <c r="G44" s="390">
        <f t="shared" ref="G44:N44" ca="1" si="10">IF(G43=0,"",(G43-F43)/G43)</f>
        <v>0.10252742012398665</v>
      </c>
      <c r="H44" s="390">
        <f t="shared" ca="1" si="10"/>
        <v>-2.8694404591104736E-3</v>
      </c>
      <c r="I44" s="390">
        <f t="shared" ca="1" si="10"/>
        <v>3.6849378166743434E-2</v>
      </c>
      <c r="J44" s="390">
        <f t="shared" ca="1" si="10"/>
        <v>4.8224462954844366E-2</v>
      </c>
      <c r="K44" s="390">
        <f t="shared" ca="1" si="10"/>
        <v>0.11828372632392734</v>
      </c>
      <c r="L44" s="390">
        <f t="shared" ca="1" si="10"/>
        <v>0.22007838408200181</v>
      </c>
      <c r="M44" s="390">
        <f t="shared" ca="1" si="10"/>
        <v>-7.3462783171521037E-2</v>
      </c>
      <c r="N44" s="390">
        <f t="shared" ca="1" si="10"/>
        <v>0.17775412453432676</v>
      </c>
      <c r="O44" s="390"/>
      <c r="P44" s="390"/>
      <c r="Q44" s="390"/>
      <c r="R44" s="390"/>
      <c r="S44" s="390">
        <f ca="1">IF(S43=0,"",(S43-N43)/S43)</f>
        <v>-1.4304993252361673E-2</v>
      </c>
    </row>
    <row r="45" spans="1:20" ht="14.25">
      <c r="A45" s="1020"/>
      <c r="B45" s="358" t="s">
        <v>27</v>
      </c>
      <c r="C45" s="943"/>
      <c r="D45" s="943"/>
      <c r="E45" s="359">
        <f ca="1">[1]!RCHGetTableCell("http://quicktake.morningstar.com/StockNet/balance10.aspx?Symbol="&amp;Ticker,2,"&gt;Inventory")</f>
        <v>1066</v>
      </c>
      <c r="F45" s="359">
        <f ca="1">[1]!RCHGetTableCell("http://quicktake.morningstar.com/StockNet/balance10.aspx?Symbol="&amp;Ticker,5,"&gt;Inventory")</f>
        <v>1055</v>
      </c>
      <c r="G45" s="388">
        <f ca="1">[1]!RCHGetTableCell("http://quicktake.morningstar.com/StockNet/balance10.aspx?Symbol="&amp;Ticker,8,"&gt;Inventory")</f>
        <v>1294</v>
      </c>
      <c r="H45" s="388">
        <f ca="1">[1]!RCHGetTableCell("http://quicktake.morningstar.com/StockNet/balance10.aspx?Symbol="&amp;Ticker,11,"&gt;Inventory")</f>
        <v>1252</v>
      </c>
      <c r="I45" s="388">
        <f ca="1">[1]!RCHGetTableCell("http://quicktake.morningstar.com/StockNet/balance10.aspx?Symbol="&amp;Ticker,14,"&gt;Inventory")</f>
        <v>1420</v>
      </c>
      <c r="J45" s="388">
        <f ca="1">[1]!RCHGetTableCell("http://quicktake.morningstar.com/StockNet/balance10.aspx?Symbol="&amp;Ticker,17,"&gt;Inventory")</f>
        <v>1424</v>
      </c>
      <c r="K45" s="388">
        <f ca="1">[1]!RCHGetTableCell("http://quicktake.morningstar.com/StockNet/balance10.aspx?Symbol="&amp;Ticker,20,"&gt;Inventory")</f>
        <v>1641</v>
      </c>
      <c r="L45" s="388">
        <f ca="1">[1]!RCHGetTableCell("http://quicktake.morningstar.com/StockNet/balance10.aspx?Symbol="&amp;Ticker,23,"&gt;Inventory")</f>
        <v>2220</v>
      </c>
      <c r="M45" s="388">
        <f ca="1">[1]!RCHGetTableCell("http://quicktake.morningstar.com/StockNet/balance10.aspx?Symbol="&amp;Ticker,26,"&gt;Inventory")</f>
        <v>2187</v>
      </c>
      <c r="N45" s="388">
        <f ca="1">[1]!RCHGetTableCell("http://quicktake.morningstar.com/StockNet/balance10.aspx?Symbol="&amp;Ticker,29,"&gt;Inventory")</f>
        <v>2354</v>
      </c>
      <c r="O45" s="388"/>
      <c r="P45" s="388"/>
      <c r="Q45" s="388"/>
      <c r="R45" s="388"/>
      <c r="S45" s="388">
        <f ca="1">[1]!RCHGetTableCell("http://quicktake.morningstar.com/StockNet/balance10.aspx?Symbol="&amp;Ticker,32,"&gt;Inventory")</f>
        <v>2327</v>
      </c>
    </row>
    <row r="46" spans="1:20" s="391" customFormat="1" ht="14.25" customHeight="1">
      <c r="A46" s="1020"/>
      <c r="B46" s="413" t="s">
        <v>536</v>
      </c>
      <c r="C46" s="941"/>
      <c r="D46" s="941"/>
      <c r="E46" s="389"/>
      <c r="F46" s="356">
        <f ca="1">IF(F45=0,"",(F45-E45)/F45)</f>
        <v>-1.042654028436019E-2</v>
      </c>
      <c r="G46" s="390">
        <f t="shared" ref="G46:N46" ca="1" si="11">IF(G45=0,"",(G45-F45)/G45)</f>
        <v>0.18469860896445131</v>
      </c>
      <c r="H46" s="390">
        <f t="shared" ca="1" si="11"/>
        <v>-3.3546325878594248E-2</v>
      </c>
      <c r="I46" s="390">
        <f t="shared" ca="1" si="11"/>
        <v>0.11830985915492957</v>
      </c>
      <c r="J46" s="390">
        <f t="shared" ca="1" si="11"/>
        <v>2.8089887640449437E-3</v>
      </c>
      <c r="K46" s="390">
        <f t="shared" ca="1" si="11"/>
        <v>0.13223644119439365</v>
      </c>
      <c r="L46" s="390">
        <f t="shared" ca="1" si="11"/>
        <v>0.26081081081081081</v>
      </c>
      <c r="M46" s="390">
        <f t="shared" ca="1" si="11"/>
        <v>-1.5089163237311385E-2</v>
      </c>
      <c r="N46" s="390">
        <f t="shared" ca="1" si="11"/>
        <v>7.0943075615972809E-2</v>
      </c>
      <c r="O46" s="390"/>
      <c r="P46" s="390"/>
      <c r="Q46" s="390"/>
      <c r="R46" s="390"/>
      <c r="S46" s="390">
        <f ca="1">IF(S45=0,"",(S45-N45)/S45)</f>
        <v>-1.1602922217447357E-2</v>
      </c>
    </row>
    <row r="47" spans="1:20" ht="14.25">
      <c r="A47" s="1020"/>
      <c r="B47" s="378" t="s">
        <v>28</v>
      </c>
      <c r="C47" s="959"/>
      <c r="D47" s="959"/>
      <c r="E47" s="370">
        <f ca="1">[1]!RCHGetTableCell("http://quicktake.morningstar.com/StockNet/balance10.aspx?Symbol="&amp;Ticker,2,"&gt;Other Current Assets")</f>
        <v>1905</v>
      </c>
      <c r="F47" s="370">
        <f ca="1">[1]!RCHGetTableCell("http://quicktake.morningstar.com/StockNet/balance10.aspx?Symbol="&amp;Ticker,5,"&gt;Other Current Assets")</f>
        <v>2300</v>
      </c>
      <c r="G47" s="387">
        <f ca="1">[1]!RCHGetTableCell("http://quicktake.morningstar.com/StockNet/balance10.aspx?Symbol="&amp;Ticker,8,"&gt;Other Current Assets")</f>
        <v>1616</v>
      </c>
      <c r="H47" s="387">
        <f ca="1">[1]!RCHGetTableCell("http://quicktake.morningstar.com/StockNet/balance10.aspx?Symbol="&amp;Ticker,11,"&gt;Other Current Assets")</f>
        <v>1571</v>
      </c>
      <c r="I47" s="387">
        <f ca="1">[1]!RCHGetTableCell("http://quicktake.morningstar.com/StockNet/balance10.aspx?Symbol="&amp;Ticker,14,"&gt;Other Current Assets")</f>
        <v>1735</v>
      </c>
      <c r="J47" s="387">
        <f ca="1">[1]!RCHGetTableCell("http://quicktake.morningstar.com/StockNet/balance10.aspx?Symbol="&amp;Ticker,17,"&gt;Other Current Assets")</f>
        <v>1778</v>
      </c>
      <c r="K47" s="387">
        <f ca="1">[1]!RCHGetTableCell("http://quicktake.morningstar.com/StockNet/balance10.aspx?Symbol="&amp;Ticker,20,"&gt;Other Current Assets")</f>
        <v>1623</v>
      </c>
      <c r="L47" s="387">
        <f ca="1">[1]!RCHGetTableCell("http://quicktake.morningstar.com/StockNet/balance10.aspx?Symbol="&amp;Ticker,23,"&gt;Other Current Assets")</f>
        <v>2260</v>
      </c>
      <c r="M47" s="387">
        <f ca="1">[1]!RCHGetTableCell("http://quicktake.morningstar.com/StockNet/balance10.aspx?Symbol="&amp;Ticker,26,"&gt;Other Current Assets")</f>
        <v>1920</v>
      </c>
      <c r="N47" s="387">
        <f ca="1">[1]!RCHGetTableCell("http://quicktake.morningstar.com/StockNet/balance10.aspx?Symbol="&amp;Ticker,29,"&gt;Other Current Assets")</f>
        <v>2226</v>
      </c>
      <c r="O47" s="387"/>
      <c r="P47" s="387"/>
      <c r="Q47" s="387"/>
      <c r="R47" s="387"/>
      <c r="S47" s="387">
        <f ca="1">[1]!RCHGetTableCell("http://quicktake.morningstar.com/StockNet/balance10.aspx?Symbol="&amp;Ticker,32,"&gt;Other Current Assets")</f>
        <v>2382</v>
      </c>
    </row>
    <row r="48" spans="1:20" ht="23.25" customHeight="1">
      <c r="A48" s="1020"/>
      <c r="B48" s="392" t="s">
        <v>29</v>
      </c>
      <c r="C48" s="964"/>
      <c r="D48" s="964"/>
      <c r="E48" s="393">
        <f ca="1">[1]!RCHGetTableCell("http://quicktake.morningstar.com/StockNet/balance10.aspx?Symbol="&amp;Ticker,2,"&gt;Total Current Assets")</f>
        <v>6620</v>
      </c>
      <c r="F48" s="393">
        <f ca="1">[1]!RCHGetTableCell("http://quicktake.morningstar.com/StockNet/balance10.aspx?Symbol="&amp;Ticker,5,"&gt;Total Current Assets")</f>
        <v>7171</v>
      </c>
      <c r="G48" s="394">
        <f ca="1">[1]!RCHGetTableCell("http://quicktake.morningstar.com/StockNet/balance10.aspx?Symbol="&amp;Ticker,8,"&gt;Total Current Assets")</f>
        <v>7352</v>
      </c>
      <c r="H48" s="394">
        <f ca="1">[1]!RCHGetTableCell("http://quicktake.morningstar.com/StockNet/balance10.aspx?Symbol="&amp;Ticker,11,"&gt;Total Current Assets")</f>
        <v>8396</v>
      </c>
      <c r="I48" s="394">
        <f ca="1">[1]!RCHGetTableCell("http://quicktake.morningstar.com/StockNet/balance10.aspx?Symbol="&amp;Ticker,14,"&gt;Total Current Assets")</f>
        <v>12094</v>
      </c>
      <c r="J48" s="394">
        <f ca="1">[1]!RCHGetTableCell("http://quicktake.morningstar.com/StockNet/balance10.aspx?Symbol="&amp;Ticker,17,"&gt;Total Current Assets")</f>
        <v>10250</v>
      </c>
      <c r="K48" s="394">
        <f ca="1">[1]!RCHGetTableCell("http://quicktake.morningstar.com/StockNet/balance10.aspx?Symbol="&amp;Ticker,20,"&gt;Total Current Assets")</f>
        <v>8441</v>
      </c>
      <c r="L48" s="394">
        <f ca="1">[1]!RCHGetTableCell("http://quicktake.morningstar.com/StockNet/balance10.aspx?Symbol="&amp;Ticker,23,"&gt;Total Current Assets")</f>
        <v>12105</v>
      </c>
      <c r="M48" s="394">
        <f ca="1">[1]!RCHGetTableCell("http://quicktake.morningstar.com/StockNet/balance10.aspx?Symbol="&amp;Ticker,26,"&gt;Total Current Assets")</f>
        <v>12176</v>
      </c>
      <c r="N48" s="394">
        <f ca="1">[1]!RCHGetTableCell("http://quicktake.morningstar.com/StockNet/balance10.aspx?Symbol="&amp;Ticker,29,"&gt;Total Current Assets")</f>
        <v>17551</v>
      </c>
      <c r="O48" s="394"/>
      <c r="P48" s="394"/>
      <c r="Q48" s="394"/>
      <c r="R48" s="394"/>
      <c r="S48" s="394">
        <f ca="1">[1]!RCHGetTableCell("http://quicktake.morningstar.com/StockNet/balance10.aspx?Symbol="&amp;Ticker,32,"&gt;Total Current Assets")</f>
        <v>17208</v>
      </c>
    </row>
    <row r="49" spans="1:19" ht="14.25">
      <c r="A49" s="1020"/>
      <c r="B49" s="378" t="s">
        <v>30</v>
      </c>
      <c r="C49" s="959"/>
      <c r="D49" s="959"/>
      <c r="E49" s="370">
        <f ca="1">[1]!RCHGetTableCell("http://quicktake.morningstar.com/StockNet/balance10.aspx?Symbol="&amp;Ticker,2,"&gt;Net PP&amp;E")</f>
        <v>4168</v>
      </c>
      <c r="F49" s="370">
        <f ca="1">[1]!RCHGetTableCell("http://quicktake.morningstar.com/StockNet/balance10.aspx?Symbol="&amp;Ticker,5,"&gt;Net PP&amp;E")</f>
        <v>4453</v>
      </c>
      <c r="G49" s="387">
        <f ca="1">[1]!RCHGetTableCell("http://quicktake.morningstar.com/StockNet/balance10.aspx?Symbol="&amp;Ticker,8,"&gt;Net PP&amp;E")</f>
        <v>5911</v>
      </c>
      <c r="H49" s="387">
        <f ca="1">[1]!RCHGetTableCell("http://quicktake.morningstar.com/StockNet/balance10.aspx?Symbol="&amp;Ticker,11,"&gt;Net PP&amp;E")</f>
        <v>6097</v>
      </c>
      <c r="I49" s="387">
        <f ca="1">[1]!RCHGetTableCell("http://quicktake.morningstar.com/StockNet/balance10.aspx?Symbol="&amp;Ticker,14,"&gt;Net PP&amp;E")</f>
        <v>6091</v>
      </c>
      <c r="J49" s="387">
        <f ca="1">[1]!RCHGetTableCell("http://quicktake.morningstar.com/StockNet/balance10.aspx?Symbol="&amp;Ticker,17,"&gt;Net PP&amp;E")</f>
        <v>5786</v>
      </c>
      <c r="K49" s="387">
        <f ca="1">[1]!RCHGetTableCell("http://quicktake.morningstar.com/StockNet/balance10.aspx?Symbol="&amp;Ticker,20,"&gt;Net PP&amp;E")</f>
        <v>6903</v>
      </c>
      <c r="L49" s="387">
        <f ca="1">[1]!RCHGetTableCell("http://quicktake.morningstar.com/StockNet/balance10.aspx?Symbol="&amp;Ticker,23,"&gt;Net PP&amp;E")</f>
        <v>8493</v>
      </c>
      <c r="M49" s="387">
        <f ca="1">[1]!RCHGetTableCell("http://quicktake.morningstar.com/StockNet/balance10.aspx?Symbol="&amp;Ticker,26,"&gt;Net PP&amp;E")</f>
        <v>8326</v>
      </c>
      <c r="N49" s="387">
        <f ca="1">[1]!RCHGetTableCell("http://quicktake.morningstar.com/StockNet/balance10.aspx?Symbol="&amp;Ticker,29,"&gt;Net PP&amp;E")</f>
        <v>9561</v>
      </c>
      <c r="O49" s="387"/>
      <c r="P49" s="387"/>
      <c r="Q49" s="387"/>
      <c r="R49" s="387"/>
      <c r="S49" s="387">
        <f ca="1">[1]!RCHGetTableCell("http://quicktake.morningstar.com/StockNet/balance10.aspx?Symbol="&amp;Ticker,32,"&gt;Net PP&amp;E")</f>
        <v>9036</v>
      </c>
    </row>
    <row r="50" spans="1:19" ht="14.25">
      <c r="A50" s="1020"/>
      <c r="B50" s="358" t="s">
        <v>31</v>
      </c>
      <c r="C50" s="943"/>
      <c r="D50" s="943"/>
      <c r="E50" s="359">
        <f ca="1">[1]!RCHGetTableCell("http://quicktake.morningstar.com/StockNet/balance10.aspx?Symbol="&amp;Ticker,2,"&gt;Intangibles")</f>
        <v>1917</v>
      </c>
      <c r="F50" s="359">
        <f ca="1">[1]!RCHGetTableCell("http://quicktake.morningstar.com/StockNet/balance10.aspx?Symbol="&amp;Ticker,5,"&gt;Intangibles")</f>
        <v>2579</v>
      </c>
      <c r="G50" s="388">
        <f ca="1">[1]!RCHGetTableCell("http://quicktake.morningstar.com/StockNet/balance10.aspx?Symbol="&amp;Ticker,8,"&gt;Intangibles")</f>
        <v>3553</v>
      </c>
      <c r="H50" s="388">
        <f ca="1">[1]!RCHGetTableCell("http://quicktake.morningstar.com/StockNet/balance10.aspx?Symbol="&amp;Ticker,11,"&gt;Intangibles")</f>
        <v>3989</v>
      </c>
      <c r="I50" s="388">
        <f ca="1">[1]!RCHGetTableCell("http://quicktake.morningstar.com/StockNet/balance10.aspx?Symbol="&amp;Ticker,14,"&gt;Intangibles")</f>
        <v>3836</v>
      </c>
      <c r="J50" s="388">
        <f ca="1">[1]!RCHGetTableCell("http://quicktake.morningstar.com/StockNet/balance10.aspx?Symbol="&amp;Ticker,17,"&gt;Intangibles")</f>
        <v>3821</v>
      </c>
      <c r="K50" s="388">
        <f ca="1">[1]!RCHGetTableCell("http://quicktake.morningstar.com/StockNet/balance10.aspx?Symbol="&amp;Ticker,20,"&gt;Intangibles")</f>
        <v>5135</v>
      </c>
      <c r="L50" s="388">
        <f ca="1">[1]!RCHGetTableCell("http://quicktake.morningstar.com/StockNet/balance10.aspx?Symbol="&amp;Ticker,23,"&gt;Intangibles")</f>
        <v>12219</v>
      </c>
      <c r="M50" s="388">
        <f ca="1">[1]!RCHGetTableCell("http://quicktake.morningstar.com/StockNet/balance10.aspx?Symbol="&amp;Ticker,26,"&gt;Intangibles")</f>
        <v>12505</v>
      </c>
      <c r="N50" s="388">
        <f ca="1">[1]!RCHGetTableCell("http://quicktake.morningstar.com/StockNet/balance10.aspx?Symbol="&amp;Ticker,29,"&gt;Intangibles")</f>
        <v>12828</v>
      </c>
      <c r="O50" s="388"/>
      <c r="P50" s="388"/>
      <c r="Q50" s="388"/>
      <c r="R50" s="388"/>
      <c r="S50" s="388">
        <f ca="1">[1]!RCHGetTableCell("http://quicktake.morningstar.com/StockNet/balance10.aspx?Symbol="&amp;Ticker,32,"&gt;Intangibles")</f>
        <v>12315</v>
      </c>
    </row>
    <row r="51" spans="1:19" ht="15.75" customHeight="1">
      <c r="A51" s="1020"/>
      <c r="B51" s="376" t="s">
        <v>32</v>
      </c>
      <c r="C51" s="965"/>
      <c r="D51" s="965"/>
      <c r="E51" s="377">
        <f ca="1">[1]!RCHGetTableCell("http://quicktake.morningstar.com/StockNet/balance10.aspx?Symbol="&amp;Ticker,2,"&gt;Other Long-Term Assets")</f>
        <v>8129</v>
      </c>
      <c r="F51" s="377">
        <f ca="1">[1]!RCHGetTableCell("http://quicktake.morningstar.com/StockNet/balance10.aspx?Symbol="&amp;Ticker,5,"&gt;Other Long-Term Assets")</f>
        <v>8214</v>
      </c>
      <c r="G51" s="395">
        <f ca="1">[1]!RCHGetTableCell("http://quicktake.morningstar.com/StockNet/balance10.aspx?Symbol="&amp;Ticker,8,"&gt;Other Long-Term Assets")</f>
        <v>7685</v>
      </c>
      <c r="H51" s="395">
        <f ca="1">[1]!RCHGetTableCell("http://quicktake.morningstar.com/StockNet/balance10.aspx?Symbol="&amp;Ticker,11,"&gt;Other Long-Term Assets")</f>
        <v>8860</v>
      </c>
      <c r="I51" s="395">
        <f ca="1">[1]!RCHGetTableCell("http://quicktake.morningstar.com/StockNet/balance10.aspx?Symbol="&amp;Ticker,14,"&gt;Other Long-Term Assets")</f>
        <v>9306</v>
      </c>
      <c r="J51" s="395">
        <f ca="1">[1]!RCHGetTableCell("http://quicktake.morningstar.com/StockNet/balance10.aspx?Symbol="&amp;Ticker,17,"&gt;Other Long-Term Assets")</f>
        <v>9570</v>
      </c>
      <c r="K51" s="395">
        <f ca="1">[1]!RCHGetTableCell("http://quicktake.morningstar.com/StockNet/balance10.aspx?Symbol="&amp;Ticker,20,"&gt;Other Long-Term Assets")</f>
        <v>9484</v>
      </c>
      <c r="L51" s="395">
        <f ca="1">[1]!RCHGetTableCell("http://quicktake.morningstar.com/StockNet/balance10.aspx?Symbol="&amp;Ticker,23,"&gt;Other Long-Term Assets")</f>
        <v>10452</v>
      </c>
      <c r="M51" s="395">
        <f ca="1">[1]!RCHGetTableCell("http://quicktake.morningstar.com/StockNet/balance10.aspx?Symbol="&amp;Ticker,26,"&gt;Other Long-Term Assets")</f>
        <v>7512</v>
      </c>
      <c r="N51" s="395">
        <f ca="1">[1]!RCHGetTableCell("http://quicktake.morningstar.com/StockNet/balance10.aspx?Symbol="&amp;Ticker,29,"&gt;Other Long-Term Assets")</f>
        <v>8731</v>
      </c>
      <c r="O51" s="395"/>
      <c r="P51" s="395"/>
      <c r="Q51" s="395"/>
      <c r="R51" s="395"/>
      <c r="S51" s="395">
        <f ca="1">[1]!RCHGetTableCell("http://quicktake.morningstar.com/StockNet/balance10.aspx?Symbol="&amp;Ticker,32,"&gt;Other Long-Term Assets")</f>
        <v>8844</v>
      </c>
    </row>
    <row r="52" spans="1:19" ht="25.5" customHeight="1" thickBot="1">
      <c r="A52" s="1020"/>
      <c r="B52" s="396" t="s">
        <v>33</v>
      </c>
      <c r="C52" s="966"/>
      <c r="D52" s="966"/>
      <c r="E52" s="397">
        <f ca="1">[1]!RCHGetTableCell("http://quicktake.morningstar.com/StockNet/balance10.aspx?Symbol="&amp;Ticker,2,"&gt;Total Assets")</f>
        <v>20834</v>
      </c>
      <c r="F52" s="397">
        <f ca="1">[1]!RCHGetTableCell("http://quicktake.morningstar.com/StockNet/balance10.aspx?Symbol="&amp;Ticker,5,"&gt;Total Assets")</f>
        <v>22417</v>
      </c>
      <c r="G52" s="398">
        <f ca="1">[1]!RCHGetTableCell("http://quicktake.morningstar.com/StockNet/balance10.aspx?Symbol="&amp;Ticker,8,"&gt;Total Assets")</f>
        <v>24501</v>
      </c>
      <c r="H52" s="398">
        <f ca="1">[1]!RCHGetTableCell("http://quicktake.morningstar.com/StockNet/balance10.aspx?Symbol="&amp;Ticker,11,"&gt;Total Assets")</f>
        <v>27342</v>
      </c>
      <c r="I52" s="398">
        <f ca="1">[1]!RCHGetTableCell("http://quicktake.morningstar.com/StockNet/balance10.aspx?Symbol="&amp;Ticker,14,"&gt;Total Assets")</f>
        <v>31327</v>
      </c>
      <c r="J52" s="398">
        <f ca="1">[1]!RCHGetTableCell("http://quicktake.morningstar.com/StockNet/balance10.aspx?Symbol="&amp;Ticker,17,"&gt;Total Assets")</f>
        <v>29427</v>
      </c>
      <c r="K52" s="398">
        <f ca="1">[1]!RCHGetTableCell("http://quicktake.morningstar.com/StockNet/balance10.aspx?Symbol="&amp;Ticker,20,"&gt;Total Assets")</f>
        <v>29963</v>
      </c>
      <c r="L52" s="398">
        <f ca="1">[1]!RCHGetTableCell("http://quicktake.morningstar.com/StockNet/balance10.aspx?Symbol="&amp;Ticker,23,"&gt;Total Assets")</f>
        <v>43269</v>
      </c>
      <c r="M52" s="398">
        <f ca="1">[1]!RCHGetTableCell("http://quicktake.morningstar.com/StockNet/balance10.aspx?Symbol="&amp;Ticker,26,"&gt;Total Assets")</f>
        <v>40519</v>
      </c>
      <c r="N52" s="398">
        <f ca="1">[1]!RCHGetTableCell("http://quicktake.morningstar.com/StockNet/balance10.aspx?Symbol="&amp;Ticker,29,"&gt;Total Assets")</f>
        <v>48671</v>
      </c>
      <c r="O52" s="398"/>
      <c r="P52" s="398"/>
      <c r="Q52" s="398"/>
      <c r="R52" s="398"/>
      <c r="S52" s="398">
        <f ca="1">[1]!RCHGetTableCell("http://quicktake.morningstar.com/StockNet/balance10.aspx?Symbol="&amp;Ticker,32,"&gt;Total Assets")</f>
        <v>47403</v>
      </c>
    </row>
    <row r="53" spans="1:19" ht="36.75" customHeight="1" thickTop="1">
      <c r="A53" s="375"/>
      <c r="B53" s="374" t="s">
        <v>77</v>
      </c>
      <c r="C53" s="951"/>
      <c r="D53" s="951"/>
      <c r="E53" s="399"/>
      <c r="F53" s="399"/>
      <c r="G53" s="399"/>
      <c r="H53" s="399"/>
      <c r="I53" s="399"/>
      <c r="J53" s="399"/>
      <c r="K53" s="399"/>
      <c r="L53" s="399"/>
      <c r="M53" s="399"/>
      <c r="N53" s="399"/>
      <c r="O53" s="399"/>
      <c r="P53" s="399"/>
      <c r="Q53" s="399"/>
      <c r="R53" s="399"/>
      <c r="S53" s="921"/>
    </row>
    <row r="54" spans="1:19" ht="14.25">
      <c r="A54" s="1020"/>
      <c r="B54" s="378" t="s">
        <v>34</v>
      </c>
      <c r="C54" s="959"/>
      <c r="D54" s="959"/>
      <c r="E54" s="370">
        <f ca="1">[1]!RCHGetTableCell("http://quicktake.morningstar.com/StockNet/balance10.aspx?Symbol="&amp;Ticker,2,"&gt;Accts Payable")</f>
        <v>3905</v>
      </c>
      <c r="F54" s="370">
        <f ca="1">[1]!RCHGetTableCell("http://quicktake.morningstar.com/StockNet/balance10.aspx?Symbol="&amp;Ticker,5,"&gt;Accts Payable")</f>
        <v>3679</v>
      </c>
      <c r="G54" s="370">
        <f ca="1">[1]!RCHGetTableCell("http://quicktake.morningstar.com/StockNet/balance10.aspx?Symbol="&amp;Ticker,8,"&gt;Accts Payable")</f>
        <v>3692</v>
      </c>
      <c r="H54" s="370">
        <f ca="1">[1]!RCHGetTableCell("http://quicktake.morningstar.com/StockNet/balance10.aspx?Symbol="&amp;Ticker,11,"&gt;Accts Payable")</f>
        <v>4058</v>
      </c>
      <c r="I54" s="370">
        <f ca="1">[1]!RCHGetTableCell("http://quicktake.morningstar.com/StockNet/balance10.aspx?Symbol="&amp;Ticker,14,"&gt;Accts Payable")</f>
        <v>4283</v>
      </c>
      <c r="J54" s="370">
        <f ca="1">[1]!RCHGetTableCell("http://quicktake.morningstar.com/StockNet/balance10.aspx?Symbol="&amp;Ticker,17,"&gt;Accts Payable")</f>
        <v>4493</v>
      </c>
      <c r="K54" s="370">
        <f ca="1">[1]!RCHGetTableCell("http://quicktake.morningstar.com/StockNet/balance10.aspx?Symbol="&amp;Ticker,20,"&gt;Accts Payable")</f>
        <v>929</v>
      </c>
      <c r="L54" s="370">
        <f ca="1">[1]!RCHGetTableCell("http://quicktake.morningstar.com/StockNet/balance10.aspx?Symbol="&amp;Ticker,23,"&gt;Accts Payable")</f>
        <v>1380</v>
      </c>
      <c r="M54" s="370">
        <f ca="1">[1]!RCHGetTableCell("http://quicktake.morningstar.com/StockNet/balance10.aspx?Symbol="&amp;Ticker,26,"&gt;Accts Payable")</f>
        <v>1370</v>
      </c>
      <c r="N54" s="370">
        <f ca="1">[1]!RCHGetTableCell("http://quicktake.morningstar.com/StockNet/balance10.aspx?Symbol="&amp;Ticker,29,"&gt;Accts Payable")</f>
        <v>0</v>
      </c>
      <c r="O54" s="370"/>
      <c r="P54" s="370"/>
      <c r="Q54" s="370"/>
      <c r="R54" s="370"/>
      <c r="S54" s="370">
        <f ca="1">[1]!RCHGetTableCell("http://quicktake.morningstar.com/StockNet/balance10.aspx?Symbol="&amp;Ticker,32,"&gt;Accts Payable")</f>
        <v>0</v>
      </c>
    </row>
    <row r="55" spans="1:19" ht="14.25">
      <c r="A55" s="1020"/>
      <c r="B55" s="358" t="s">
        <v>35</v>
      </c>
      <c r="C55" s="943"/>
      <c r="D55" s="943"/>
      <c r="E55" s="359">
        <f ca="1">[1]!RCHGetTableCell("http://quicktake.morningstar.com/StockNet/balance10.aspx?Symbol="&amp;Ticker,2,"&gt;Short-Term Debt")</f>
        <v>4816</v>
      </c>
      <c r="F55" s="359">
        <f ca="1">[1]!RCHGetTableCell("http://quicktake.morningstar.com/StockNet/balance10.aspx?Symbol="&amp;Ticker,5,"&gt;Short-Term Debt")</f>
        <v>3899</v>
      </c>
      <c r="G55" s="359">
        <f ca="1">[1]!RCHGetTableCell("http://quicktake.morningstar.com/StockNet/balance10.aspx?Symbol="&amp;Ticker,8,"&gt;Short-Term Debt")</f>
        <v>2655</v>
      </c>
      <c r="H55" s="359">
        <f ca="1">[1]!RCHGetTableCell("http://quicktake.morningstar.com/StockNet/balance10.aspx?Symbol="&amp;Ticker,11,"&gt;Short-Term Debt")</f>
        <v>2906</v>
      </c>
      <c r="I55" s="359">
        <f ca="1">[1]!RCHGetTableCell("http://quicktake.morningstar.com/StockNet/balance10.aspx?Symbol="&amp;Ticker,14,"&gt;Short-Term Debt")</f>
        <v>6021</v>
      </c>
      <c r="J55" s="359">
        <f ca="1">[1]!RCHGetTableCell("http://quicktake.morningstar.com/StockNet/balance10.aspx?Symbol="&amp;Ticker,17,"&gt;Short-Term Debt")</f>
        <v>4546</v>
      </c>
      <c r="K55" s="359">
        <f ca="1">[1]!RCHGetTableCell("http://quicktake.morningstar.com/StockNet/balance10.aspx?Symbol="&amp;Ticker,20,"&gt;Short-Term Debt")</f>
        <v>3268</v>
      </c>
      <c r="L55" s="359">
        <f ca="1">[1]!RCHGetTableCell("http://quicktake.morningstar.com/StockNet/balance10.aspx?Symbol="&amp;Ticker,23,"&gt;Short-Term Debt")</f>
        <v>6052</v>
      </c>
      <c r="M55" s="359">
        <f ca="1">[1]!RCHGetTableCell("http://quicktake.morningstar.com/StockNet/balance10.aspx?Symbol="&amp;Ticker,26,"&gt;Short-Term Debt")</f>
        <v>6531</v>
      </c>
      <c r="N55" s="359">
        <f ca="1">[1]!RCHGetTableCell("http://quicktake.morningstar.com/StockNet/balance10.aspx?Symbol="&amp;Ticker,29,"&gt;Short-Term Debt")</f>
        <v>6800</v>
      </c>
      <c r="O55" s="359"/>
      <c r="P55" s="359"/>
      <c r="Q55" s="359"/>
      <c r="R55" s="359"/>
      <c r="S55" s="359">
        <f ca="1">[1]!RCHGetTableCell("http://quicktake.morningstar.com/StockNet/balance10.aspx?Symbol="&amp;Ticker,32,"&gt;Short-Term Debt")</f>
        <v>7216</v>
      </c>
    </row>
    <row r="56" spans="1:19" ht="14.25">
      <c r="A56" s="1020"/>
      <c r="B56" s="378" t="s">
        <v>36</v>
      </c>
      <c r="C56" s="959"/>
      <c r="D56" s="959"/>
      <c r="E56" s="370">
        <f ca="1">[1]!RCHGetTableCell("http://quicktake.morningstar.com/StockNet/balance10.aspx?Symbol="&amp;Ticker,2,"&gt;Taxes Payable")</f>
        <v>0</v>
      </c>
      <c r="F56" s="370">
        <f ca="1">[1]!RCHGetTableCell("http://quicktake.morningstar.com/StockNet/balance10.aspx?Symbol="&amp;Ticker,5,"&gt;Taxes Payable")</f>
        <v>0</v>
      </c>
      <c r="G56" s="370">
        <f ca="1">[1]!RCHGetTableCell("http://quicktake.morningstar.com/StockNet/balance10.aspx?Symbol="&amp;Ticker,8,"&gt;Taxes Payable")</f>
        <v>0</v>
      </c>
      <c r="H56" s="370">
        <f ca="1">[1]!RCHGetTableCell("http://quicktake.morningstar.com/StockNet/balance10.aspx?Symbol="&amp;Ticker,11,"&gt;Taxes Payable")</f>
        <v>0</v>
      </c>
      <c r="I56" s="370">
        <f ca="1">[1]!RCHGetTableCell("http://quicktake.morningstar.com/StockNet/balance10.aspx?Symbol="&amp;Ticker,14,"&gt;Taxes Payable")</f>
        <v>0</v>
      </c>
      <c r="J56" s="370">
        <f ca="1">[1]!RCHGetTableCell("http://quicktake.morningstar.com/StockNet/balance10.aspx?Symbol="&amp;Ticker,17,"&gt;Taxes Payable")</f>
        <v>0</v>
      </c>
      <c r="K56" s="370">
        <f ca="1">[1]!RCHGetTableCell("http://quicktake.morningstar.com/StockNet/balance10.aspx?Symbol="&amp;Ticker,20,"&gt;Taxes Payable")</f>
        <v>0</v>
      </c>
      <c r="L56" s="370">
        <f ca="1">[1]!RCHGetTableCell("http://quicktake.morningstar.com/StockNet/balance10.aspx?Symbol="&amp;Ticker,23,"&gt;Taxes Payable")</f>
        <v>0</v>
      </c>
      <c r="M56" s="370">
        <f ca="1">[1]!RCHGetTableCell("http://quicktake.morningstar.com/StockNet/balance10.aspx?Symbol="&amp;Ticker,26,"&gt;Taxes Payable")</f>
        <v>252</v>
      </c>
      <c r="N56" s="370">
        <f ca="1">[1]!RCHGetTableCell("http://quicktake.morningstar.com/StockNet/balance10.aspx?Symbol="&amp;Ticker,29,"&gt;Taxes Payable")</f>
        <v>264</v>
      </c>
      <c r="O56" s="370"/>
      <c r="P56" s="370"/>
      <c r="Q56" s="370"/>
      <c r="R56" s="370"/>
      <c r="S56" s="370">
        <f ca="1">[1]!RCHGetTableCell("http://quicktake.morningstar.com/StockNet/balance10.aspx?Symbol="&amp;Ticker,32,"&gt;Taxes Payable")</f>
        <v>404</v>
      </c>
    </row>
    <row r="57" spans="1:19" ht="14.25">
      <c r="A57" s="1020"/>
      <c r="B57" s="358" t="s">
        <v>37</v>
      </c>
      <c r="C57" s="943"/>
      <c r="D57" s="943"/>
      <c r="E57" s="359">
        <f ca="1">[1]!RCHGetTableCell("http://quicktake.morningstar.com/StockNet/balance10.aspx?Symbol="&amp;Ticker,2,"&gt;Accrued Liabilities")</f>
        <v>0</v>
      </c>
      <c r="F57" s="359">
        <f ca="1">[1]!RCHGetTableCell("http://quicktake.morningstar.com/StockNet/balance10.aspx?Symbol="&amp;Ticker,5,"&gt;Accrued Liabilities")</f>
        <v>851</v>
      </c>
      <c r="G57" s="359">
        <f ca="1">[1]!RCHGetTableCell("http://quicktake.morningstar.com/StockNet/balance10.aspx?Symbol="&amp;Ticker,8,"&gt;Accrued Liabilities")</f>
        <v>994</v>
      </c>
      <c r="H57" s="359">
        <f ca="1">[1]!RCHGetTableCell("http://quicktake.morningstar.com/StockNet/balance10.aspx?Symbol="&amp;Ticker,11,"&gt;Accrued Liabilities")</f>
        <v>922</v>
      </c>
      <c r="I57" s="359">
        <f ca="1">[1]!RCHGetTableCell("http://quicktake.morningstar.com/StockNet/balance10.aspx?Symbol="&amp;Ticker,14,"&gt;Accrued Liabilities")</f>
        <v>667</v>
      </c>
      <c r="J57" s="359">
        <f ca="1">[1]!RCHGetTableCell("http://quicktake.morningstar.com/StockNet/balance10.aspx?Symbol="&amp;Ticker,17,"&gt;Accrued Liabilities")</f>
        <v>797</v>
      </c>
      <c r="K57" s="359">
        <f ca="1">[1]!RCHGetTableCell("http://quicktake.morningstar.com/StockNet/balance10.aspx?Symbol="&amp;Ticker,20,"&gt;Accrued Liabilities")</f>
        <v>4693</v>
      </c>
      <c r="L57" s="359">
        <f ca="1">[1]!RCHGetTableCell("http://quicktake.morningstar.com/StockNet/balance10.aspx?Symbol="&amp;Ticker,23,"&gt;Accrued Liabilities")</f>
        <v>5793</v>
      </c>
      <c r="M57" s="359">
        <f ca="1">[1]!RCHGetTableCell("http://quicktake.morningstar.com/StockNet/balance10.aspx?Symbol="&amp;Ticker,26,"&gt;Accrued Liabilities")</f>
        <v>4835</v>
      </c>
      <c r="N57" s="359">
        <f ca="1">[1]!RCHGetTableCell("http://quicktake.morningstar.com/StockNet/balance10.aspx?Symbol="&amp;Ticker,29,"&gt;Accrued Liabilities")</f>
        <v>0</v>
      </c>
      <c r="O57" s="359"/>
      <c r="P57" s="359"/>
      <c r="Q57" s="359"/>
      <c r="R57" s="359"/>
      <c r="S57" s="359">
        <f ca="1">[1]!RCHGetTableCell("http://quicktake.morningstar.com/StockNet/balance10.aspx?Symbol="&amp;Ticker,32,"&gt;Accrued Liabilities")</f>
        <v>0</v>
      </c>
    </row>
    <row r="58" spans="1:19" ht="14.25">
      <c r="A58" s="1020"/>
      <c r="B58" s="376" t="s">
        <v>38</v>
      </c>
      <c r="C58" s="965"/>
      <c r="D58" s="965"/>
      <c r="E58" s="377">
        <f ca="1">[1]!RCHGetTableCell("http://quicktake.morningstar.com/StockNet/balance10.aspx?Symbol="&amp;Ticker,2,"&gt;Other Short-Term Liabilities")</f>
        <v>600</v>
      </c>
      <c r="F58" s="377">
        <f ca="1">[1]!RCHGetTableCell("http://quicktake.morningstar.com/StockNet/balance10.aspx?Symbol="&amp;Ticker,5,"&gt;Other Short-Term Liabilities")</f>
        <v>0</v>
      </c>
      <c r="G58" s="377">
        <f ca="1">[1]!RCHGetTableCell("http://quicktake.morningstar.com/StockNet/balance10.aspx?Symbol="&amp;Ticker,8,"&gt;Other Short-Term Liabilities")</f>
        <v>0</v>
      </c>
      <c r="H58" s="377">
        <f ca="1">[1]!RCHGetTableCell("http://quicktake.morningstar.com/StockNet/balance10.aspx?Symbol="&amp;Ticker,11,"&gt;Other Short-Term Liabilities")</f>
        <v>0</v>
      </c>
      <c r="I58" s="377">
        <f ca="1">[1]!RCHGetTableCell("http://quicktake.morningstar.com/StockNet/balance10.aspx?Symbol="&amp;Ticker,14,"&gt;Other Short-Term Liabilities")</f>
        <v>0</v>
      </c>
      <c r="J58" s="377">
        <f ca="1">[1]!RCHGetTableCell("http://quicktake.morningstar.com/StockNet/balance10.aspx?Symbol="&amp;Ticker,17,"&gt;Other Short-Term Liabilities")</f>
        <v>0</v>
      </c>
      <c r="K58" s="377">
        <f ca="1">[1]!RCHGetTableCell("http://quicktake.morningstar.com/StockNet/balance10.aspx?Symbol="&amp;Ticker,20,"&gt;Other Short-Term Liabilities")</f>
        <v>0</v>
      </c>
      <c r="L58" s="377">
        <f ca="1">[1]!RCHGetTableCell("http://quicktake.morningstar.com/StockNet/balance10.aspx?Symbol="&amp;Ticker,23,"&gt;Other Short-Term Liabilities")</f>
        <v>0</v>
      </c>
      <c r="M58" s="377">
        <f ca="1">[1]!RCHGetTableCell("http://quicktake.morningstar.com/StockNet/balance10.aspx?Symbol="&amp;Ticker,26,"&gt;Other Short-Term Liabilities")</f>
        <v>0</v>
      </c>
      <c r="N58" s="377">
        <f ca="1">[1]!RCHGetTableCell("http://quicktake.morningstar.com/StockNet/balance10.aspx?Symbol="&amp;Ticker,29,"&gt;Other Short-Term Liabilities")</f>
        <v>6657</v>
      </c>
      <c r="O58" s="377"/>
      <c r="P58" s="377"/>
      <c r="Q58" s="377"/>
      <c r="R58" s="377"/>
      <c r="S58" s="377">
        <f ca="1">[1]!RCHGetTableCell("http://quicktake.morningstar.com/StockNet/balance10.aspx?Symbol="&amp;Ticker,32,"&gt;Other Short-Term Liabilities")</f>
        <v>5963</v>
      </c>
    </row>
    <row r="59" spans="1:19" ht="35.25" customHeight="1">
      <c r="A59" s="1020"/>
      <c r="B59" s="362" t="s">
        <v>39</v>
      </c>
      <c r="C59" s="947"/>
      <c r="D59" s="947"/>
      <c r="E59" s="363">
        <f ca="1">[1]!RCHGetTableCell("http://quicktake.morningstar.com/StockNet/balance10.aspx?Symbol="&amp;Ticker,2,"&gt;Total Current Liabilities")</f>
        <v>9321</v>
      </c>
      <c r="F59" s="363">
        <f ca="1">[1]!RCHGetTableCell("http://quicktake.morningstar.com/StockNet/balance10.aspx?Symbol="&amp;Ticker,5,"&gt;Total Current Liabilities")</f>
        <v>8429</v>
      </c>
      <c r="G59" s="363">
        <f ca="1">[1]!RCHGetTableCell("http://quicktake.morningstar.com/StockNet/balance10.aspx?Symbol="&amp;Ticker,8,"&gt;Total Current Liabilities")</f>
        <v>7341</v>
      </c>
      <c r="H59" s="363">
        <f ca="1">[1]!RCHGetTableCell("http://quicktake.morningstar.com/StockNet/balance10.aspx?Symbol="&amp;Ticker,11,"&gt;Total Current Liabilities")</f>
        <v>7886</v>
      </c>
      <c r="I59" s="363">
        <f ca="1">[1]!RCHGetTableCell("http://quicktake.morningstar.com/StockNet/balance10.aspx?Symbol="&amp;Ticker,14,"&gt;Total Current Liabilities")</f>
        <v>10971</v>
      </c>
      <c r="J59" s="363">
        <f ca="1">[1]!RCHGetTableCell("http://quicktake.morningstar.com/StockNet/balance10.aspx?Symbol="&amp;Ticker,17,"&gt;Total Current Liabilities")</f>
        <v>9836</v>
      </c>
      <c r="K59" s="363">
        <f ca="1">[1]!RCHGetTableCell("http://quicktake.morningstar.com/StockNet/balance10.aspx?Symbol="&amp;Ticker,20,"&gt;Total Current Liabilities")</f>
        <v>8890</v>
      </c>
      <c r="L59" s="363">
        <f ca="1">[1]!RCHGetTableCell("http://quicktake.morningstar.com/StockNet/balance10.aspx?Symbol="&amp;Ticker,23,"&gt;Total Current Liabilities")</f>
        <v>13225</v>
      </c>
      <c r="M59" s="363">
        <f ca="1">[1]!RCHGetTableCell("http://quicktake.morningstar.com/StockNet/balance10.aspx?Symbol="&amp;Ticker,26,"&gt;Total Current Liabilities")</f>
        <v>12988</v>
      </c>
      <c r="N59" s="363">
        <f ca="1">[1]!RCHGetTableCell("http://quicktake.morningstar.com/StockNet/balance10.aspx?Symbol="&amp;Ticker,29,"&gt;Total Current Liabilities")</f>
        <v>13721</v>
      </c>
      <c r="O59" s="363"/>
      <c r="P59" s="363"/>
      <c r="Q59" s="363"/>
      <c r="R59" s="363"/>
      <c r="S59" s="363">
        <f ca="1">[1]!RCHGetTableCell("http://quicktake.morningstar.com/StockNet/balance10.aspx?Symbol="&amp;Ticker,32,"&gt;Total Current Liabilities")</f>
        <v>13583</v>
      </c>
    </row>
    <row r="60" spans="1:19" ht="14.25">
      <c r="A60" s="1020"/>
      <c r="B60" s="378" t="s">
        <v>40</v>
      </c>
      <c r="C60" s="959"/>
      <c r="D60" s="959"/>
      <c r="E60" s="370">
        <f ca="1">[1]!RCHGetTableCell("http://quicktake.morningstar.com/StockNet/balance10.aspx?Symbol="&amp;Ticker,2,"&gt;Long-Term Debt")</f>
        <v>835</v>
      </c>
      <c r="F60" s="370">
        <f ca="1">[1]!RCHGetTableCell("http://quicktake.morningstar.com/StockNet/balance10.aspx?Symbol="&amp;Ticker,5,"&gt;Long-Term Debt")</f>
        <v>1219</v>
      </c>
      <c r="G60" s="370">
        <f ca="1">[1]!RCHGetTableCell("http://quicktake.morningstar.com/StockNet/balance10.aspx?Symbol="&amp;Ticker,8,"&gt;Long-Term Debt")</f>
        <v>2701</v>
      </c>
      <c r="H60" s="370">
        <f ca="1">[1]!RCHGetTableCell("http://quicktake.morningstar.com/StockNet/balance10.aspx?Symbol="&amp;Ticker,11,"&gt;Long-Term Debt")</f>
        <v>2517</v>
      </c>
      <c r="I60" s="370">
        <f ca="1">[1]!RCHGetTableCell("http://quicktake.morningstar.com/StockNet/balance10.aspx?Symbol="&amp;Ticker,14,"&gt;Long-Term Debt")</f>
        <v>1157</v>
      </c>
      <c r="J60" s="370">
        <f ca="1">[1]!RCHGetTableCell("http://quicktake.morningstar.com/StockNet/balance10.aspx?Symbol="&amp;Ticker,17,"&gt;Long-Term Debt")</f>
        <v>1154</v>
      </c>
      <c r="K60" s="370">
        <f ca="1">[1]!RCHGetTableCell("http://quicktake.morningstar.com/StockNet/balance10.aspx?Symbol="&amp;Ticker,20,"&gt;Long-Term Debt")</f>
        <v>1314</v>
      </c>
      <c r="L60" s="370">
        <f ca="1">[1]!RCHGetTableCell("http://quicktake.morningstar.com/StockNet/balance10.aspx?Symbol="&amp;Ticker,23,"&gt;Long-Term Debt")</f>
        <v>3277</v>
      </c>
      <c r="M60" s="370">
        <f ca="1">[1]!RCHGetTableCell("http://quicktake.morningstar.com/StockNet/balance10.aspx?Symbol="&amp;Ticker,26,"&gt;Long-Term Debt")</f>
        <v>2781</v>
      </c>
      <c r="N60" s="370">
        <f ca="1">[1]!RCHGetTableCell("http://quicktake.morningstar.com/StockNet/balance10.aspx?Symbol="&amp;Ticker,29,"&gt;Long-Term Debt")</f>
        <v>5059</v>
      </c>
      <c r="O60" s="370"/>
      <c r="P60" s="370"/>
      <c r="Q60" s="370"/>
      <c r="R60" s="370"/>
      <c r="S60" s="370">
        <f ca="1">[1]!RCHGetTableCell("http://quicktake.morningstar.com/StockNet/balance10.aspx?Symbol="&amp;Ticker,32,"&gt;Long-Term Debt")</f>
        <v>4419</v>
      </c>
    </row>
    <row r="61" spans="1:19" ht="14.25">
      <c r="A61" s="1020"/>
      <c r="B61" s="380" t="s">
        <v>41</v>
      </c>
      <c r="C61" s="967"/>
      <c r="D61" s="967"/>
      <c r="E61" s="381">
        <f ca="1">[1]!RCHGetTableCell("http://quicktake.morningstar.com/StockNet/balance10.aspx?Symbol="&amp;Ticker,2,"&gt;Other Long-Term Liabilities")</f>
        <v>1362</v>
      </c>
      <c r="F61" s="381">
        <f ca="1">[1]!RCHGetTableCell("http://quicktake.morningstar.com/StockNet/balance10.aspx?Symbol="&amp;Ticker,5,"&gt;Other Long-Term Liabilities")</f>
        <v>1403</v>
      </c>
      <c r="G61" s="381">
        <f ca="1">[1]!RCHGetTableCell("http://quicktake.morningstar.com/StockNet/balance10.aspx?Symbol="&amp;Ticker,8,"&gt;Other Long-Term Liabilities")</f>
        <v>2659</v>
      </c>
      <c r="H61" s="381">
        <f ca="1">[1]!RCHGetTableCell("http://quicktake.morningstar.com/StockNet/balance10.aspx?Symbol="&amp;Ticker,11,"&gt;Other Long-Term Liabilities")</f>
        <v>2849</v>
      </c>
      <c r="I61" s="381">
        <f ca="1">[1]!RCHGetTableCell("http://quicktake.morningstar.com/StockNet/balance10.aspx?Symbol="&amp;Ticker,14,"&gt;Other Long-Term Liabilities")</f>
        <v>3264</v>
      </c>
      <c r="J61" s="381">
        <f ca="1">[1]!RCHGetTableCell("http://quicktake.morningstar.com/StockNet/balance10.aspx?Symbol="&amp;Ticker,17,"&gt;Other Long-Term Liabilities")</f>
        <v>2082</v>
      </c>
      <c r="K61" s="381">
        <f ca="1">[1]!RCHGetTableCell("http://quicktake.morningstar.com/StockNet/balance10.aspx?Symbol="&amp;Ticker,20,"&gt;Other Long-Term Liabilities")</f>
        <v>2839</v>
      </c>
      <c r="L61" s="381">
        <f ca="1">[1]!RCHGetTableCell("http://quicktake.morningstar.com/StockNet/balance10.aspx?Symbol="&amp;Ticker,23,"&gt;Other Long-Term Liabilities")</f>
        <v>5023</v>
      </c>
      <c r="M61" s="381">
        <f ca="1">[1]!RCHGetTableCell("http://quicktake.morningstar.com/StockNet/balance10.aspx?Symbol="&amp;Ticker,26,"&gt;Other Long-Term Liabilities")</f>
        <v>4278</v>
      </c>
      <c r="N61" s="381">
        <f ca="1">[1]!RCHGetTableCell("http://quicktake.morningstar.com/StockNet/balance10.aspx?Symbol="&amp;Ticker,29,"&gt;Other Long-Term Liabilities")</f>
        <v>5092</v>
      </c>
      <c r="O61" s="381"/>
      <c r="P61" s="381"/>
      <c r="Q61" s="381"/>
      <c r="R61" s="381"/>
      <c r="S61" s="381">
        <f ca="1">[1]!RCHGetTableCell("http://quicktake.morningstar.com/StockNet/balance10.aspx?Symbol="&amp;Ticker,32,"&gt;Other Long-Term Liabilities")</f>
        <v>4529</v>
      </c>
    </row>
    <row r="62" spans="1:19" ht="23.25" customHeight="1">
      <c r="A62" s="1020"/>
      <c r="B62" s="354" t="s">
        <v>1</v>
      </c>
      <c r="C62" s="939"/>
      <c r="D62" s="939"/>
      <c r="E62" s="355">
        <f ca="1">[1]!RCHGetTableCell("http://quicktake.morningstar.com/StockNet/balance10.aspx?Symbol="&amp;Ticker,2,"&gt;Total Liabilities")</f>
        <v>11518</v>
      </c>
      <c r="F62" s="355">
        <f ca="1">[1]!RCHGetTableCell("http://quicktake.morningstar.com/StockNet/balance10.aspx?Symbol="&amp;Ticker,5,"&gt;Total Liabilities")</f>
        <v>11051</v>
      </c>
      <c r="G62" s="355">
        <f ca="1">[1]!RCHGetTableCell("http://quicktake.morningstar.com/StockNet/balance10.aspx?Symbol="&amp;Ticker,8,"&gt;Total Liabilities")</f>
        <v>12701</v>
      </c>
      <c r="H62" s="355">
        <f ca="1">[1]!RCHGetTableCell("http://quicktake.morningstar.com/StockNet/balance10.aspx?Symbol="&amp;Ticker,11,"&gt;Total Liabilities")</f>
        <v>13252</v>
      </c>
      <c r="I62" s="355">
        <f ca="1">[1]!RCHGetTableCell("http://quicktake.morningstar.com/StockNet/balance10.aspx?Symbol="&amp;Ticker,14,"&gt;Total Liabilities")</f>
        <v>15392</v>
      </c>
      <c r="J62" s="355">
        <f ca="1">[1]!RCHGetTableCell("http://quicktake.morningstar.com/StockNet/balance10.aspx?Symbol="&amp;Ticker,17,"&gt;Total Liabilities")</f>
        <v>13072</v>
      </c>
      <c r="K62" s="355">
        <f ca="1">[1]!RCHGetTableCell("http://quicktake.morningstar.com/StockNet/balance10.aspx?Symbol="&amp;Ticker,20,"&gt;Total Liabilities")</f>
        <v>13043</v>
      </c>
      <c r="L62" s="355">
        <f ca="1">[1]!RCHGetTableCell("http://quicktake.morningstar.com/StockNet/balance10.aspx?Symbol="&amp;Ticker,23,"&gt;Total Liabilities")</f>
        <v>21525</v>
      </c>
      <c r="M62" s="355">
        <f ca="1">[1]!RCHGetTableCell("http://quicktake.morningstar.com/StockNet/balance10.aspx?Symbol="&amp;Ticker,26,"&gt;Total Liabilities")</f>
        <v>20047</v>
      </c>
      <c r="N62" s="355">
        <f ca="1">[1]!RCHGetTableCell("http://quicktake.morningstar.com/StockNet/balance10.aspx?Symbol="&amp;Ticker,29,"&gt;Total Liabilities")</f>
        <v>23872</v>
      </c>
      <c r="O62" s="355"/>
      <c r="P62" s="355"/>
      <c r="Q62" s="355"/>
      <c r="R62" s="355"/>
      <c r="S62" s="355">
        <f ca="1">[1]!RCHGetTableCell("http://quicktake.morningstar.com/StockNet/balance10.aspx?Symbol="&amp;Ticker,32,"&gt;Total Liabilities")</f>
        <v>22531</v>
      </c>
    </row>
    <row r="63" spans="1:19" ht="21" customHeight="1">
      <c r="A63" s="1020"/>
      <c r="B63" s="392" t="s">
        <v>42</v>
      </c>
      <c r="C63" s="964"/>
      <c r="D63" s="964"/>
      <c r="E63" s="393">
        <f ca="1">[1]!RCHGetTableCell("http://quicktake.morningstar.com/StockNet/balance10.aspx?Symbol="&amp;Ticker,2,"&gt;Total Equity")</f>
        <v>9316</v>
      </c>
      <c r="F63" s="393">
        <f ca="1">[1]!RCHGetTableCell("http://quicktake.morningstar.com/StockNet/balance10.aspx?Symbol="&amp;Ticker,5,"&gt;Total Equity")</f>
        <v>11366</v>
      </c>
      <c r="G63" s="393">
        <f ca="1">[1]!RCHGetTableCell("http://quicktake.morningstar.com/StockNet/balance10.aspx?Symbol="&amp;Ticker,8,"&gt;Total Equity")</f>
        <v>11800</v>
      </c>
      <c r="H63" s="393">
        <f ca="1">[1]!RCHGetTableCell("http://quicktake.morningstar.com/StockNet/balance10.aspx?Symbol="&amp;Ticker,11,"&gt;Total Equity")</f>
        <v>14090</v>
      </c>
      <c r="I63" s="393">
        <f ca="1">[1]!RCHGetTableCell("http://quicktake.morningstar.com/StockNet/balance10.aspx?Symbol="&amp;Ticker,14,"&gt;Total Equity")</f>
        <v>15935</v>
      </c>
      <c r="J63" s="393">
        <f ca="1">[1]!RCHGetTableCell("http://quicktake.morningstar.com/StockNet/balance10.aspx?Symbol="&amp;Ticker,17,"&gt;Total Equity")</f>
        <v>16355</v>
      </c>
      <c r="K63" s="393">
        <f ca="1">[1]!RCHGetTableCell("http://quicktake.morningstar.com/StockNet/balance10.aspx?Symbol="&amp;Ticker,20,"&gt;Total Equity")</f>
        <v>16920</v>
      </c>
      <c r="L63" s="393">
        <f ca="1">[1]!RCHGetTableCell("http://quicktake.morningstar.com/StockNet/balance10.aspx?Symbol="&amp;Ticker,23,"&gt;Total Equity")</f>
        <v>21744</v>
      </c>
      <c r="M63" s="393">
        <f ca="1">[1]!RCHGetTableCell("http://quicktake.morningstar.com/StockNet/balance10.aspx?Symbol="&amp;Ticker,26,"&gt;Total Equity")</f>
        <v>20472</v>
      </c>
      <c r="N63" s="393">
        <f ca="1">[1]!RCHGetTableCell("http://quicktake.morningstar.com/StockNet/balance10.aspx?Symbol="&amp;Ticker,29,"&gt;Total Equity")</f>
        <v>24799</v>
      </c>
      <c r="O63" s="393"/>
      <c r="P63" s="393"/>
      <c r="Q63" s="393"/>
      <c r="R63" s="393"/>
      <c r="S63" s="393">
        <f ca="1">[1]!RCHGetTableCell("http://quicktake.morningstar.com/StockNet/balance10.aspx?Symbol="&amp;Ticker,32,"&gt;Total Equity")</f>
        <v>24872</v>
      </c>
    </row>
    <row r="64" spans="1:19" ht="15.75" thickBot="1">
      <c r="A64" s="1020"/>
      <c r="B64" s="400" t="s">
        <v>43</v>
      </c>
      <c r="C64" s="968"/>
      <c r="D64" s="968"/>
      <c r="E64" s="401">
        <f ca="1">[1]!RCHGetTableCell("http://quicktake.morningstar.com/StockNet/balance10.aspx?Symbol="&amp;Ticker,2,"&gt;Total Liabilities &amp; Equity")</f>
        <v>20834</v>
      </c>
      <c r="F64" s="401">
        <f ca="1">[1]!RCHGetTableCell("http://quicktake.morningstar.com/StockNet/balance10.aspx?Symbol="&amp;Ticker,5,"&gt;Total Liabilities &amp; Equity")</f>
        <v>22417</v>
      </c>
      <c r="G64" s="401">
        <f ca="1">[1]!RCHGetTableCell("http://quicktake.morningstar.com/StockNet/balance10.aspx?Symbol="&amp;Ticker,8,"&gt;Total Liabilities &amp; Equity")</f>
        <v>24501</v>
      </c>
      <c r="H64" s="401">
        <f ca="1">[1]!RCHGetTableCell("http://quicktake.morningstar.com/StockNet/balance10.aspx?Symbol="&amp;Ticker,11,"&gt;Total Liabilities &amp; Equity")</f>
        <v>27342</v>
      </c>
      <c r="I64" s="401">
        <f ca="1">[1]!RCHGetTableCell("http://quicktake.morningstar.com/StockNet/balance10.aspx?Symbol="&amp;Ticker,14,"&gt;Total Liabilities &amp; Equity")</f>
        <v>31327</v>
      </c>
      <c r="J64" s="401">
        <f ca="1">[1]!RCHGetTableCell("http://quicktake.morningstar.com/StockNet/balance10.aspx?Symbol="&amp;Ticker,17,"&gt;Total Liabilities &amp; Equity")</f>
        <v>29427</v>
      </c>
      <c r="K64" s="401">
        <f ca="1">[1]!RCHGetTableCell("http://quicktake.morningstar.com/StockNet/balance10.aspx?Symbol="&amp;Ticker,20,"&gt;Total Liabilities &amp; Equity")</f>
        <v>29963</v>
      </c>
      <c r="L64" s="401">
        <f ca="1">[1]!RCHGetTableCell("http://quicktake.morningstar.com/StockNet/balance10.aspx?Symbol="&amp;Ticker,23,"&gt;Total Liabilities &amp; Equity")</f>
        <v>43269</v>
      </c>
      <c r="M64" s="401">
        <f ca="1">[1]!RCHGetTableCell("http://quicktake.morningstar.com/StockNet/balance10.aspx?Symbol="&amp;Ticker,26,"&gt;Total Liabilities &amp; Equity")</f>
        <v>40519</v>
      </c>
      <c r="N64" s="401">
        <f ca="1">[1]!RCHGetTableCell("http://quicktake.morningstar.com/StockNet/balance10.aspx?Symbol="&amp;Ticker,29,"&gt;Total Liabilities &amp; Equity")</f>
        <v>48671</v>
      </c>
      <c r="O64" s="401"/>
      <c r="P64" s="401"/>
      <c r="Q64" s="401"/>
      <c r="R64" s="401"/>
      <c r="S64" s="401">
        <f ca="1">[1]!RCHGetTableCell("http://quicktake.morningstar.com/StockNet/balance10.aspx?Symbol="&amp;Ticker,32,"&gt;Total Liabilities &amp; Equity")</f>
        <v>47403</v>
      </c>
    </row>
    <row r="65" spans="1:19" ht="25.5" customHeight="1" thickTop="1">
      <c r="A65" s="375"/>
      <c r="B65" s="402"/>
      <c r="C65" s="969"/>
      <c r="D65" s="969"/>
      <c r="E65" s="403"/>
      <c r="F65" s="403"/>
      <c r="G65" s="403"/>
      <c r="H65" s="403"/>
      <c r="I65" s="403"/>
      <c r="J65" s="403"/>
      <c r="K65" s="403"/>
      <c r="L65" s="403"/>
      <c r="M65" s="403"/>
      <c r="N65" s="403"/>
      <c r="O65" s="403"/>
      <c r="P65" s="403"/>
      <c r="Q65" s="403"/>
      <c r="R65" s="403"/>
      <c r="S65" s="925"/>
    </row>
    <row r="66" spans="1:19" ht="24.75" customHeight="1">
      <c r="A66" s="428" t="s">
        <v>79</v>
      </c>
      <c r="B66" s="426"/>
      <c r="C66" s="970"/>
      <c r="D66" s="970"/>
      <c r="E66" s="426"/>
      <c r="F66" s="426"/>
      <c r="G66" s="426"/>
      <c r="H66" s="426"/>
      <c r="I66" s="426"/>
      <c r="J66" s="426"/>
      <c r="K66" s="426"/>
      <c r="L66" s="426"/>
      <c r="M66" s="426"/>
      <c r="N66" s="426"/>
      <c r="O66" s="426"/>
      <c r="P66" s="426"/>
      <c r="Q66" s="426"/>
      <c r="R66" s="426"/>
      <c r="S66" s="924"/>
    </row>
    <row r="67" spans="1:19" ht="16.5">
      <c r="A67" s="404"/>
      <c r="B67" s="405" t="s">
        <v>78</v>
      </c>
      <c r="C67" s="971"/>
      <c r="D67" s="971"/>
      <c r="E67" s="405"/>
      <c r="F67" s="405"/>
      <c r="G67" s="405"/>
      <c r="H67" s="405"/>
      <c r="I67" s="405"/>
      <c r="J67" s="405"/>
      <c r="K67" s="405"/>
      <c r="L67" s="405"/>
      <c r="M67" s="405"/>
      <c r="N67" s="405"/>
      <c r="O67" s="405"/>
      <c r="P67" s="405"/>
      <c r="Q67" s="405"/>
      <c r="R67" s="405"/>
      <c r="S67" s="926"/>
    </row>
    <row r="68" spans="1:19" ht="12.75" customHeight="1">
      <c r="A68" s="1020"/>
      <c r="B68" s="378" t="s">
        <v>22</v>
      </c>
      <c r="C68" s="959"/>
      <c r="D68" s="959"/>
      <c r="E68" s="370">
        <f ca="1">[1]!RCHGetTableCell("http://quicktake.morningstar.com/StockNet/cashflow10.aspx?Symbol="&amp;Ticker,2,"&gt;Cash Flows From Operating Activities","&gt;Net Income")</f>
        <v>2177</v>
      </c>
      <c r="F68" s="370">
        <f ca="1">[1]!RCHGetTableCell("http://quicktake.morningstar.com/StockNet/cashflow10.aspx?Symbol="&amp;Ticker,5,"&gt;Cash Flows From Operating Activities","&gt;Net Income")</f>
        <v>3969</v>
      </c>
      <c r="G68" s="370">
        <f ca="1">[1]!RCHGetTableCell("http://quicktake.morningstar.com/StockNet/cashflow10.aspx?Symbol="&amp;Ticker,8,"&gt;Cash Flows From Operating Activities","&gt;Net Income")</f>
        <v>3050</v>
      </c>
      <c r="H68" s="370">
        <f ca="1">[1]!RCHGetTableCell("http://quicktake.morningstar.com/StockNet/cashflow10.aspx?Symbol="&amp;Ticker,11,"&gt;Cash Flows From Operating Activities","&gt;Net Income")</f>
        <v>4347</v>
      </c>
      <c r="I68" s="370">
        <f ca="1">[1]!RCHGetTableCell("http://quicktake.morningstar.com/StockNet/cashflow10.aspx?Symbol="&amp;Ticker,14,"&gt;Cash Flows From Operating Activities","&gt;Net Income")</f>
        <v>4847</v>
      </c>
      <c r="J68" s="370">
        <f ca="1">[1]!RCHGetTableCell("http://quicktake.morningstar.com/StockNet/cashflow10.aspx?Symbol="&amp;Ticker,17,"&gt;Cash Flows From Operating Activities","&gt;Net Income")</f>
        <v>4872</v>
      </c>
      <c r="K68" s="370">
        <f ca="1">[1]!RCHGetTableCell("http://quicktake.morningstar.com/StockNet/cashflow10.aspx?Symbol="&amp;Ticker,20,"&gt;Cash Flows From Operating Activities","&gt;Net Income")</f>
        <v>5080</v>
      </c>
      <c r="L68" s="370">
        <f ca="1">[1]!RCHGetTableCell("http://quicktake.morningstar.com/StockNet/cashflow10.aspx?Symbol="&amp;Ticker,23,"&gt;Cash Flows From Operating Activities","&gt;Net Income")</f>
        <v>5981</v>
      </c>
      <c r="M68" s="370">
        <f ca="1">[1]!RCHGetTableCell("http://quicktake.morningstar.com/StockNet/cashflow10.aspx?Symbol="&amp;Ticker,26,"&gt;Cash Flows From Operating Activities","&gt;Net Income")</f>
        <v>5807</v>
      </c>
      <c r="N68" s="370">
        <f ca="1">[1]!RCHGetTableCell("http://quicktake.morningstar.com/StockNet/cashflow10.aspx?Symbol="&amp;Ticker,29,"&gt;Cash Flows From Operating Activities","&gt;Net Income")</f>
        <v>6824</v>
      </c>
      <c r="O68" s="370"/>
      <c r="P68" s="370"/>
      <c r="Q68" s="370"/>
      <c r="R68" s="370"/>
      <c r="S68" s="370">
        <f ca="1">[1]!RCHGetTableCell("http://quicktake.morningstar.com/StockNet/cashflow10.aspx?Symbol="&amp;Ticker,32,"&gt;Cash Flows From Operating Activities","&gt;Net Income")</f>
        <v>7090</v>
      </c>
    </row>
    <row r="69" spans="1:19" ht="14.25">
      <c r="A69" s="1020"/>
      <c r="B69" s="358" t="s">
        <v>44</v>
      </c>
      <c r="C69" s="943"/>
      <c r="D69" s="943"/>
      <c r="E69" s="359">
        <f ca="1">[1]!RCHGetTableCell("http://quicktake.morningstar.com/StockNet/cashflow10.aspx?Symbol="&amp;Ticker,2,"&gt;Cash Flows From Operating Activities","&gt;Depr")</f>
        <v>773</v>
      </c>
      <c r="F69" s="359">
        <f ca="1">[1]!RCHGetTableCell("http://quicktake.morningstar.com/StockNet/cashflow10.aspx?Symbol="&amp;Ticker,5,"&gt;Cash Flows From Operating Activities","&gt;Depr")</f>
        <v>803</v>
      </c>
      <c r="G69" s="359">
        <f ca="1">[1]!RCHGetTableCell("http://quicktake.morningstar.com/StockNet/cashflow10.aspx?Symbol="&amp;Ticker,8,"&gt;Cash Flows From Operating Activities","&gt;Depr")</f>
        <v>806</v>
      </c>
      <c r="H69" s="359">
        <f ca="1">[1]!RCHGetTableCell("http://quicktake.morningstar.com/StockNet/cashflow10.aspx?Symbol="&amp;Ticker,11,"&gt;Cash Flows From Operating Activities","&gt;Depr")</f>
        <v>850</v>
      </c>
      <c r="I69" s="359">
        <f ca="1">[1]!RCHGetTableCell("http://quicktake.morningstar.com/StockNet/cashflow10.aspx?Symbol="&amp;Ticker,14,"&gt;Cash Flows From Operating Activities","&gt;Depr")</f>
        <v>893</v>
      </c>
      <c r="J69" s="359">
        <f ca="1">[1]!RCHGetTableCell("http://quicktake.morningstar.com/StockNet/cashflow10.aspx?Symbol="&amp;Ticker,17,"&gt;Cash Flows From Operating Activities","&gt;Depr")</f>
        <v>932</v>
      </c>
      <c r="K69" s="359">
        <f ca="1">[1]!RCHGetTableCell("http://quicktake.morningstar.com/StockNet/cashflow10.aspx?Symbol="&amp;Ticker,20,"&gt;Cash Flows From Operating Activities","&gt;Depr")</f>
        <v>938</v>
      </c>
      <c r="L69" s="359">
        <f ca="1">[1]!RCHGetTableCell("http://quicktake.morningstar.com/StockNet/cashflow10.aspx?Symbol="&amp;Ticker,23,"&gt;Cash Flows From Operating Activities","&gt;Depr")</f>
        <v>1163</v>
      </c>
      <c r="M69" s="359">
        <f ca="1">[1]!RCHGetTableCell("http://quicktake.morningstar.com/StockNet/cashflow10.aspx?Symbol="&amp;Ticker,26,"&gt;Cash Flows From Operating Activities","&gt;Depr")</f>
        <v>1228</v>
      </c>
      <c r="N69" s="359">
        <f ca="1">[1]!RCHGetTableCell("http://quicktake.morningstar.com/StockNet/cashflow10.aspx?Symbol="&amp;Ticker,29,"&gt;Cash Flows From Operating Activities","&gt;Depr")</f>
        <v>1236</v>
      </c>
      <c r="O69" s="359"/>
      <c r="P69" s="359"/>
      <c r="Q69" s="359"/>
      <c r="R69" s="359"/>
      <c r="S69" s="359">
        <f ca="1">[1]!RCHGetTableCell("http://quicktake.morningstar.com/StockNet/cashflow10.aspx?Symbol="&amp;Ticker,32,"&gt;Cash Flows From Operating Activities","&gt;Depr")</f>
        <v>1248</v>
      </c>
    </row>
    <row r="70" spans="1:19" ht="14.25">
      <c r="A70" s="1020"/>
      <c r="B70" s="378" t="s">
        <v>45</v>
      </c>
      <c r="C70" s="959"/>
      <c r="D70" s="959"/>
      <c r="E70" s="370">
        <f ca="1">[1]!RCHGetTableCell("http://quicktake.morningstar.com/StockNet/cashflow10.aspx?Symbol="&amp;Ticker,2,"&gt;Cash Flows From Operating Activities","&gt;Deferred Taxes")</f>
        <v>3</v>
      </c>
      <c r="F70" s="370">
        <f ca="1">[1]!RCHGetTableCell("http://quicktake.morningstar.com/StockNet/cashflow10.aspx?Symbol="&amp;Ticker,5,"&gt;Cash Flows From Operating Activities","&gt;Deferred Taxes")</f>
        <v>56</v>
      </c>
      <c r="G70" s="370">
        <f ca="1">[1]!RCHGetTableCell("http://quicktake.morningstar.com/StockNet/cashflow10.aspx?Symbol="&amp;Ticker,8,"&gt;Cash Flows From Operating Activities","&gt;Deferred Taxes")</f>
        <v>40</v>
      </c>
      <c r="H70" s="370">
        <f ca="1">[1]!RCHGetTableCell("http://quicktake.morningstar.com/StockNet/cashflow10.aspx?Symbol="&amp;Ticker,11,"&gt;Cash Flows From Operating Activities","&gt;Deferred Taxes")</f>
        <v>-188</v>
      </c>
      <c r="I70" s="370">
        <f ca="1">[1]!RCHGetTableCell("http://quicktake.morningstar.com/StockNet/cashflow10.aspx?Symbol="&amp;Ticker,14,"&gt;Cash Flows From Operating Activities","&gt;Deferred Taxes")</f>
        <v>162</v>
      </c>
      <c r="J70" s="370">
        <f ca="1">[1]!RCHGetTableCell("http://quicktake.morningstar.com/StockNet/cashflow10.aspx?Symbol="&amp;Ticker,17,"&gt;Cash Flows From Operating Activities","&gt;Deferred Taxes")</f>
        <v>-88</v>
      </c>
      <c r="K70" s="370">
        <f ca="1">[1]!RCHGetTableCell("http://quicktake.morningstar.com/StockNet/cashflow10.aspx?Symbol="&amp;Ticker,20,"&gt;Cash Flows From Operating Activities","&gt;Deferred Taxes")</f>
        <v>-35</v>
      </c>
      <c r="L70" s="370">
        <f ca="1">[1]!RCHGetTableCell("http://quicktake.morningstar.com/StockNet/cashflow10.aspx?Symbol="&amp;Ticker,23,"&gt;Cash Flows From Operating Activities","&gt;Deferred Taxes")</f>
        <v>109</v>
      </c>
      <c r="M70" s="370">
        <f ca="1">[1]!RCHGetTableCell("http://quicktake.morningstar.com/StockNet/cashflow10.aspx?Symbol="&amp;Ticker,26,"&gt;Cash Flows From Operating Activities","&gt;Deferred Taxes")</f>
        <v>-360</v>
      </c>
      <c r="N70" s="370">
        <f ca="1">[1]!RCHGetTableCell("http://quicktake.morningstar.com/StockNet/cashflow10.aspx?Symbol="&amp;Ticker,29,"&gt;Cash Flows From Operating Activities","&gt;Deferred Taxes")</f>
        <v>353</v>
      </c>
      <c r="O70" s="370"/>
      <c r="P70" s="370"/>
      <c r="Q70" s="370"/>
      <c r="R70" s="370"/>
      <c r="S70" s="370">
        <f ca="1">[1]!RCHGetTableCell("http://quicktake.morningstar.com/StockNet/cashflow10.aspx?Symbol="&amp;Ticker,32,"&gt;Cash Flows From Operating Activities","&gt;Deferred Taxes")</f>
        <v>407</v>
      </c>
    </row>
    <row r="71" spans="1:19" ht="14.25">
      <c r="A71" s="1020"/>
      <c r="B71" s="380" t="s">
        <v>19</v>
      </c>
      <c r="C71" s="967"/>
      <c r="D71" s="967"/>
      <c r="E71" s="381">
        <f ca="1">[1]!RCHGetTableCell("http://quicktake.morningstar.com/StockNet/cashflow10.aspx?Symbol="&amp;Ticker,2,"&gt;Cash Flows From Operating Activities","&gt;Other")</f>
        <v>632</v>
      </c>
      <c r="F71" s="381">
        <f ca="1">[1]!RCHGetTableCell("http://quicktake.morningstar.com/StockNet/cashflow10.aspx?Symbol="&amp;Ticker,5,"&gt;Cash Flows From Operating Activities","&gt;Other")</f>
        <v>-718</v>
      </c>
      <c r="G71" s="381">
        <f ca="1">[1]!RCHGetTableCell("http://quicktake.morningstar.com/StockNet/cashflow10.aspx?Symbol="&amp;Ticker,8,"&gt;Cash Flows From Operating Activities","&gt;Other")</f>
        <v>846</v>
      </c>
      <c r="H71" s="381">
        <f ca="1">[1]!RCHGetTableCell("http://quicktake.morningstar.com/StockNet/cashflow10.aspx?Symbol="&amp;Ticker,11,"&gt;Cash Flows From Operating Activities","&gt;Other")</f>
        <v>447</v>
      </c>
      <c r="I71" s="381">
        <f ca="1">[1]!RCHGetTableCell("http://quicktake.morningstar.com/StockNet/cashflow10.aspx?Symbol="&amp;Ticker,14,"&gt;Cash Flows From Operating Activities","&gt;Other")</f>
        <v>66</v>
      </c>
      <c r="J71" s="381">
        <f ca="1">[1]!RCHGetTableCell("http://quicktake.morningstar.com/StockNet/cashflow10.aspx?Symbol="&amp;Ticker,17,"&gt;Cash Flows From Operating Activities","&gt;Other")</f>
        <v>707</v>
      </c>
      <c r="K71" s="381">
        <f ca="1">[1]!RCHGetTableCell("http://quicktake.morningstar.com/StockNet/cashflow10.aspx?Symbol="&amp;Ticker,20,"&gt;Cash Flows From Operating Activities","&gt;Other")</f>
        <v>-26</v>
      </c>
      <c r="L71" s="381">
        <f ca="1">[1]!RCHGetTableCell("http://quicktake.morningstar.com/StockNet/cashflow10.aspx?Symbol="&amp;Ticker,23,"&gt;Cash Flows From Operating Activities","&gt;Other")</f>
        <v>-103</v>
      </c>
      <c r="M71" s="381">
        <f ca="1">[1]!RCHGetTableCell("http://quicktake.morningstar.com/StockNet/cashflow10.aspx?Symbol="&amp;Ticker,26,"&gt;Cash Flows From Operating Activities","&gt;Other")</f>
        <v>896</v>
      </c>
      <c r="N71" s="381">
        <f ca="1">[1]!RCHGetTableCell("http://quicktake.morningstar.com/StockNet/cashflow10.aspx?Symbol="&amp;Ticker,29,"&gt;Cash Flows From Operating Activities","&gt;Other")</f>
        <v>-227</v>
      </c>
      <c r="O71" s="381"/>
      <c r="P71" s="381"/>
      <c r="Q71" s="381"/>
      <c r="R71" s="381"/>
      <c r="S71" s="381">
        <f ca="1">[1]!RCHGetTableCell("http://quicktake.morningstar.com/StockNet/cashflow10.aspx?Symbol="&amp;Ticker,32,"&gt;Cash Flows From Operating Activities","&gt;Other")</f>
        <v>-106</v>
      </c>
    </row>
    <row r="72" spans="1:19" ht="15">
      <c r="A72" s="1020"/>
      <c r="B72" s="354" t="s">
        <v>46</v>
      </c>
      <c r="C72" s="939"/>
      <c r="D72" s="939"/>
      <c r="E72" s="355">
        <f ca="1">[1]!RCHGetTableCell("http://quicktake.morningstar.com/StockNet/cashflow10.aspx?Symbol="&amp;Ticker,2,"&gt;Cash Flows From Operating Activities","&gt;Cash from Operations")</f>
        <v>3585</v>
      </c>
      <c r="F72" s="355">
        <f ca="1">[1]!RCHGetTableCell("http://quicktake.morningstar.com/StockNet/cashflow10.aspx?Symbol="&amp;Ticker,5,"&gt;Cash Flows From Operating Activities","&gt;Cash from Operations")</f>
        <v>4110</v>
      </c>
      <c r="G72" s="355">
        <f ca="1">[1]!RCHGetTableCell("http://quicktake.morningstar.com/StockNet/cashflow10.aspx?Symbol="&amp;Ticker,8,"&gt;Cash Flows From Operating Activities","&gt;Cash from Operations")</f>
        <v>4742</v>
      </c>
      <c r="H72" s="355">
        <f ca="1">[1]!RCHGetTableCell("http://quicktake.morningstar.com/StockNet/cashflow10.aspx?Symbol="&amp;Ticker,11,"&gt;Cash Flows From Operating Activities","&gt;Cash from Operations")</f>
        <v>5456</v>
      </c>
      <c r="I72" s="355">
        <f ca="1">[1]!RCHGetTableCell("http://quicktake.morningstar.com/StockNet/cashflow10.aspx?Symbol="&amp;Ticker,14,"&gt;Cash Flows From Operating Activities","&gt;Cash from Operations")</f>
        <v>5968</v>
      </c>
      <c r="J72" s="355">
        <f ca="1">[1]!RCHGetTableCell("http://quicktake.morningstar.com/StockNet/cashflow10.aspx?Symbol="&amp;Ticker,17,"&gt;Cash Flows From Operating Activities","&gt;Cash from Operations")</f>
        <v>6423</v>
      </c>
      <c r="K72" s="355">
        <f ca="1">[1]!RCHGetTableCell("http://quicktake.morningstar.com/StockNet/cashflow10.aspx?Symbol="&amp;Ticker,20,"&gt;Cash Flows From Operating Activities","&gt;Cash from Operations")</f>
        <v>5957</v>
      </c>
      <c r="L72" s="355">
        <f ca="1">[1]!RCHGetTableCell("http://quicktake.morningstar.com/StockNet/cashflow10.aspx?Symbol="&amp;Ticker,23,"&gt;Cash Flows From Operating Activities","&gt;Cash from Operations")</f>
        <v>7150</v>
      </c>
      <c r="M72" s="355">
        <f ca="1">[1]!RCHGetTableCell("http://quicktake.morningstar.com/StockNet/cashflow10.aspx?Symbol="&amp;Ticker,26,"&gt;Cash Flows From Operating Activities","&gt;Cash from Operations")</f>
        <v>7571</v>
      </c>
      <c r="N72" s="355">
        <f ca="1">[1]!RCHGetTableCell("http://quicktake.morningstar.com/StockNet/cashflow10.aspx?Symbol="&amp;Ticker,29,"&gt;Cash Flows From Operating Activities","&gt;Cash from Operations")</f>
        <v>8186</v>
      </c>
      <c r="O72" s="355"/>
      <c r="P72" s="355"/>
      <c r="Q72" s="355"/>
      <c r="R72" s="355"/>
      <c r="S72" s="355">
        <f ca="1">[1]!RCHGetTableCell("http://quicktake.morningstar.com/StockNet/cashflow10.aspx?Symbol="&amp;Ticker,32,"&gt;Cash Flows From Operating Activities","&gt;Cash from Operations")</f>
        <v>8639</v>
      </c>
    </row>
    <row r="73" spans="1:19" ht="32.25" customHeight="1">
      <c r="A73" s="375"/>
      <c r="B73" s="399" t="s">
        <v>80</v>
      </c>
      <c r="C73" s="972"/>
      <c r="D73" s="972"/>
      <c r="E73" s="399"/>
      <c r="F73" s="399"/>
      <c r="G73" s="399"/>
      <c r="H73" s="399"/>
      <c r="I73" s="399"/>
      <c r="J73" s="399"/>
      <c r="K73" s="399"/>
      <c r="L73" s="399"/>
      <c r="M73" s="399"/>
      <c r="N73" s="399"/>
      <c r="O73" s="399"/>
      <c r="P73" s="399"/>
      <c r="Q73" s="399"/>
      <c r="R73" s="399"/>
      <c r="S73" s="399"/>
    </row>
    <row r="74" spans="1:19" ht="14.25">
      <c r="A74" s="1020"/>
      <c r="B74" s="378" t="s">
        <v>47</v>
      </c>
      <c r="C74" s="959"/>
      <c r="D74" s="959"/>
      <c r="E74" s="370">
        <f ca="1">[1]!RCHGetTableCell("http://quicktake.morningstar.com/StockNet/cashflow10.aspx?Symbol="&amp;Ticker,2,"&gt;Cash Flows From Investing Activities","&gt;Cap Ex")</f>
        <v>-733</v>
      </c>
      <c r="F74" s="370">
        <f ca="1">[1]!RCHGetTableCell("http://quicktake.morningstar.com/StockNet/cashflow10.aspx?Symbol="&amp;Ticker,5,"&gt;Cash Flows From Investing Activities","&gt;Cap Ex")</f>
        <v>-769</v>
      </c>
      <c r="G74" s="370">
        <f ca="1">[1]!RCHGetTableCell("http://quicktake.morningstar.com/StockNet/cashflow10.aspx?Symbol="&amp;Ticker,8,"&gt;Cash Flows From Investing Activities","&gt;Cap Ex")</f>
        <v>-851</v>
      </c>
      <c r="H74" s="370">
        <f ca="1">[1]!RCHGetTableCell("http://quicktake.morningstar.com/StockNet/cashflow10.aspx?Symbol="&amp;Ticker,11,"&gt;Cash Flows From Investing Activities","&gt;Cap Ex")</f>
        <v>-812</v>
      </c>
      <c r="I74" s="370">
        <f ca="1">[1]!RCHGetTableCell("http://quicktake.morningstar.com/StockNet/cashflow10.aspx?Symbol="&amp;Ticker,14,"&gt;Cash Flows From Investing Activities","&gt;Cap Ex")</f>
        <v>-755</v>
      </c>
      <c r="J74" s="370">
        <f ca="1">[1]!RCHGetTableCell("http://quicktake.morningstar.com/StockNet/cashflow10.aspx?Symbol="&amp;Ticker,17,"&gt;Cash Flows From Investing Activities","&gt;Cap Ex")</f>
        <v>-899</v>
      </c>
      <c r="K74" s="370">
        <f ca="1">[1]!RCHGetTableCell("http://quicktake.morningstar.com/StockNet/cashflow10.aspx?Symbol="&amp;Ticker,20,"&gt;Cash Flows From Investing Activities","&gt;Cap Ex")</f>
        <v>-1407</v>
      </c>
      <c r="L74" s="370">
        <f ca="1">[1]!RCHGetTableCell("http://quicktake.morningstar.com/StockNet/cashflow10.aspx?Symbol="&amp;Ticker,23,"&gt;Cash Flows From Investing Activities","&gt;Cap Ex")</f>
        <v>-1648</v>
      </c>
      <c r="M74" s="370">
        <f ca="1">[1]!RCHGetTableCell("http://quicktake.morningstar.com/StockNet/cashflow10.aspx?Symbol="&amp;Ticker,26,"&gt;Cash Flows From Investing Activities","&gt;Cap Ex")</f>
        <v>-1968</v>
      </c>
      <c r="N74" s="370">
        <f ca="1">[1]!RCHGetTableCell("http://quicktake.morningstar.com/StockNet/cashflow10.aspx?Symbol="&amp;Ticker,29,"&gt;Cash Flows From Investing Activities","&gt;Cap Ex")</f>
        <v>-1993</v>
      </c>
      <c r="O74" s="370"/>
      <c r="P74" s="370"/>
      <c r="Q74" s="370"/>
      <c r="R74" s="370"/>
      <c r="S74" s="370">
        <f ca="1">[1]!RCHGetTableCell("http://quicktake.morningstar.com/StockNet/cashflow10.aspx?Symbol="&amp;Ticker,32,"&gt;Cash Flows From Investing Activities","&gt;Cap Ex")</f>
        <v>-1919</v>
      </c>
    </row>
    <row r="75" spans="1:19" ht="14.25">
      <c r="A75" s="1020"/>
      <c r="B75" s="358" t="s">
        <v>48</v>
      </c>
      <c r="C75" s="943"/>
      <c r="D75" s="943"/>
      <c r="E75" s="359">
        <f ca="1">[1]!RCHGetTableCell("http://quicktake.morningstar.com/StockNet/cashflow10.aspx?Symbol="&amp;Ticker,2,"&gt;Cash Flows From Investing Activities","&gt;Purchase of Business")</f>
        <v>0</v>
      </c>
      <c r="F75" s="359">
        <f ca="1">[1]!RCHGetTableCell("http://quicktake.morningstar.com/StockNet/cashflow10.aspx?Symbol="&amp;Ticker,5,"&gt;Cash Flows From Investing Activities","&gt;Purchase of Business")</f>
        <v>0</v>
      </c>
      <c r="G75" s="359">
        <f ca="1">[1]!RCHGetTableCell("http://quicktake.morningstar.com/StockNet/cashflow10.aspx?Symbol="&amp;Ticker,8,"&gt;Cash Flows From Investing Activities","&gt;Purchase of Business")</f>
        <v>0</v>
      </c>
      <c r="H75" s="359">
        <f ca="1">[1]!RCHGetTableCell("http://quicktake.morningstar.com/StockNet/cashflow10.aspx?Symbol="&amp;Ticker,11,"&gt;Cash Flows From Investing Activities","&gt;Purchase of Business")</f>
        <v>0</v>
      </c>
      <c r="I75" s="359">
        <f ca="1">[1]!RCHGetTableCell("http://quicktake.morningstar.com/StockNet/cashflow10.aspx?Symbol="&amp;Ticker,14,"&gt;Cash Flows From Investing Activities","&gt;Purchase of Business")</f>
        <v>0</v>
      </c>
      <c r="J75" s="359">
        <f ca="1">[1]!RCHGetTableCell("http://quicktake.morningstar.com/StockNet/cashflow10.aspx?Symbol="&amp;Ticker,17,"&gt;Cash Flows From Investing Activities","&gt;Purchase of Business")</f>
        <v>0</v>
      </c>
      <c r="K75" s="359">
        <f ca="1">[1]!RCHGetTableCell("http://quicktake.morningstar.com/StockNet/cashflow10.aspx?Symbol="&amp;Ticker,20,"&gt;Cash Flows From Investing Activities","&gt;Purchase of Business")</f>
        <v>0</v>
      </c>
      <c r="L75" s="359">
        <f ca="1">[1]!RCHGetTableCell("http://quicktake.morningstar.com/StockNet/cashflow10.aspx?Symbol="&amp;Ticker,23,"&gt;Cash Flows From Investing Activities","&gt;Purchase of Business")</f>
        <v>0</v>
      </c>
      <c r="M75" s="359">
        <f ca="1">[1]!RCHGetTableCell("http://quicktake.morningstar.com/StockNet/cashflow10.aspx?Symbol="&amp;Ticker,26,"&gt;Cash Flows From Investing Activities","&gt;Purchase of Business")</f>
        <v>-759</v>
      </c>
      <c r="N75" s="359">
        <f ca="1">[1]!RCHGetTableCell("http://quicktake.morningstar.com/StockNet/cashflow10.aspx?Symbol="&amp;Ticker,29,"&gt;Cash Flows From Investing Activities","&gt;Purchase of Business")</f>
        <v>-300</v>
      </c>
      <c r="O75" s="359"/>
      <c r="P75" s="359"/>
      <c r="Q75" s="359"/>
      <c r="R75" s="359"/>
      <c r="S75" s="359">
        <f ca="1">[1]!RCHGetTableCell("http://quicktake.morningstar.com/StockNet/cashflow10.aspx?Symbol="&amp;Ticker,32,"&gt;Cash Flows From Investing Activities","&gt;Purchase of Business")</f>
        <v>-127</v>
      </c>
    </row>
    <row r="76" spans="1:19" ht="14.25">
      <c r="A76" s="1020"/>
      <c r="B76" s="376" t="s">
        <v>19</v>
      </c>
      <c r="C76" s="965"/>
      <c r="D76" s="965"/>
      <c r="E76" s="377">
        <f ca="1">[1]!RCHGetTableCell("http://quicktake.morningstar.com/StockNet/cashflow10.aspx?Symbol="&amp;Ticker,2,"&gt;Cash Flows From Investing Activities","&gt;Other")</f>
        <v>-432</v>
      </c>
      <c r="F76" s="377">
        <f ca="1">[1]!RCHGetTableCell("http://quicktake.morningstar.com/StockNet/cashflow10.aspx?Symbol="&amp;Ticker,5,"&gt;Cash Flows From Investing Activities","&gt;Other")</f>
        <v>-419</v>
      </c>
      <c r="G76" s="377">
        <f ca="1">[1]!RCHGetTableCell("http://quicktake.morningstar.com/StockNet/cashflow10.aspx?Symbol="&amp;Ticker,8,"&gt;Cash Flows From Investing Activities","&gt;Other")</f>
        <v>-336</v>
      </c>
      <c r="H76" s="377">
        <f ca="1">[1]!RCHGetTableCell("http://quicktake.morningstar.com/StockNet/cashflow10.aspx?Symbol="&amp;Ticker,11,"&gt;Cash Flows From Investing Activities","&gt;Other")</f>
        <v>-124</v>
      </c>
      <c r="I76" s="377">
        <f ca="1">[1]!RCHGetTableCell("http://quicktake.morningstar.com/StockNet/cashflow10.aspx?Symbol="&amp;Ticker,14,"&gt;Cash Flows From Investing Activities","&gt;Other")</f>
        <v>252</v>
      </c>
      <c r="J76" s="377">
        <f ca="1">[1]!RCHGetTableCell("http://quicktake.morningstar.com/StockNet/cashflow10.aspx?Symbol="&amp;Ticker,17,"&gt;Cash Flows From Investing Activities","&gt;Other")</f>
        <v>-597</v>
      </c>
      <c r="K76" s="377">
        <f ca="1">[1]!RCHGetTableCell("http://quicktake.morningstar.com/StockNet/cashflow10.aspx?Symbol="&amp;Ticker,20,"&gt;Cash Flows From Investing Activities","&gt;Other")</f>
        <v>-293</v>
      </c>
      <c r="L76" s="377">
        <f ca="1">[1]!RCHGetTableCell("http://quicktake.morningstar.com/StockNet/cashflow10.aspx?Symbol="&amp;Ticker,23,"&gt;Cash Flows From Investing Activities","&gt;Other")</f>
        <v>-5071</v>
      </c>
      <c r="M76" s="377">
        <f ca="1">[1]!RCHGetTableCell("http://quicktake.morningstar.com/StockNet/cashflow10.aspx?Symbol="&amp;Ticker,26,"&gt;Cash Flows From Investing Activities","&gt;Other")</f>
        <v>364</v>
      </c>
      <c r="N76" s="377">
        <f ca="1">[1]!RCHGetTableCell("http://quicktake.morningstar.com/StockNet/cashflow10.aspx?Symbol="&amp;Ticker,29,"&gt;Cash Flows From Investing Activities","&gt;Other")</f>
        <v>-1856</v>
      </c>
      <c r="O76" s="377"/>
      <c r="P76" s="377"/>
      <c r="Q76" s="377"/>
      <c r="R76" s="377"/>
      <c r="S76" s="377">
        <f ca="1">[1]!RCHGetTableCell("http://quicktake.morningstar.com/StockNet/cashflow10.aspx?Symbol="&amp;Ticker,32,"&gt;Cash Flows From Investing Activities","&gt;Other")</f>
        <v>-2872</v>
      </c>
    </row>
    <row r="77" spans="1:19" ht="15">
      <c r="A77" s="1020"/>
      <c r="B77" s="362" t="s">
        <v>49</v>
      </c>
      <c r="C77" s="947"/>
      <c r="D77" s="947"/>
      <c r="E77" s="363">
        <f ca="1">[1]!RCHGetTableCell("http://quicktake.morningstar.com/StockNet/cashflow10.aspx?Symbol="&amp;Ticker,2,"&gt;Cash Flows From Investing Activities","&gt;Cash from Investing")</f>
        <v>-1165</v>
      </c>
      <c r="F77" s="363">
        <f ca="1">[1]!RCHGetTableCell("http://quicktake.morningstar.com/StockNet/cashflow10.aspx?Symbol="&amp;Ticker,5,"&gt;Cash Flows From Investing Activities","&gt;Cash from Investing")</f>
        <v>-1188</v>
      </c>
      <c r="G77" s="363">
        <f ca="1">[1]!RCHGetTableCell("http://quicktake.morningstar.com/StockNet/cashflow10.aspx?Symbol="&amp;Ticker,8,"&gt;Cash Flows From Investing Activities","&gt;Cash from Investing")</f>
        <v>-1187</v>
      </c>
      <c r="H77" s="363">
        <f ca="1">[1]!RCHGetTableCell("http://quicktake.morningstar.com/StockNet/cashflow10.aspx?Symbol="&amp;Ticker,11,"&gt;Cash Flows From Investing Activities","&gt;Cash from Investing")</f>
        <v>-936</v>
      </c>
      <c r="I77" s="363">
        <f ca="1">[1]!RCHGetTableCell("http://quicktake.morningstar.com/StockNet/cashflow10.aspx?Symbol="&amp;Ticker,14,"&gt;Cash Flows From Investing Activities","&gt;Cash from Investing")</f>
        <v>-503</v>
      </c>
      <c r="J77" s="363">
        <f ca="1">[1]!RCHGetTableCell("http://quicktake.morningstar.com/StockNet/cashflow10.aspx?Symbol="&amp;Ticker,17,"&gt;Cash Flows From Investing Activities","&gt;Cash from Investing")</f>
        <v>-1496</v>
      </c>
      <c r="K77" s="363">
        <f ca="1">[1]!RCHGetTableCell("http://quicktake.morningstar.com/StockNet/cashflow10.aspx?Symbol="&amp;Ticker,20,"&gt;Cash Flows From Investing Activities","&gt;Cash from Investing")</f>
        <v>-1700</v>
      </c>
      <c r="L77" s="363">
        <f ca="1">[1]!RCHGetTableCell("http://quicktake.morningstar.com/StockNet/cashflow10.aspx?Symbol="&amp;Ticker,23,"&gt;Cash Flows From Investing Activities","&gt;Cash from Investing")</f>
        <v>-6719</v>
      </c>
      <c r="M77" s="363">
        <f ca="1">[1]!RCHGetTableCell("http://quicktake.morningstar.com/StockNet/cashflow10.aspx?Symbol="&amp;Ticker,26,"&gt;Cash Flows From Investing Activities","&gt;Cash from Investing")</f>
        <v>-2363</v>
      </c>
      <c r="N77" s="363">
        <f ca="1">[1]!RCHGetTableCell("http://quicktake.morningstar.com/StockNet/cashflow10.aspx?Symbol="&amp;Ticker,29,"&gt;Cash Flows From Investing Activities","&gt;Cash from Investing")</f>
        <v>-4149</v>
      </c>
      <c r="O77" s="363"/>
      <c r="P77" s="363"/>
      <c r="Q77" s="363"/>
      <c r="R77" s="363"/>
      <c r="S77" s="363">
        <f ca="1">[1]!RCHGetTableCell("http://quicktake.morningstar.com/StockNet/cashflow10.aspx?Symbol="&amp;Ticker,32,"&gt;Cash Flows From Investing Activities","&gt;Cash from Investing")</f>
        <v>-4918</v>
      </c>
    </row>
    <row r="78" spans="1:19" ht="31.5" customHeight="1">
      <c r="A78" s="375"/>
      <c r="B78" s="399" t="s">
        <v>81</v>
      </c>
      <c r="C78" s="972"/>
      <c r="D78" s="972"/>
      <c r="E78" s="399"/>
      <c r="F78" s="399"/>
      <c r="G78" s="399"/>
      <c r="H78" s="399"/>
      <c r="I78" s="399"/>
      <c r="J78" s="399"/>
      <c r="K78" s="399"/>
      <c r="L78" s="399"/>
      <c r="M78" s="399"/>
      <c r="N78" s="399"/>
      <c r="O78" s="399"/>
      <c r="P78" s="399"/>
      <c r="Q78" s="399"/>
      <c r="R78" s="399"/>
      <c r="S78" s="399"/>
    </row>
    <row r="79" spans="1:19" ht="14.25">
      <c r="A79" s="1020"/>
      <c r="B79" s="378" t="s">
        <v>50</v>
      </c>
      <c r="C79" s="959"/>
      <c r="D79" s="959"/>
      <c r="E79" s="370">
        <f ca="1">[1]!RCHGetTableCell("http://quicktake.morningstar.com/StockNet/cashflow10.aspx?Symbol="&amp;Ticker,2,"&gt;Cash Flows From Financing Activities","&gt;Net Issuance of Stock")</f>
        <v>198</v>
      </c>
      <c r="F79" s="370">
        <f ca="1">[1]!RCHGetTableCell("http://quicktake.morningstar.com/StockNet/cashflow10.aspx?Symbol="&amp;Ticker,5,"&gt;Cash Flows From Financing Activities","&gt;Net Issuance of Stock")</f>
        <v>-113</v>
      </c>
      <c r="G79" s="370">
        <f ca="1">[1]!RCHGetTableCell("http://quicktake.morningstar.com/StockNet/cashflow10.aspx?Symbol="&amp;Ticker,8,"&gt;Cash Flows From Financing Activities","&gt;Net Issuance of Stock")</f>
        <v>-584</v>
      </c>
      <c r="H79" s="370">
        <f ca="1">[1]!RCHGetTableCell("http://quicktake.morningstar.com/StockNet/cashflow10.aspx?Symbol="&amp;Ticker,11,"&gt;Cash Flows From Financing Activities","&gt;Net Issuance of Stock")</f>
        <v>-1342</v>
      </c>
      <c r="I79" s="370">
        <f ca="1">[1]!RCHGetTableCell("http://quicktake.morningstar.com/StockNet/cashflow10.aspx?Symbol="&amp;Ticker,14,"&gt;Cash Flows From Financing Activities","&gt;Net Issuance of Stock")</f>
        <v>-1546</v>
      </c>
      <c r="J79" s="370">
        <f ca="1">[1]!RCHGetTableCell("http://quicktake.morningstar.com/StockNet/cashflow10.aspx?Symbol="&amp;Ticker,17,"&gt;Cash Flows From Financing Activities","&gt;Net Issuance of Stock")</f>
        <v>-1825</v>
      </c>
      <c r="K79" s="370">
        <f ca="1">[1]!RCHGetTableCell("http://quicktake.morningstar.com/StockNet/cashflow10.aspx?Symbol="&amp;Ticker,20,"&gt;Cash Flows From Financing Activities","&gt;Net Issuance of Stock")</f>
        <v>-2268</v>
      </c>
      <c r="L79" s="370">
        <f ca="1">[1]!RCHGetTableCell("http://quicktake.morningstar.com/StockNet/cashflow10.aspx?Symbol="&amp;Ticker,23,"&gt;Cash Flows From Financing Activities","&gt;Net Issuance of Stock")</f>
        <v>-219</v>
      </c>
      <c r="M79" s="370">
        <f ca="1">[1]!RCHGetTableCell("http://quicktake.morningstar.com/StockNet/cashflow10.aspx?Symbol="&amp;Ticker,26,"&gt;Cash Flows From Financing Activities","&gt;Net Issuance of Stock")</f>
        <v>-493</v>
      </c>
      <c r="N79" s="370">
        <f ca="1">[1]!RCHGetTableCell("http://quicktake.morningstar.com/StockNet/cashflow10.aspx?Symbol="&amp;Ticker,29,"&gt;Cash Flows From Financing Activities","&gt;Net Issuance of Stock")</f>
        <v>-856</v>
      </c>
      <c r="O79" s="370"/>
      <c r="P79" s="370"/>
      <c r="Q79" s="370"/>
      <c r="R79" s="370"/>
      <c r="S79" s="370">
        <f ca="1">[1]!RCHGetTableCell("http://quicktake.morningstar.com/StockNet/cashflow10.aspx?Symbol="&amp;Ticker,32,"&gt;Cash Flows From Financing Activities","&gt;Net Issuance of Stock")</f>
        <v>-745</v>
      </c>
    </row>
    <row r="80" spans="1:19" ht="14.25">
      <c r="A80" s="1020"/>
      <c r="B80" s="358" t="s">
        <v>51</v>
      </c>
      <c r="C80" s="943"/>
      <c r="D80" s="943"/>
      <c r="E80" s="359">
        <f ca="1">[1]!RCHGetTableCell("http://quicktake.morningstar.com/StockNet/cashflow10.aspx?Symbol="&amp;Ticker,2,"&gt;Cash Flows From Financing Activities","&gt;Net Issuance of Debt")</f>
        <v>0</v>
      </c>
      <c r="F80" s="359">
        <f ca="1">[1]!RCHGetTableCell("http://quicktake.morningstar.com/StockNet/cashflow10.aspx?Symbol="&amp;Ticker,5,"&gt;Cash Flows From Financing Activities","&gt;Net Issuance of Debt")</f>
        <v>0</v>
      </c>
      <c r="G80" s="359">
        <f ca="1">[1]!RCHGetTableCell("http://quicktake.morningstar.com/StockNet/cashflow10.aspx?Symbol="&amp;Ticker,8,"&gt;Cash Flows From Financing Activities","&gt;Net Issuance of Debt")</f>
        <v>0</v>
      </c>
      <c r="H80" s="359">
        <f ca="1">[1]!RCHGetTableCell("http://quicktake.morningstar.com/StockNet/cashflow10.aspx?Symbol="&amp;Ticker,11,"&gt;Cash Flows From Financing Activities","&gt;Net Issuance of Debt")</f>
        <v>0</v>
      </c>
      <c r="I80" s="359">
        <f ca="1">[1]!RCHGetTableCell("http://quicktake.morningstar.com/StockNet/cashflow10.aspx?Symbol="&amp;Ticker,14,"&gt;Cash Flows From Financing Activities","&gt;Net Issuance of Debt")</f>
        <v>0</v>
      </c>
      <c r="J80" s="359">
        <f ca="1">[1]!RCHGetTableCell("http://quicktake.morningstar.com/StockNet/cashflow10.aspx?Symbol="&amp;Ticker,17,"&gt;Cash Flows From Financing Activities","&gt;Net Issuance of Debt")</f>
        <v>0</v>
      </c>
      <c r="K80" s="359">
        <f ca="1">[1]!RCHGetTableCell("http://quicktake.morningstar.com/StockNet/cashflow10.aspx?Symbol="&amp;Ticker,20,"&gt;Cash Flows From Financing Activities","&gt;Net Issuance of Debt")</f>
        <v>0</v>
      </c>
      <c r="L80" s="359">
        <f ca="1">[1]!RCHGetTableCell("http://quicktake.morningstar.com/StockNet/cashflow10.aspx?Symbol="&amp;Ticker,23,"&gt;Cash Flows From Financing Activities","&gt;Net Issuance of Debt")</f>
        <v>0</v>
      </c>
      <c r="M80" s="359">
        <f ca="1">[1]!RCHGetTableCell("http://quicktake.morningstar.com/StockNet/cashflow10.aspx?Symbol="&amp;Ticker,26,"&gt;Cash Flows From Financing Activities","&gt;Net Issuance of Debt")</f>
        <v>29</v>
      </c>
      <c r="N80" s="359">
        <f ca="1">[1]!RCHGetTableCell("http://quicktake.morningstar.com/StockNet/cashflow10.aspx?Symbol="&amp;Ticker,29,"&gt;Cash Flows From Financing Activities","&gt;Net Issuance of Debt")</f>
        <v>2363</v>
      </c>
      <c r="O80" s="359"/>
      <c r="P80" s="359"/>
      <c r="Q80" s="359"/>
      <c r="R80" s="359"/>
      <c r="S80" s="359">
        <f ca="1">[1]!RCHGetTableCell("http://quicktake.morningstar.com/StockNet/cashflow10.aspx?Symbol="&amp;Ticker,32,"&gt;Cash Flows From Financing Activities","&gt;Net Issuance of Debt")</f>
        <v>-543</v>
      </c>
    </row>
    <row r="81" spans="1:19" ht="14.25">
      <c r="A81" s="1020"/>
      <c r="B81" s="378" t="s">
        <v>13</v>
      </c>
      <c r="C81" s="959"/>
      <c r="D81" s="959"/>
      <c r="E81" s="370">
        <f ca="1">[1]!RCHGetTableCell("http://quicktake.morningstar.com/StockNet/cashflow10.aspx?Symbol="&amp;Ticker,2,"&gt;Cash Flows From Financing Activities","&gt;Dividends")</f>
        <v>-1685</v>
      </c>
      <c r="F81" s="370">
        <f ca="1">[1]!RCHGetTableCell("http://quicktake.morningstar.com/StockNet/cashflow10.aspx?Symbol="&amp;Ticker,5,"&gt;Cash Flows From Financing Activities","&gt;Dividends")</f>
        <v>-1791</v>
      </c>
      <c r="G81" s="370">
        <f ca="1">[1]!RCHGetTableCell("http://quicktake.morningstar.com/StockNet/cashflow10.aspx?Symbol="&amp;Ticker,8,"&gt;Cash Flows From Financing Activities","&gt;Dividends")</f>
        <v>-1987</v>
      </c>
      <c r="H81" s="370">
        <f ca="1">[1]!RCHGetTableCell("http://quicktake.morningstar.com/StockNet/cashflow10.aspx?Symbol="&amp;Ticker,11,"&gt;Cash Flows From Financing Activities","&gt;Dividends")</f>
        <v>-2166</v>
      </c>
      <c r="I81" s="370">
        <f ca="1">[1]!RCHGetTableCell("http://quicktake.morningstar.com/StockNet/cashflow10.aspx?Symbol="&amp;Ticker,14,"&gt;Cash Flows From Financing Activities","&gt;Dividends")</f>
        <v>-2429</v>
      </c>
      <c r="J81" s="370">
        <f ca="1">[1]!RCHGetTableCell("http://quicktake.morningstar.com/StockNet/cashflow10.aspx?Symbol="&amp;Ticker,17,"&gt;Cash Flows From Financing Activities","&gt;Dividends")</f>
        <v>-2678</v>
      </c>
      <c r="K81" s="370">
        <f ca="1">[1]!RCHGetTableCell("http://quicktake.morningstar.com/StockNet/cashflow10.aspx?Symbol="&amp;Ticker,20,"&gt;Cash Flows From Financing Activities","&gt;Dividends")</f>
        <v>-2911</v>
      </c>
      <c r="L81" s="370">
        <f ca="1">[1]!RCHGetTableCell("http://quicktake.morningstar.com/StockNet/cashflow10.aspx?Symbol="&amp;Ticker,23,"&gt;Cash Flows From Financing Activities","&gt;Dividends")</f>
        <v>-3149</v>
      </c>
      <c r="M81" s="370">
        <f ca="1">[1]!RCHGetTableCell("http://quicktake.morningstar.com/StockNet/cashflow10.aspx?Symbol="&amp;Ticker,26,"&gt;Cash Flows From Financing Activities","&gt;Dividends")</f>
        <v>-3521</v>
      </c>
      <c r="N81" s="370">
        <f ca="1">[1]!RCHGetTableCell("http://quicktake.morningstar.com/StockNet/cashflow10.aspx?Symbol="&amp;Ticker,29,"&gt;Cash Flows From Financing Activities","&gt;Dividends")</f>
        <v>-3800</v>
      </c>
      <c r="O81" s="370"/>
      <c r="P81" s="370"/>
      <c r="Q81" s="370"/>
      <c r="R81" s="370"/>
      <c r="S81" s="370">
        <f ca="1">[1]!RCHGetTableCell("http://quicktake.morningstar.com/StockNet/cashflow10.aspx?Symbol="&amp;Ticker,32,"&gt;Cash Flows From Financing Activities","&gt;Dividends")</f>
        <v>-3865</v>
      </c>
    </row>
    <row r="82" spans="1:19" ht="14.25">
      <c r="A82" s="1020"/>
      <c r="B82" s="380" t="s">
        <v>19</v>
      </c>
      <c r="C82" s="967"/>
      <c r="D82" s="967"/>
      <c r="E82" s="381">
        <f ca="1">[1]!RCHGetTableCell("http://quicktake.morningstar.com/StockNet/cashflow10.aspx?Symbol="&amp;Ticker,2,"&gt;Cash Flows From Financing Activities","&gt;Other")</f>
        <v>-585</v>
      </c>
      <c r="F82" s="381">
        <f ca="1">[1]!RCHGetTableCell("http://quicktake.morningstar.com/StockNet/cashflow10.aspx?Symbol="&amp;Ticker,5,"&gt;Cash Flows From Financing Activities","&gt;Other")</f>
        <v>-926</v>
      </c>
      <c r="G82" s="381">
        <f ca="1">[1]!RCHGetTableCell("http://quicktake.morningstar.com/StockNet/cashflow10.aspx?Symbol="&amp;Ticker,8,"&gt;Cash Flows From Financing Activities","&gt;Other")</f>
        <v>-756</v>
      </c>
      <c r="H82" s="381">
        <f ca="1">[1]!RCHGetTableCell("http://quicktake.morningstar.com/StockNet/cashflow10.aspx?Symbol="&amp;Ticker,11,"&gt;Cash Flows From Financing Activities","&gt;Other")</f>
        <v>-93</v>
      </c>
      <c r="I82" s="381">
        <f ca="1">[1]!RCHGetTableCell("http://quicktake.morningstar.com/StockNet/cashflow10.aspx?Symbol="&amp;Ticker,14,"&gt;Cash Flows From Financing Activities","&gt;Other")</f>
        <v>1714</v>
      </c>
      <c r="J82" s="381">
        <f ca="1">[1]!RCHGetTableCell("http://quicktake.morningstar.com/StockNet/cashflow10.aspx?Symbol="&amp;Ticker,17,"&gt;Cash Flows From Financing Activities","&gt;Other")</f>
        <v>-2282</v>
      </c>
      <c r="K82" s="381">
        <f ca="1">[1]!RCHGetTableCell("http://quicktake.morningstar.com/StockNet/cashflow10.aspx?Symbol="&amp;Ticker,20,"&gt;Cash Flows From Financing Activities","&gt;Other")</f>
        <v>-1404</v>
      </c>
      <c r="L82" s="381">
        <f ca="1">[1]!RCHGetTableCell("http://quicktake.morningstar.com/StockNet/cashflow10.aspx?Symbol="&amp;Ticker,23,"&gt;Cash Flows From Financing Activities","&gt;Other")</f>
        <v>4341</v>
      </c>
      <c r="M82" s="381">
        <f ca="1">[1]!RCHGetTableCell("http://quicktake.morningstar.com/StockNet/cashflow10.aspx?Symbol="&amp;Ticker,26,"&gt;Cash Flows From Financing Activities","&gt;Other")</f>
        <v>0</v>
      </c>
      <c r="N82" s="381">
        <f ca="1">[1]!RCHGetTableCell("http://quicktake.morningstar.com/StockNet/cashflow10.aspx?Symbol="&amp;Ticker,29,"&gt;Cash Flows From Financing Activities","&gt;Other")</f>
        <v>0</v>
      </c>
      <c r="O82" s="381"/>
      <c r="P82" s="381"/>
      <c r="Q82" s="381"/>
      <c r="R82" s="381"/>
      <c r="S82" s="381">
        <f ca="1">[1]!RCHGetTableCell("http://quicktake.morningstar.com/StockNet/cashflow10.aspx?Symbol="&amp;Ticker,32,"&gt;Cash Flows From Financing Activities","&gt;Other")</f>
        <v>0</v>
      </c>
    </row>
    <row r="83" spans="1:19" ht="15">
      <c r="A83" s="1020"/>
      <c r="B83" s="354" t="s">
        <v>52</v>
      </c>
      <c r="C83" s="939"/>
      <c r="D83" s="939"/>
      <c r="E83" s="355">
        <f ca="1">[1]!RCHGetTableCell("http://quicktake.morningstar.com/StockNet/cashflow10.aspx?Symbol="&amp;Ticker,2,"&gt;Cash Flows From Financing Activities","&gt;Cash from Financing")</f>
        <v>-2072</v>
      </c>
      <c r="F83" s="355">
        <f ca="1">[1]!RCHGetTableCell("http://quicktake.morningstar.com/StockNet/cashflow10.aspx?Symbol="&amp;Ticker,5,"&gt;Cash Flows From Financing Activities","&gt;Cash from Financing")</f>
        <v>-2830</v>
      </c>
      <c r="G83" s="355">
        <f ca="1">[1]!RCHGetTableCell("http://quicktake.morningstar.com/StockNet/cashflow10.aspx?Symbol="&amp;Ticker,8,"&gt;Cash Flows From Financing Activities","&gt;Cash from Financing")</f>
        <v>-3327</v>
      </c>
      <c r="H83" s="355">
        <f ca="1">[1]!RCHGetTableCell("http://quicktake.morningstar.com/StockNet/cashflow10.aspx?Symbol="&amp;Ticker,11,"&gt;Cash Flows From Financing Activities","&gt;Cash from Financing")</f>
        <v>-3601</v>
      </c>
      <c r="I83" s="355">
        <f ca="1">[1]!RCHGetTableCell("http://quicktake.morningstar.com/StockNet/cashflow10.aspx?Symbol="&amp;Ticker,14,"&gt;Cash Flows From Financing Activities","&gt;Cash from Financing")</f>
        <v>-2261</v>
      </c>
      <c r="J83" s="355">
        <f ca="1">[1]!RCHGetTableCell("http://quicktake.morningstar.com/StockNet/cashflow10.aspx?Symbol="&amp;Ticker,17,"&gt;Cash Flows From Financing Activities","&gt;Cash from Financing")</f>
        <v>-6785</v>
      </c>
      <c r="K83" s="355">
        <f ca="1">[1]!RCHGetTableCell("http://quicktake.morningstar.com/StockNet/cashflow10.aspx?Symbol="&amp;Ticker,20,"&gt;Cash Flows From Financing Activities","&gt;Cash from Financing")</f>
        <v>-6583</v>
      </c>
      <c r="L83" s="355">
        <f ca="1">[1]!RCHGetTableCell("http://quicktake.morningstar.com/StockNet/cashflow10.aspx?Symbol="&amp;Ticker,23,"&gt;Cash Flows From Financing Activities","&gt;Cash from Financing")</f>
        <v>973</v>
      </c>
      <c r="M83" s="355">
        <f ca="1">[1]!RCHGetTableCell("http://quicktake.morningstar.com/StockNet/cashflow10.aspx?Symbol="&amp;Ticker,26,"&gt;Cash Flows From Financing Activities","&gt;Cash from Financing")</f>
        <v>-3985</v>
      </c>
      <c r="N83" s="355">
        <f ca="1">[1]!RCHGetTableCell("http://quicktake.morningstar.com/StockNet/cashflow10.aspx?Symbol="&amp;Ticker,29,"&gt;Cash Flows From Financing Activities","&gt;Cash from Financing")</f>
        <v>-2293</v>
      </c>
      <c r="O83" s="355"/>
      <c r="P83" s="355"/>
      <c r="Q83" s="355"/>
      <c r="R83" s="355"/>
      <c r="S83" s="355">
        <f ca="1">[1]!RCHGetTableCell("http://quicktake.morningstar.com/StockNet/cashflow10.aspx?Symbol="&amp;Ticker,32,"&gt;Cash Flows From Financing Activities","&gt;Cash from Financing")</f>
        <v>-5153</v>
      </c>
    </row>
    <row r="84" spans="1:19" ht="14.25">
      <c r="A84" s="375"/>
      <c r="B84" s="358" t="s">
        <v>53</v>
      </c>
      <c r="C84" s="943"/>
      <c r="D84" s="943"/>
      <c r="E84" s="359">
        <f ca="1">[1]!RCHGetTableCell("http://quicktake.morningstar.com/StockNet/cashflow10.aspx?Symbol="&amp;Ticker,2,"&gt;Cash Flows From Financing Activities","&gt;Currency Adj")</f>
        <v>-140</v>
      </c>
      <c r="F84" s="359">
        <f ca="1">[1]!RCHGetTableCell("http://quicktake.morningstar.com/StockNet/cashflow10.aspx?Symbol="&amp;Ticker,5,"&gt;Cash Flows From Financing Activities","&gt;Currency Adj")</f>
        <v>-45</v>
      </c>
      <c r="G84" s="359">
        <f ca="1">[1]!RCHGetTableCell("http://quicktake.morningstar.com/StockNet/cashflow10.aspx?Symbol="&amp;Ticker,8,"&gt;Cash Flows From Financing Activities","&gt;Currency Adj")</f>
        <v>32</v>
      </c>
      <c r="H84" s="359">
        <f ca="1">[1]!RCHGetTableCell("http://quicktake.morningstar.com/StockNet/cashflow10.aspx?Symbol="&amp;Ticker,11,"&gt;Cash Flows From Financing Activities","&gt;Currency Adj")</f>
        <v>183</v>
      </c>
      <c r="I84" s="359">
        <f ca="1">[1]!RCHGetTableCell("http://quicktake.morningstar.com/StockNet/cashflow10.aspx?Symbol="&amp;Ticker,14,"&gt;Cash Flows From Financing Activities","&gt;Currency Adj")</f>
        <v>141</v>
      </c>
      <c r="J84" s="359">
        <f ca="1">[1]!RCHGetTableCell("http://quicktake.morningstar.com/StockNet/cashflow10.aspx?Symbol="&amp;Ticker,17,"&gt;Cash Flows From Financing Activities","&gt;Currency Adj")</f>
        <v>-148</v>
      </c>
      <c r="K84" s="359">
        <f ca="1">[1]!RCHGetTableCell("http://quicktake.morningstar.com/StockNet/cashflow10.aspx?Symbol="&amp;Ticker,20,"&gt;Cash Flows From Financing Activities","&gt;Currency Adj")</f>
        <v>65</v>
      </c>
      <c r="L84" s="359">
        <f ca="1">[1]!RCHGetTableCell("http://quicktake.morningstar.com/StockNet/cashflow10.aspx?Symbol="&amp;Ticker,23,"&gt;Cash Flows From Financing Activities","&gt;Currency Adj")</f>
        <v>249</v>
      </c>
      <c r="M84" s="359">
        <f ca="1">[1]!RCHGetTableCell("http://quicktake.morningstar.com/StockNet/cashflow10.aspx?Symbol="&amp;Ticker,26,"&gt;Cash Flows From Financing Activities","&gt;Currency Adj")</f>
        <v>-615</v>
      </c>
      <c r="N84" s="359">
        <f ca="1">[1]!RCHGetTableCell("http://quicktake.morningstar.com/StockNet/cashflow10.aspx?Symbol="&amp;Ticker,29,"&gt;Cash Flows From Financing Activities","&gt;Currency Adj")</f>
        <v>576</v>
      </c>
      <c r="O84" s="359"/>
      <c r="P84" s="359"/>
      <c r="Q84" s="359"/>
      <c r="R84" s="359"/>
      <c r="S84" s="359">
        <f ca="1">[1]!RCHGetTableCell("http://quicktake.morningstar.com/StockNet/cashflow10.aspx?Symbol="&amp;Ticker,32,"&gt;Cash Flows From Financing Activities","&gt;Currency Adj")</f>
        <v>300</v>
      </c>
    </row>
    <row r="85" spans="1:19" ht="14.25">
      <c r="A85" s="375"/>
      <c r="B85" s="378" t="s">
        <v>54</v>
      </c>
      <c r="C85" s="959"/>
      <c r="D85" s="959"/>
      <c r="E85" s="370">
        <f ca="1">[1]!RCHGetTableCell("http://quicktake.morningstar.com/StockNet/cashflow10.aspx?Symbol="&amp;Ticker,2,"&gt;Cash Flows From Financing Activities","&gt;Change in Cash")</f>
        <v>208</v>
      </c>
      <c r="F85" s="370">
        <f ca="1">[1]!RCHGetTableCell("http://quicktake.morningstar.com/StockNet/cashflow10.aspx?Symbol="&amp;Ticker,5,"&gt;Cash Flows From Financing Activities","&gt;Change in Cash")</f>
        <v>47</v>
      </c>
      <c r="G85" s="370">
        <f ca="1">[1]!RCHGetTableCell("http://quicktake.morningstar.com/StockNet/cashflow10.aspx?Symbol="&amp;Ticker,8,"&gt;Cash Flows From Financing Activities","&gt;Change in Cash")</f>
        <v>260</v>
      </c>
      <c r="H85" s="370">
        <f ca="1">[1]!RCHGetTableCell("http://quicktake.morningstar.com/StockNet/cashflow10.aspx?Symbol="&amp;Ticker,11,"&gt;Cash Flows From Financing Activities","&gt;Change in Cash")</f>
        <v>1102</v>
      </c>
      <c r="I85" s="370">
        <f ca="1">[1]!RCHGetTableCell("http://quicktake.morningstar.com/StockNet/cashflow10.aspx?Symbol="&amp;Ticker,14,"&gt;Cash Flows From Financing Activities","&gt;Change in Cash")</f>
        <v>3345</v>
      </c>
      <c r="J85" s="370">
        <f ca="1">[1]!RCHGetTableCell("http://quicktake.morningstar.com/StockNet/cashflow10.aspx?Symbol="&amp;Ticker,17,"&gt;Cash Flows From Financing Activities","&gt;Change in Cash")</f>
        <v>-2006</v>
      </c>
      <c r="K85" s="370">
        <f ca="1">[1]!RCHGetTableCell("http://quicktake.morningstar.com/StockNet/cashflow10.aspx?Symbol="&amp;Ticker,20,"&gt;Cash Flows From Financing Activities","&gt;Change in Cash")</f>
        <v>-2261</v>
      </c>
      <c r="L85" s="370">
        <f ca="1">[1]!RCHGetTableCell("http://quicktake.morningstar.com/StockNet/cashflow10.aspx?Symbol="&amp;Ticker,23,"&gt;Cash Flows From Financing Activities","&gt;Change in Cash")</f>
        <v>1653</v>
      </c>
      <c r="M85" s="370">
        <f ca="1">[1]!RCHGetTableCell("http://quicktake.morningstar.com/StockNet/cashflow10.aspx?Symbol="&amp;Ticker,26,"&gt;Cash Flows From Financing Activities","&gt;Change in Cash")</f>
        <v>608</v>
      </c>
      <c r="N85" s="370">
        <f ca="1">[1]!RCHGetTableCell("http://quicktake.morningstar.com/StockNet/cashflow10.aspx?Symbol="&amp;Ticker,29,"&gt;Cash Flows From Financing Activities","&gt;Change in Cash")</f>
        <v>2320</v>
      </c>
      <c r="O85" s="370"/>
      <c r="P85" s="370"/>
      <c r="Q85" s="370"/>
      <c r="R85" s="370"/>
      <c r="S85" s="370">
        <f ca="1">[1]!RCHGetTableCell("http://quicktake.morningstar.com/StockNet/cashflow10.aspx?Symbol="&amp;Ticker,32,"&gt;Cash Flows From Financing Activities","&gt;Change in Cash")</f>
        <v>-1132</v>
      </c>
    </row>
    <row r="86" spans="1:19" ht="27" customHeight="1">
      <c r="A86" s="375"/>
      <c r="B86" s="399" t="s">
        <v>0</v>
      </c>
      <c r="C86" s="972"/>
      <c r="D86" s="972"/>
      <c r="E86" s="399"/>
      <c r="F86" s="399"/>
      <c r="G86" s="399"/>
      <c r="H86" s="399"/>
      <c r="I86" s="399"/>
      <c r="J86" s="399"/>
      <c r="K86" s="399"/>
      <c r="L86" s="399"/>
      <c r="M86" s="399"/>
      <c r="N86" s="399"/>
      <c r="O86" s="399"/>
      <c r="P86" s="399"/>
      <c r="Q86" s="399"/>
      <c r="R86" s="399"/>
      <c r="S86" s="399"/>
    </row>
    <row r="87" spans="1:19" ht="14.25">
      <c r="A87" s="1020"/>
      <c r="B87" s="358" t="s">
        <v>46</v>
      </c>
      <c r="C87" s="943"/>
      <c r="D87" s="943"/>
      <c r="E87" s="359">
        <f ca="1">[1]!RCHGetTableCell("http://quicktake.morningstar.com/StockNet/cashflow10.aspx?Symbol="&amp;Ticker,2,"&gt;Free Cash Flow","&gt;Cash from Operations")</f>
        <v>3585</v>
      </c>
      <c r="F87" s="359">
        <f ca="1">[1]!RCHGetTableCell("http://quicktake.morningstar.com/StockNet/cashflow10.aspx?Symbol="&amp;Ticker,5,"&gt;Free Cash Flow","&gt;Cash from Operations")</f>
        <v>4110</v>
      </c>
      <c r="G87" s="359">
        <f ca="1">[1]!RCHGetTableCell("http://quicktake.morningstar.com/StockNet/cashflow10.aspx?Symbol="&amp;Ticker,8,"&gt;Free Cash Flow","&gt;Cash from Operations")</f>
        <v>4742</v>
      </c>
      <c r="H87" s="359">
        <f ca="1">[1]!RCHGetTableCell("http://quicktake.morningstar.com/StockNet/cashflow10.aspx?Symbol="&amp;Ticker,11,"&gt;Free Cash Flow","&gt;Cash from Operations")</f>
        <v>5456</v>
      </c>
      <c r="I87" s="359">
        <f ca="1">[1]!RCHGetTableCell("http://quicktake.morningstar.com/StockNet/cashflow10.aspx?Symbol="&amp;Ticker,14,"&gt;Free Cash Flow","&gt;Cash from Operations")</f>
        <v>5968</v>
      </c>
      <c r="J87" s="359">
        <f ca="1">[1]!RCHGetTableCell("http://quicktake.morningstar.com/StockNet/cashflow10.aspx?Symbol="&amp;Ticker,17,"&gt;Free Cash Flow","&gt;Cash from Operations")</f>
        <v>6423</v>
      </c>
      <c r="K87" s="359">
        <f ca="1">[1]!RCHGetTableCell("http://quicktake.morningstar.com/StockNet/cashflow10.aspx?Symbol="&amp;Ticker,20,"&gt;Free Cash Flow","&gt;Cash from Operations")</f>
        <v>5957</v>
      </c>
      <c r="L87" s="359">
        <f ca="1">[1]!RCHGetTableCell("http://quicktake.morningstar.com/StockNet/cashflow10.aspx?Symbol="&amp;Ticker,23,"&gt;Free Cash Flow","&gt;Cash from Operations")</f>
        <v>7150</v>
      </c>
      <c r="M87" s="359">
        <f ca="1">[1]!RCHGetTableCell("http://quicktake.morningstar.com/StockNet/cashflow10.aspx?Symbol="&amp;Ticker,26,"&gt;Free Cash Flow","&gt;Cash from Operations")</f>
        <v>7571</v>
      </c>
      <c r="N87" s="359">
        <f ca="1">[1]!RCHGetTableCell("http://quicktake.morningstar.com/StockNet/cashflow10.aspx?Symbol="&amp;Ticker,29,"&gt;Free Cash Flow","&gt;Cash from Operations")</f>
        <v>8186</v>
      </c>
      <c r="O87" s="359"/>
      <c r="P87" s="359"/>
      <c r="Q87" s="359"/>
      <c r="R87" s="359"/>
      <c r="S87" s="359">
        <f ca="1">[1]!RCHGetTableCell("http://quicktake.morningstar.com/StockNet/cashflow10.aspx?Symbol="&amp;Ticker,32,"&gt;Free Cash Flow","&gt;Cash from Operations")</f>
        <v>8639</v>
      </c>
    </row>
    <row r="88" spans="1:19" ht="14.25">
      <c r="A88" s="1020"/>
      <c r="B88" s="376" t="s">
        <v>47</v>
      </c>
      <c r="C88" s="965"/>
      <c r="D88" s="965"/>
      <c r="E88" s="377">
        <f ca="1">[1]!RCHGetTableCell("http://quicktake.morningstar.com/StockNet/cashflow10.aspx?Symbol="&amp;Ticker,2,"&gt;Free Cash Flow","&gt;Cap Ex")</f>
        <v>-733</v>
      </c>
      <c r="F88" s="377">
        <f ca="1">[1]!RCHGetTableCell("http://quicktake.morningstar.com/StockNet/cashflow10.aspx?Symbol="&amp;Ticker,5,"&gt;Free Cash Flow","&gt;Cap Ex")</f>
        <v>-769</v>
      </c>
      <c r="G88" s="377">
        <f ca="1">[1]!RCHGetTableCell("http://quicktake.morningstar.com/StockNet/cashflow10.aspx?Symbol="&amp;Ticker,8,"&gt;Free Cash Flow","&gt;Cap Ex")</f>
        <v>-851</v>
      </c>
      <c r="H88" s="377">
        <f ca="1">[1]!RCHGetTableCell("http://quicktake.morningstar.com/StockNet/cashflow10.aspx?Symbol="&amp;Ticker,11,"&gt;Free Cash Flow","&gt;Cap Ex")</f>
        <v>-812</v>
      </c>
      <c r="I88" s="377">
        <f ca="1">[1]!RCHGetTableCell("http://quicktake.morningstar.com/StockNet/cashflow10.aspx?Symbol="&amp;Ticker,14,"&gt;Free Cash Flow","&gt;Cap Ex")</f>
        <v>-755</v>
      </c>
      <c r="J88" s="377">
        <f ca="1">[1]!RCHGetTableCell("http://quicktake.morningstar.com/StockNet/cashflow10.aspx?Symbol="&amp;Ticker,17,"&gt;Free Cash Flow","&gt;Cap Ex")</f>
        <v>-899</v>
      </c>
      <c r="K88" s="377">
        <f ca="1">[1]!RCHGetTableCell("http://quicktake.morningstar.com/StockNet/cashflow10.aspx?Symbol="&amp;Ticker,20,"&gt;Free Cash Flow","&gt;Cap Ex")</f>
        <v>-1407</v>
      </c>
      <c r="L88" s="377">
        <f ca="1">[1]!RCHGetTableCell("http://quicktake.morningstar.com/StockNet/cashflow10.aspx?Symbol="&amp;Ticker,23,"&gt;Free Cash Flow","&gt;Cap Ex")</f>
        <v>-1648</v>
      </c>
      <c r="M88" s="377">
        <f ca="1">[1]!RCHGetTableCell("http://quicktake.morningstar.com/StockNet/cashflow10.aspx?Symbol="&amp;Ticker,26,"&gt;Free Cash Flow","&gt;Cap Ex")</f>
        <v>-1968</v>
      </c>
      <c r="N88" s="377">
        <f ca="1">[1]!RCHGetTableCell("http://quicktake.morningstar.com/StockNet/cashflow10.aspx?Symbol="&amp;Ticker,29,"&gt;Free Cash Flow","&gt;Cap Ex")</f>
        <v>-1993</v>
      </c>
      <c r="O88" s="377"/>
      <c r="P88" s="377"/>
      <c r="Q88" s="377"/>
      <c r="R88" s="377"/>
      <c r="S88" s="377">
        <f ca="1">[1]!RCHGetTableCell("http://quicktake.morningstar.com/StockNet/cashflow10.aspx?Symbol="&amp;Ticker,32,"&gt;Free Cash Flow","&gt;Cap Ex")</f>
        <v>-1919</v>
      </c>
    </row>
    <row r="89" spans="1:19" ht="15">
      <c r="A89" s="1020"/>
      <c r="B89" s="406" t="s">
        <v>0</v>
      </c>
      <c r="C89" s="973"/>
      <c r="D89" s="973"/>
      <c r="E89" s="407">
        <f t="shared" ref="E89:S89" ca="1" si="12">E87+E88</f>
        <v>2852</v>
      </c>
      <c r="F89" s="407">
        <f t="shared" ca="1" si="12"/>
        <v>3341</v>
      </c>
      <c r="G89" s="407">
        <f t="shared" ca="1" si="12"/>
        <v>3891</v>
      </c>
      <c r="H89" s="407">
        <f t="shared" ca="1" si="12"/>
        <v>4644</v>
      </c>
      <c r="I89" s="407">
        <f t="shared" ca="1" si="12"/>
        <v>5213</v>
      </c>
      <c r="J89" s="407">
        <f t="shared" ca="1" si="12"/>
        <v>5524</v>
      </c>
      <c r="K89" s="407">
        <f t="shared" ca="1" si="12"/>
        <v>4550</v>
      </c>
      <c r="L89" s="407">
        <f t="shared" ca="1" si="12"/>
        <v>5502</v>
      </c>
      <c r="M89" s="407">
        <f t="shared" ca="1" si="12"/>
        <v>5603</v>
      </c>
      <c r="N89" s="407">
        <f t="shared" ca="1" si="12"/>
        <v>6193</v>
      </c>
      <c r="O89" s="407"/>
      <c r="P89" s="407"/>
      <c r="Q89" s="407"/>
      <c r="R89" s="407"/>
      <c r="S89" s="407">
        <f t="shared" ca="1" si="12"/>
        <v>6720</v>
      </c>
    </row>
    <row r="90" spans="1:19" ht="15">
      <c r="A90" s="1020"/>
      <c r="B90" s="354" t="s">
        <v>433</v>
      </c>
      <c r="C90" s="939"/>
      <c r="D90" s="939"/>
      <c r="E90" s="355">
        <f ca="1">IF(ISBLANK(E91),E68+E69+E88,E91)</f>
        <v>2217</v>
      </c>
      <c r="F90" s="355">
        <f t="shared" ref="F90:S90" ca="1" si="13">IF(ISBLANK(F91),F68+F69+F88,F91)</f>
        <v>4003</v>
      </c>
      <c r="G90" s="355">
        <f t="shared" ca="1" si="13"/>
        <v>3005</v>
      </c>
      <c r="H90" s="355">
        <f t="shared" ca="1" si="13"/>
        <v>4385</v>
      </c>
      <c r="I90" s="355">
        <f t="shared" ca="1" si="13"/>
        <v>4985</v>
      </c>
      <c r="J90" s="355">
        <f t="shared" ca="1" si="13"/>
        <v>4905</v>
      </c>
      <c r="K90" s="355">
        <f t="shared" ca="1" si="13"/>
        <v>4611</v>
      </c>
      <c r="L90" s="355">
        <f t="shared" ca="1" si="13"/>
        <v>5496</v>
      </c>
      <c r="M90" s="355">
        <f t="shared" ca="1" si="13"/>
        <v>5067</v>
      </c>
      <c r="N90" s="355">
        <f t="shared" ca="1" si="13"/>
        <v>6067</v>
      </c>
      <c r="O90" s="355"/>
      <c r="P90" s="355"/>
      <c r="Q90" s="355"/>
      <c r="R90" s="355"/>
      <c r="S90" s="355">
        <f t="shared" ca="1" si="13"/>
        <v>6419</v>
      </c>
    </row>
    <row r="91" spans="1:19" ht="15" thickBot="1">
      <c r="A91" s="375"/>
      <c r="B91" s="408" t="s">
        <v>538</v>
      </c>
      <c r="C91" s="974"/>
      <c r="D91" s="974"/>
      <c r="E91" s="409"/>
      <c r="F91" s="409"/>
      <c r="G91" s="409"/>
      <c r="H91" s="409"/>
      <c r="I91" s="409"/>
      <c r="J91" s="409"/>
      <c r="K91" s="409"/>
      <c r="L91" s="409"/>
      <c r="M91" s="409"/>
      <c r="N91" s="409"/>
      <c r="O91" s="409"/>
      <c r="P91" s="409"/>
      <c r="Q91" s="409"/>
      <c r="R91" s="409"/>
      <c r="S91" s="927"/>
    </row>
    <row r="92" spans="1:19" ht="13.5" thickTop="1">
      <c r="A92" s="375"/>
      <c r="E92" s="321"/>
      <c r="F92" s="321"/>
      <c r="G92" s="321"/>
      <c r="H92" s="321"/>
      <c r="I92" s="321"/>
      <c r="J92" s="321"/>
      <c r="K92" s="321"/>
      <c r="L92" s="321"/>
      <c r="M92" s="321"/>
      <c r="N92" s="321"/>
      <c r="O92" s="321"/>
      <c r="P92" s="321"/>
      <c r="Q92" s="321"/>
      <c r="R92" s="321"/>
      <c r="S92" s="928"/>
    </row>
    <row r="93" spans="1:19" ht="12.75">
      <c r="B93" s="411"/>
      <c r="C93" s="976"/>
      <c r="D93" s="976"/>
      <c r="F93" s="412"/>
      <c r="G93" s="412"/>
      <c r="H93" s="412"/>
      <c r="I93" s="412"/>
      <c r="J93" s="412"/>
      <c r="K93" s="412"/>
      <c r="L93" s="412"/>
      <c r="M93" s="412"/>
    </row>
  </sheetData>
  <mergeCells count="11">
    <mergeCell ref="N1:S1"/>
    <mergeCell ref="A7:A12"/>
    <mergeCell ref="A14:A22"/>
    <mergeCell ref="A26:A30"/>
    <mergeCell ref="A54:A64"/>
    <mergeCell ref="A87:A90"/>
    <mergeCell ref="A68:A72"/>
    <mergeCell ref="A74:A77"/>
    <mergeCell ref="A79:A83"/>
    <mergeCell ref="A31:A37"/>
    <mergeCell ref="A41:A52"/>
  </mergeCells>
  <phoneticPr fontId="8" type="noConversion"/>
  <dataValidations disablePrompts="1" xWindow="82" yWindow="275" count="1">
    <dataValidation allowBlank="1" showErrorMessage="1" promptTitle="Ticker Symbol" prompt="_x000a_Enter your ticker symbol here to change the table values_x000a_" sqref="A5"/>
  </dataValidations>
  <pageMargins left="0.25" right="0.25" top="0.25" bottom="0.25" header="0.25" footer="0.25"/>
  <pageSetup scale="45" orientation="portrait" r:id="rId1"/>
  <headerFooter alignWithMargins="0"/>
  <rowBreaks count="1" manualBreakCount="1">
    <brk id="92" max="12" man="1"/>
  </rowBreaks>
  <drawing r:id="rId2"/>
  <legacyDrawing r:id="rId3"/>
</worksheet>
</file>

<file path=xl/worksheets/sheet5.xml><?xml version="1.0" encoding="utf-8"?>
<worksheet xmlns="http://schemas.openxmlformats.org/spreadsheetml/2006/main" xmlns:r="http://schemas.openxmlformats.org/officeDocument/2006/relationships">
  <sheetPr codeName="Sheet4"/>
  <dimension ref="A1:N84"/>
  <sheetViews>
    <sheetView showGridLines="0" topLeftCell="B1" zoomScale="75" zoomScaleNormal="75" zoomScaleSheetLayoutView="85" workbookViewId="0">
      <pane ySplit="9" topLeftCell="A10" activePane="bottomLeft" state="frozen"/>
      <selection pane="bottomLeft" activeCell="F4" sqref="F4 J3:J4 D4"/>
    </sheetView>
  </sheetViews>
  <sheetFormatPr defaultColWidth="0" defaultRowHeight="12.75"/>
  <cols>
    <col min="1" max="1" width="23.140625" style="300" customWidth="1"/>
    <col min="2" max="2" width="12.5703125" style="300" customWidth="1"/>
    <col min="3" max="3" width="12.85546875" style="300" customWidth="1"/>
    <col min="4" max="12" width="13.42578125" style="300" customWidth="1"/>
    <col min="13" max="13" width="12.140625" style="300" customWidth="1"/>
    <col min="14" max="14" width="5.42578125" style="461" customWidth="1"/>
    <col min="15" max="16384" width="0" style="300" hidden="1"/>
  </cols>
  <sheetData>
    <row r="1" spans="1:14">
      <c r="A1" s="299"/>
      <c r="B1" s="299"/>
      <c r="C1" s="299"/>
      <c r="D1" s="299"/>
      <c r="E1" s="299"/>
      <c r="F1" s="299"/>
      <c r="G1" s="299"/>
      <c r="J1" s="1035"/>
      <c r="K1" s="1035"/>
    </row>
    <row r="2" spans="1:14" s="303" customFormat="1" ht="20.25" customHeight="1">
      <c r="A2" s="301" t="str">
        <f ca="1">Statements!$A$2</f>
        <v>Coca-Cola Co</v>
      </c>
      <c r="B2" s="301"/>
      <c r="D2" s="418" t="s">
        <v>547</v>
      </c>
      <c r="E2" s="418" t="s">
        <v>546</v>
      </c>
      <c r="F2" s="418" t="s">
        <v>86</v>
      </c>
      <c r="G2" s="418" t="s">
        <v>87</v>
      </c>
      <c r="H2" s="418" t="s">
        <v>548</v>
      </c>
      <c r="I2" s="418" t="s">
        <v>543</v>
      </c>
      <c r="J2" s="419" t="str">
        <f ca="1">"Adjust "&amp;L9&amp;" FCF"</f>
        <v>Adjust 2009 FCF</v>
      </c>
      <c r="K2" s="302"/>
      <c r="N2" s="462"/>
    </row>
    <row r="3" spans="1:14" s="303" customFormat="1" ht="18" customHeight="1">
      <c r="A3" s="304" t="str">
        <f ca="1">Statements!$A$3</f>
        <v>(KO)</v>
      </c>
      <c r="B3" s="304"/>
      <c r="C3" s="466" t="str">
        <f ca="1">DCFData!$B$10</f>
        <v>Check Shares</v>
      </c>
      <c r="D3" s="906">
        <f ca="1">IF(ISBLANK(user_shares),DCFData!B9,user_shares)</f>
        <v>2310</v>
      </c>
      <c r="E3" s="1028">
        <v>0.5</v>
      </c>
      <c r="F3" s="459">
        <f ca="1">IF(ISBLANK(F4),Lists!F4,F4)</f>
        <v>6.0552578072714414E-2</v>
      </c>
      <c r="G3" s="1026">
        <v>0.12</v>
      </c>
      <c r="H3" s="1028">
        <v>0.03</v>
      </c>
      <c r="I3" s="1033" t="s">
        <v>541</v>
      </c>
      <c r="J3" s="1024"/>
      <c r="K3" s="302"/>
      <c r="N3" s="462"/>
    </row>
    <row r="4" spans="1:14" ht="24.75" customHeight="1">
      <c r="A4" s="475">
        <f ca="1">Statements!$A$4</f>
        <v>40369</v>
      </c>
      <c r="C4" s="465" t="s">
        <v>564</v>
      </c>
      <c r="D4" s="305"/>
      <c r="E4" s="1029"/>
      <c r="F4" s="306"/>
      <c r="G4" s="1027"/>
      <c r="H4" s="1029"/>
      <c r="I4" s="1034"/>
      <c r="J4" s="1025"/>
      <c r="K4" s="307"/>
    </row>
    <row r="5" spans="1:14">
      <c r="A5" s="308"/>
      <c r="B5" s="173"/>
      <c r="C5" s="173"/>
      <c r="D5" s="173"/>
      <c r="E5" s="173"/>
      <c r="F5" s="173"/>
      <c r="G5" s="173"/>
      <c r="H5" s="173"/>
      <c r="I5" s="173"/>
      <c r="J5" s="173"/>
      <c r="K5" s="173"/>
    </row>
    <row r="6" spans="1:14" ht="17.25" customHeight="1">
      <c r="A6" s="308"/>
      <c r="D6" s="468" t="s">
        <v>4</v>
      </c>
      <c r="E6" s="468" t="s">
        <v>557</v>
      </c>
      <c r="F6" s="468" t="s">
        <v>544</v>
      </c>
      <c r="G6" s="468" t="s">
        <v>555</v>
      </c>
      <c r="H6" s="468" t="s">
        <v>545</v>
      </c>
      <c r="I6" s="468" t="s">
        <v>549</v>
      </c>
      <c r="J6" s="173"/>
      <c r="K6" s="173"/>
    </row>
    <row r="7" spans="1:14" ht="17.25" customHeight="1">
      <c r="A7" s="308"/>
      <c r="D7" s="998">
        <f ca="1">DCFData!B2</f>
        <v>52.4</v>
      </c>
      <c r="E7" s="416">
        <f ca="1">B79</f>
        <v>33.053477080716441</v>
      </c>
      <c r="F7" s="999">
        <f ca="1">B81</f>
        <v>16.52673854035822</v>
      </c>
      <c r="G7" s="417">
        <f ca="1">B83</f>
        <v>-0.58530976550634706</v>
      </c>
      <c r="H7" s="1000">
        <f ca="1">DCFData!B4</f>
        <v>59.45</v>
      </c>
      <c r="I7" s="1001">
        <f ca="1">DCFData!B5</f>
        <v>47.42</v>
      </c>
      <c r="J7" s="173"/>
      <c r="K7" s="173"/>
    </row>
    <row r="8" spans="1:14">
      <c r="B8" s="309"/>
      <c r="C8" s="309"/>
      <c r="D8" s="309"/>
      <c r="E8" s="309"/>
      <c r="F8" s="309"/>
      <c r="G8" s="309"/>
      <c r="H8" s="309"/>
      <c r="I8" s="309"/>
      <c r="J8" s="309"/>
      <c r="K8" s="309"/>
      <c r="L8" s="310"/>
      <c r="M8" s="311"/>
      <c r="N8" s="463"/>
    </row>
    <row r="9" spans="1:14" ht="15">
      <c r="A9" s="414" t="s">
        <v>550</v>
      </c>
      <c r="B9" s="464" t="s">
        <v>570</v>
      </c>
      <c r="C9" s="415">
        <f ca="1">DCFData!B13</f>
        <v>2000</v>
      </c>
      <c r="D9" s="415">
        <f ca="1">DCFData!C13</f>
        <v>2001</v>
      </c>
      <c r="E9" s="415">
        <f ca="1">DCFData!D13</f>
        <v>2002</v>
      </c>
      <c r="F9" s="415">
        <f ca="1">DCFData!E13</f>
        <v>2003</v>
      </c>
      <c r="G9" s="415">
        <f ca="1">DCFData!F13</f>
        <v>2004</v>
      </c>
      <c r="H9" s="415">
        <f ca="1">DCFData!G13</f>
        <v>2005</v>
      </c>
      <c r="I9" s="415">
        <f ca="1">DCFData!H13</f>
        <v>2006</v>
      </c>
      <c r="J9" s="415">
        <f ca="1">DCFData!I13</f>
        <v>2007</v>
      </c>
      <c r="K9" s="415">
        <f ca="1">DCFData!J13</f>
        <v>2008</v>
      </c>
      <c r="L9" s="415">
        <f ca="1">DCFData!K13</f>
        <v>2009</v>
      </c>
      <c r="M9" s="415" t="str">
        <f ca="1">DCFData!L13</f>
        <v>TTM</v>
      </c>
      <c r="N9" s="311"/>
    </row>
    <row r="10" spans="1:14" ht="15">
      <c r="A10" s="298" t="s">
        <v>7</v>
      </c>
      <c r="B10" s="298"/>
      <c r="C10" s="173"/>
      <c r="D10" s="173"/>
      <c r="E10" s="173"/>
      <c r="F10" s="173"/>
      <c r="G10" s="173"/>
      <c r="H10" s="173"/>
      <c r="I10" s="173"/>
      <c r="J10" s="173"/>
      <c r="K10" s="173"/>
      <c r="L10" s="173"/>
      <c r="N10" s="300"/>
    </row>
    <row r="11" spans="1:14">
      <c r="A11" s="312" t="s">
        <v>46</v>
      </c>
      <c r="B11" s="312"/>
      <c r="C11" s="313">
        <f ca="1">DCFData!B27</f>
        <v>3585</v>
      </c>
      <c r="D11" s="313">
        <f ca="1">DCFData!C27</f>
        <v>4110</v>
      </c>
      <c r="E11" s="313">
        <f ca="1">DCFData!D27</f>
        <v>4742</v>
      </c>
      <c r="F11" s="313">
        <f ca="1">DCFData!E27</f>
        <v>5456</v>
      </c>
      <c r="G11" s="313">
        <f ca="1">DCFData!F27</f>
        <v>5968</v>
      </c>
      <c r="H11" s="313">
        <f ca="1">DCFData!G27</f>
        <v>6423</v>
      </c>
      <c r="I11" s="313">
        <f ca="1">DCFData!H27</f>
        <v>5957</v>
      </c>
      <c r="J11" s="314">
        <f ca="1">DCFData!I27</f>
        <v>7150</v>
      </c>
      <c r="K11" s="314">
        <f ca="1">DCFData!J27</f>
        <v>7571</v>
      </c>
      <c r="L11" s="313">
        <f ca="1">DCFData!K27</f>
        <v>8186</v>
      </c>
      <c r="M11" s="313">
        <f ca="1">DCFData!L27</f>
        <v>8639</v>
      </c>
    </row>
    <row r="12" spans="1:14">
      <c r="A12" s="315" t="s">
        <v>298</v>
      </c>
      <c r="B12" s="315"/>
      <c r="C12" s="316">
        <f ca="1">DCFData!B28</f>
        <v>733</v>
      </c>
      <c r="D12" s="316">
        <f ca="1">DCFData!C28</f>
        <v>769</v>
      </c>
      <c r="E12" s="316">
        <f ca="1">DCFData!D28</f>
        <v>851</v>
      </c>
      <c r="F12" s="316">
        <f ca="1">DCFData!E28</f>
        <v>812</v>
      </c>
      <c r="G12" s="316">
        <f ca="1">DCFData!F28</f>
        <v>755</v>
      </c>
      <c r="H12" s="316">
        <f ca="1">DCFData!G28</f>
        <v>899</v>
      </c>
      <c r="I12" s="316">
        <f ca="1">DCFData!H28</f>
        <v>1407</v>
      </c>
      <c r="J12" s="317">
        <f ca="1">DCFData!I28</f>
        <v>1648</v>
      </c>
      <c r="K12" s="317">
        <f ca="1">DCFData!J28</f>
        <v>1968</v>
      </c>
      <c r="L12" s="316">
        <f ca="1">DCFData!K28</f>
        <v>1993</v>
      </c>
      <c r="M12" s="316">
        <f ca="1">DCFData!L28</f>
        <v>1919</v>
      </c>
    </row>
    <row r="13" spans="1:14">
      <c r="A13" s="312" t="s">
        <v>440</v>
      </c>
      <c r="B13" s="312"/>
      <c r="C13" s="313">
        <f ca="1">DCFData!B29</f>
        <v>1399.4542512503679</v>
      </c>
      <c r="D13" s="313">
        <f ca="1">DCFData!C29</f>
        <v>2652.6666666666665</v>
      </c>
      <c r="E13" s="313">
        <f ca="1">DCFData!D29</f>
        <v>2748.277141298418</v>
      </c>
      <c r="F13" s="313">
        <f ca="1">DCFData!E29</f>
        <v>2815.4636942675161</v>
      </c>
      <c r="G13" s="313">
        <f ca="1">DCFData!F29</f>
        <v>3154.990356798457</v>
      </c>
      <c r="H13" s="313">
        <f ca="1">DCFData!G29</f>
        <v>3097.980269058296</v>
      </c>
      <c r="I13" s="313">
        <f ca="1">DCFData!H29</f>
        <v>3060.5107935542719</v>
      </c>
      <c r="J13" s="314">
        <f ca="1">DCFData!I29</f>
        <v>3373.7610821796011</v>
      </c>
      <c r="K13" s="314">
        <f ca="1">DCFData!J29</f>
        <v>4371.4477752386074</v>
      </c>
      <c r="L13" s="313">
        <f ca="1">DCFData!K29</f>
        <v>4102.9946344735081</v>
      </c>
      <c r="M13" s="313">
        <f ca="1">DCFData!L29</f>
        <v>4464.9973181720661</v>
      </c>
    </row>
    <row r="14" spans="1:14" ht="14.25" customHeight="1">
      <c r="A14" s="315" t="str">
        <f ca="1">DCFData!A30</f>
        <v>Owner Earnings FCF</v>
      </c>
      <c r="B14" s="315"/>
      <c r="C14" s="316">
        <f ca="1">DCFData!B30</f>
        <v>2217</v>
      </c>
      <c r="D14" s="316">
        <f ca="1">DCFData!C30</f>
        <v>4003</v>
      </c>
      <c r="E14" s="316">
        <f ca="1">DCFData!D30</f>
        <v>3005</v>
      </c>
      <c r="F14" s="316">
        <f ca="1">DCFData!E30</f>
        <v>4385</v>
      </c>
      <c r="G14" s="316">
        <f ca="1">DCFData!F30</f>
        <v>4985</v>
      </c>
      <c r="H14" s="316">
        <f ca="1">DCFData!G30</f>
        <v>4905</v>
      </c>
      <c r="I14" s="316">
        <f ca="1">DCFData!H30</f>
        <v>4611</v>
      </c>
      <c r="J14" s="317">
        <f ca="1">DCFData!I30</f>
        <v>5496</v>
      </c>
      <c r="K14" s="317">
        <f ca="1">DCFData!J30</f>
        <v>5067</v>
      </c>
      <c r="L14" s="480">
        <f ca="1">IF(ISBLANK(user_fcf),DCFData!K30,user_fcf)</f>
        <v>6067</v>
      </c>
      <c r="M14" s="316">
        <f ca="1">DCFData!L30</f>
        <v>6419</v>
      </c>
    </row>
    <row r="15" spans="1:14" ht="13.5" thickBot="1">
      <c r="A15" s="288"/>
      <c r="B15" s="477"/>
      <c r="C15" s="478" t="s">
        <v>584</v>
      </c>
      <c r="D15" s="479">
        <f ca="1">IF(OR(ISBLANK(C14),C14=0),"-",(D14-C14)/C14)</f>
        <v>0.80559314388813708</v>
      </c>
      <c r="E15" s="479">
        <f t="shared" ref="E15:M15" ca="1" si="0">IF(OR(ISBLANK(D14),D14=0),"-",(E14-D14)/D14)</f>
        <v>-0.24931301523857108</v>
      </c>
      <c r="F15" s="479">
        <f t="shared" ca="1" si="0"/>
        <v>0.45923460898502494</v>
      </c>
      <c r="G15" s="479">
        <f t="shared" ca="1" si="0"/>
        <v>0.13683010262257697</v>
      </c>
      <c r="H15" s="479">
        <f t="shared" ca="1" si="0"/>
        <v>-1.60481444332999E-2</v>
      </c>
      <c r="I15" s="479">
        <f t="shared" ca="1" si="0"/>
        <v>-5.9938837920489298E-2</v>
      </c>
      <c r="J15" s="479">
        <f t="shared" ca="1" si="0"/>
        <v>0.19193233571893298</v>
      </c>
      <c r="K15" s="479">
        <f t="shared" ca="1" si="0"/>
        <v>-7.8056768558951967E-2</v>
      </c>
      <c r="L15" s="479">
        <f t="shared" ca="1" si="0"/>
        <v>0.19735543714229328</v>
      </c>
      <c r="M15" s="479">
        <f t="shared" ca="1" si="0"/>
        <v>5.8018790176363938E-2</v>
      </c>
    </row>
    <row r="16" spans="1:14" ht="13.5" thickTop="1">
      <c r="A16" s="320"/>
      <c r="B16" s="320"/>
      <c r="C16" s="319"/>
      <c r="J16" s="310"/>
      <c r="K16" s="310"/>
      <c r="L16" s="310"/>
      <c r="M16" s="310"/>
    </row>
    <row r="17" spans="1:13" ht="15">
      <c r="A17" s="298" t="s">
        <v>82</v>
      </c>
      <c r="B17" s="298"/>
      <c r="C17" s="295"/>
      <c r="D17" s="173"/>
      <c r="E17" s="173"/>
      <c r="F17" s="173"/>
      <c r="G17" s="173"/>
      <c r="H17" s="173"/>
      <c r="I17" s="173"/>
      <c r="J17" s="173"/>
      <c r="K17" s="321"/>
      <c r="L17" s="321"/>
      <c r="M17" s="310"/>
    </row>
    <row r="18" spans="1:13">
      <c r="A18" s="312" t="s">
        <v>468</v>
      </c>
      <c r="B18" s="312"/>
      <c r="C18" s="322">
        <f ca="1">DCFData!B39</f>
        <v>0.69674454980936551</v>
      </c>
      <c r="D18" s="322">
        <f ca="1">DCFData!C39</f>
        <v>0.69918375472825001</v>
      </c>
      <c r="E18" s="323">
        <f ca="1">DCFData!D39</f>
        <v>0.63683295849519528</v>
      </c>
      <c r="F18" s="322">
        <f ca="1">DCFData!E39</f>
        <v>0.6311537730469492</v>
      </c>
      <c r="G18" s="322">
        <f ca="1">DCFData!F39</f>
        <v>0.65221746653310264</v>
      </c>
      <c r="H18" s="322">
        <f ca="1">DCFData!G39</f>
        <v>0.64529951523545703</v>
      </c>
      <c r="I18" s="322">
        <f ca="1">DCFData!H39</f>
        <v>0.6610760544669545</v>
      </c>
      <c r="J18" s="322">
        <f ca="1">DCFData!I39</f>
        <v>0.63939425442700215</v>
      </c>
      <c r="K18" s="323">
        <f ca="1">DCFData!J39</f>
        <v>0.64393939393939392</v>
      </c>
      <c r="L18" s="322">
        <f ca="1">DCFData!K39</f>
        <v>0.6422071636011617</v>
      </c>
      <c r="M18" s="322">
        <f ca="1">DCFData!L39</f>
        <v>0.64783385439928542</v>
      </c>
    </row>
    <row r="19" spans="1:13">
      <c r="A19" s="315" t="s">
        <v>469</v>
      </c>
      <c r="B19" s="315"/>
      <c r="C19" s="324">
        <f ca="1">DCFData!B40</f>
        <v>0.18041841822270016</v>
      </c>
      <c r="D19" s="324">
        <f ca="1">DCFData!C40</f>
        <v>0.26637467648815449</v>
      </c>
      <c r="E19" s="325">
        <f ca="1">DCFData!D40</f>
        <v>0.27898180331220607</v>
      </c>
      <c r="F19" s="324">
        <f ca="1">DCFData!E40</f>
        <v>0.24809922068047899</v>
      </c>
      <c r="G19" s="324">
        <f ca="1">DCFData!F40</f>
        <v>0.25944813769237773</v>
      </c>
      <c r="H19" s="324">
        <f ca="1">DCFData!G40</f>
        <v>0.26337430747922436</v>
      </c>
      <c r="I19" s="324">
        <f ca="1">DCFData!H40</f>
        <v>0.26187313184988376</v>
      </c>
      <c r="J19" s="324">
        <f ca="1">DCFData!I40</f>
        <v>0.25130817479294454</v>
      </c>
      <c r="K19" s="325">
        <f ca="1">DCFData!J40</f>
        <v>0.26440020035061357</v>
      </c>
      <c r="L19" s="324">
        <f ca="1">DCFData!K40</f>
        <v>0.26560180703452729</v>
      </c>
      <c r="M19" s="324">
        <f ca="1">DCFData!L40</f>
        <v>0.28277930198430423</v>
      </c>
    </row>
    <row r="20" spans="1:13" ht="13.5" thickBot="1">
      <c r="A20" s="326" t="s">
        <v>470</v>
      </c>
      <c r="B20" s="326"/>
      <c r="C20" s="327">
        <f ca="1">DCFData!B41</f>
        <v>0.10641313911428292</v>
      </c>
      <c r="D20" s="327">
        <f ca="1">DCFData!C41</f>
        <v>0.19754130997411906</v>
      </c>
      <c r="E20" s="328">
        <f ca="1">DCFData!D41</f>
        <v>0.15589858924555305</v>
      </c>
      <c r="F20" s="327">
        <f ca="1">DCFData!E41</f>
        <v>0.20656719254894507</v>
      </c>
      <c r="G20" s="327">
        <f ca="1">DCFData!F41</f>
        <v>0.22069938985520443</v>
      </c>
      <c r="H20" s="327">
        <f ca="1">DCFData!G41</f>
        <v>0.21087257617728533</v>
      </c>
      <c r="I20" s="327">
        <f ca="1">DCFData!H41</f>
        <v>0.2108933909000332</v>
      </c>
      <c r="J20" s="327">
        <f ca="1">DCFData!I41</f>
        <v>0.20726340229407075</v>
      </c>
      <c r="K20" s="328">
        <f ca="1">DCFData!J41</f>
        <v>0.18178687703481092</v>
      </c>
      <c r="L20" s="327">
        <f ca="1">DCFData!K41</f>
        <v>0.2202000645369474</v>
      </c>
      <c r="M20" s="327">
        <f ca="1">DCFData!L41</f>
        <v>0.22656798315574556</v>
      </c>
    </row>
    <row r="21" spans="1:13" ht="13.5" thickTop="1">
      <c r="C21" s="319"/>
      <c r="D21" s="310"/>
      <c r="E21" s="310"/>
      <c r="F21" s="310"/>
      <c r="G21" s="310"/>
      <c r="H21" s="310"/>
      <c r="I21" s="310"/>
      <c r="J21" s="310"/>
      <c r="K21" s="310"/>
      <c r="L21" s="310"/>
      <c r="M21" s="329"/>
    </row>
    <row r="22" spans="1:13" ht="15">
      <c r="A22" s="330" t="s">
        <v>82</v>
      </c>
      <c r="B22" s="330"/>
      <c r="C22" s="297"/>
      <c r="D22" s="321"/>
      <c r="E22" s="321"/>
      <c r="F22" s="321"/>
      <c r="G22" s="321"/>
      <c r="H22" s="321"/>
      <c r="I22" s="321"/>
      <c r="J22" s="321"/>
      <c r="K22" s="321"/>
      <c r="L22" s="321"/>
      <c r="M22" s="310"/>
    </row>
    <row r="23" spans="1:13">
      <c r="A23" s="312" t="s">
        <v>539</v>
      </c>
      <c r="B23" s="312"/>
      <c r="C23" s="331">
        <f ca="1">DCFData!B23</f>
        <v>0.88</v>
      </c>
      <c r="D23" s="332">
        <f ca="1">DCFData!C23</f>
        <v>1.6</v>
      </c>
      <c r="E23" s="333">
        <f ca="1">DCFData!D23</f>
        <v>1.23</v>
      </c>
      <c r="F23" s="331">
        <f ca="1">DCFData!E23</f>
        <v>1.77</v>
      </c>
      <c r="G23" s="331">
        <f ca="1">DCFData!F23</f>
        <v>2</v>
      </c>
      <c r="H23" s="331">
        <f ca="1">DCFData!G23</f>
        <v>2.04</v>
      </c>
      <c r="I23" s="331">
        <f ca="1">DCFData!H23</f>
        <v>2.16</v>
      </c>
      <c r="J23" s="331">
        <f ca="1">DCFData!I23</f>
        <v>2.57</v>
      </c>
      <c r="K23" s="333">
        <f ca="1">DCFData!J23</f>
        <v>2.4900000000000002</v>
      </c>
      <c r="L23" s="331">
        <f ca="1">DCFData!K23</f>
        <v>2.93</v>
      </c>
      <c r="M23" s="331">
        <f ca="1">DCFData!L23</f>
        <v>3.04</v>
      </c>
    </row>
    <row r="24" spans="1:13" ht="13.5" thickBot="1">
      <c r="A24" s="318" t="s">
        <v>321</v>
      </c>
      <c r="B24" s="318"/>
      <c r="C24" s="334">
        <f ca="1">DCFData!B24</f>
        <v>0.35951750514857311</v>
      </c>
      <c r="D24" s="334">
        <f ca="1">DCFData!C24</f>
        <v>0.29823633156966489</v>
      </c>
      <c r="E24" s="335">
        <f ca="1">DCFData!D24</f>
        <v>0.2769594471722131</v>
      </c>
      <c r="F24" s="334">
        <f ca="1">DCFData!E24</f>
        <v>0.20891719745222931</v>
      </c>
      <c r="G24" s="334">
        <f ca="1">DCFData!F24</f>
        <v>0.22099003535840567</v>
      </c>
      <c r="H24" s="334">
        <f ca="1">DCFData!G24</f>
        <v>0.27174887892376681</v>
      </c>
      <c r="I24" s="334">
        <f ca="1">DCFData!H24</f>
        <v>0.22772879294618426</v>
      </c>
      <c r="J24" s="334">
        <f ca="1">DCFData!I24</f>
        <v>0.24031500063508193</v>
      </c>
      <c r="K24" s="335">
        <f ca="1">DCFData!J24</f>
        <v>0.2193843258502487</v>
      </c>
      <c r="L24" s="334">
        <f ca="1">DCFData!K24</f>
        <v>0.22803487592219987</v>
      </c>
      <c r="M24" s="334">
        <f ca="1">DCFData!L24</f>
        <v>0.22924265179146106</v>
      </c>
    </row>
    <row r="25" spans="1:13" ht="13.5" thickTop="1">
      <c r="A25" s="320"/>
      <c r="B25" s="320"/>
      <c r="C25" s="336"/>
      <c r="D25" s="337"/>
      <c r="E25" s="338"/>
      <c r="F25" s="338"/>
      <c r="G25" s="338"/>
      <c r="H25" s="338"/>
      <c r="I25" s="338"/>
      <c r="J25" s="338"/>
      <c r="K25" s="338"/>
      <c r="L25" s="338"/>
      <c r="M25" s="310"/>
    </row>
    <row r="26" spans="1:13" ht="15">
      <c r="A26" s="298" t="s">
        <v>83</v>
      </c>
      <c r="B26" s="298"/>
      <c r="C26" s="297"/>
      <c r="D26" s="321"/>
      <c r="E26" s="321"/>
      <c r="F26" s="321"/>
      <c r="G26" s="321"/>
      <c r="H26" s="321"/>
      <c r="I26" s="321"/>
      <c r="J26" s="321"/>
      <c r="K26" s="321"/>
      <c r="L26" s="321"/>
      <c r="M26" s="310"/>
    </row>
    <row r="27" spans="1:13">
      <c r="A27" s="312" t="s">
        <v>2</v>
      </c>
      <c r="B27" s="312"/>
      <c r="C27" s="322">
        <f ca="1">DCFData!B44</f>
        <v>0.23103376406836182</v>
      </c>
      <c r="D27" s="322">
        <f ca="1">DCFData!C44</f>
        <v>0.35086335349285652</v>
      </c>
      <c r="E27" s="323">
        <f ca="1">DCFData!D44</f>
        <v>0.22084221356654662</v>
      </c>
      <c r="F27" s="322">
        <f ca="1">DCFData!E44</f>
        <v>0.2835068209736859</v>
      </c>
      <c r="G27" s="322">
        <f ca="1">DCFData!F44</f>
        <v>0.30175544794188863</v>
      </c>
      <c r="H27" s="322">
        <f ca="1">DCFData!G44</f>
        <v>0.31103360811667724</v>
      </c>
      <c r="I27" s="322">
        <f ca="1">DCFData!H44</f>
        <v>0.28930857071150706</v>
      </c>
      <c r="J27" s="322">
        <f ca="1">DCFData!I44</f>
        <v>0.30833099579242634</v>
      </c>
      <c r="K27" s="323">
        <f ca="1">DCFData!J44</f>
        <v>0.33721549314521498</v>
      </c>
      <c r="L27" s="322">
        <f ca="1">DCFData!K44</f>
        <v>0.2742518759605822</v>
      </c>
      <c r="M27" s="322">
        <f ca="1">DCFData!L44</f>
        <v>0.29848872355266215</v>
      </c>
    </row>
    <row r="28" spans="1:13">
      <c r="A28" s="315" t="s">
        <v>63</v>
      </c>
      <c r="B28" s="315"/>
      <c r="C28" s="324">
        <f ca="1">DCFData!B45</f>
        <v>0.10836836445400333</v>
      </c>
      <c r="D28" s="324">
        <f ca="1">DCFData!C45</f>
        <v>0.19923352578140555</v>
      </c>
      <c r="E28" s="325">
        <f ca="1">DCFData!D45</f>
        <v>0.15359844612553669</v>
      </c>
      <c r="F28" s="324">
        <f ca="1">DCFData!E45</f>
        <v>0.20837293290249001</v>
      </c>
      <c r="G28" s="324">
        <f ca="1">DCFData!F45</f>
        <v>0.22698297058555686</v>
      </c>
      <c r="H28" s="324">
        <f ca="1">DCFData!G45</f>
        <v>0.21230090027700832</v>
      </c>
      <c r="I28" s="324">
        <f ca="1">DCFData!H45</f>
        <v>0.19142311524410494</v>
      </c>
      <c r="J28" s="324">
        <f ca="1">DCFData!I45</f>
        <v>0.19045638839796236</v>
      </c>
      <c r="K28" s="325">
        <f ca="1">DCFData!J45</f>
        <v>0.15862133734034561</v>
      </c>
      <c r="L28" s="324">
        <f ca="1">DCFData!K45</f>
        <v>0.19577282994514358</v>
      </c>
      <c r="M28" s="324">
        <f ca="1">DCFData!L45</f>
        <v>0.20477891916033944</v>
      </c>
    </row>
    <row r="29" spans="1:13">
      <c r="A29" s="312" t="s">
        <v>64</v>
      </c>
      <c r="B29" s="312"/>
      <c r="C29" s="322">
        <f ca="1">DCFData!B46</f>
        <v>5.8198874296435275</v>
      </c>
      <c r="D29" s="322">
        <f ca="1">DCFData!C46</f>
        <v>5.7289099526066352</v>
      </c>
      <c r="E29" s="323">
        <f ca="1">DCFData!D46</f>
        <v>5.4907264296754255</v>
      </c>
      <c r="F29" s="322">
        <f ca="1">DCFData!E46</f>
        <v>6.1996805111821089</v>
      </c>
      <c r="G29" s="322">
        <f ca="1">DCFData!F46</f>
        <v>5.3788732394366194</v>
      </c>
      <c r="H29" s="322">
        <f ca="1">DCFData!G46</f>
        <v>5.7549157303370784</v>
      </c>
      <c r="I29" s="322">
        <f ca="1">DCFData!H46</f>
        <v>4.975015234613041</v>
      </c>
      <c r="J29" s="322">
        <f ca="1">DCFData!I46</f>
        <v>4.6873873873873872</v>
      </c>
      <c r="K29" s="323">
        <f ca="1">DCFData!J46</f>
        <v>5.2007315957933242</v>
      </c>
      <c r="L29" s="322">
        <f ca="1">DCFData!K46</f>
        <v>4.7102803738317753</v>
      </c>
      <c r="M29" s="322">
        <f ca="1">DCFData!L46</f>
        <v>4.7438762354963471</v>
      </c>
    </row>
    <row r="30" spans="1:13">
      <c r="A30" s="315" t="s">
        <v>84</v>
      </c>
      <c r="B30" s="315"/>
      <c r="C30" s="324">
        <f ca="1">DCFData!B47</f>
        <v>0.10449265623500048</v>
      </c>
      <c r="D30" s="324">
        <f ca="1">DCFData!C47</f>
        <v>0.17705312932149708</v>
      </c>
      <c r="E30" s="325">
        <f ca="1">DCFData!D47</f>
        <v>0.12448471490959552</v>
      </c>
      <c r="F30" s="324">
        <f ca="1">DCFData!E47</f>
        <v>0.15898617511520738</v>
      </c>
      <c r="G30" s="324">
        <f ca="1">DCFData!F47</f>
        <v>0.15472276311169278</v>
      </c>
      <c r="H30" s="324">
        <f ca="1">DCFData!G47</f>
        <v>0.16556223876032217</v>
      </c>
      <c r="I30" s="324">
        <f ca="1">DCFData!H47</f>
        <v>0.16954243567066049</v>
      </c>
      <c r="J30" s="324">
        <f ca="1">DCFData!I47</f>
        <v>0.13822829277311702</v>
      </c>
      <c r="K30" s="325">
        <f ca="1">DCFData!J47</f>
        <v>0.14331548162590391</v>
      </c>
      <c r="L30" s="324">
        <f ca="1">DCFData!K47</f>
        <v>0.14020669392451357</v>
      </c>
      <c r="M30" s="324">
        <f ca="1">DCFData!L47</f>
        <v>0.14982174124000591</v>
      </c>
    </row>
    <row r="31" spans="1:13" ht="13.5" thickBot="1">
      <c r="A31" s="326" t="s">
        <v>85</v>
      </c>
      <c r="B31" s="326"/>
      <c r="C31" s="327">
        <f ca="1">DCFData!B48</f>
        <v>0.23368398454272221</v>
      </c>
      <c r="D31" s="327">
        <f ca="1">DCFData!C48</f>
        <v>0.34919936653176137</v>
      </c>
      <c r="E31" s="328">
        <f ca="1">DCFData!D48</f>
        <v>0.25847457627118642</v>
      </c>
      <c r="F31" s="327">
        <f ca="1">DCFData!E48</f>
        <v>0.30851667849538678</v>
      </c>
      <c r="G31" s="327">
        <f ca="1">DCFData!F48</f>
        <v>0.30417320363978662</v>
      </c>
      <c r="H31" s="327">
        <f ca="1">DCFData!G48</f>
        <v>0.29789055334760012</v>
      </c>
      <c r="I31" s="327">
        <f ca="1">DCFData!H48</f>
        <v>0.30023640661938533</v>
      </c>
      <c r="J31" s="327">
        <f ca="1">DCFData!I48</f>
        <v>0.27506438557763063</v>
      </c>
      <c r="K31" s="328">
        <f ca="1">DCFData!J48</f>
        <v>0.28365572489253615</v>
      </c>
      <c r="L31" s="327">
        <f ca="1">DCFData!K48</f>
        <v>0.27517238598330579</v>
      </c>
      <c r="M31" s="327">
        <f ca="1">DCFData!L48</f>
        <v>0.28554197491154715</v>
      </c>
    </row>
    <row r="32" spans="1:13" ht="13.5" thickTop="1">
      <c r="A32" s="339"/>
      <c r="B32" s="339"/>
      <c r="C32" s="340"/>
      <c r="D32" s="341"/>
      <c r="E32" s="341"/>
      <c r="F32" s="341"/>
      <c r="G32" s="341"/>
      <c r="H32" s="341"/>
      <c r="I32" s="341"/>
      <c r="J32" s="341"/>
      <c r="K32" s="341"/>
      <c r="L32" s="341"/>
      <c r="M32" s="310"/>
    </row>
    <row r="33" spans="1:13" ht="15">
      <c r="A33" s="330" t="s">
        <v>130</v>
      </c>
      <c r="B33" s="330"/>
      <c r="C33" s="297"/>
      <c r="D33" s="321"/>
      <c r="E33" s="321"/>
      <c r="F33" s="321"/>
      <c r="G33" s="321"/>
      <c r="H33" s="321"/>
      <c r="I33" s="321"/>
      <c r="J33" s="321"/>
      <c r="K33" s="321"/>
      <c r="L33" s="321"/>
      <c r="M33" s="310"/>
    </row>
    <row r="34" spans="1:13">
      <c r="A34" s="312" t="s">
        <v>131</v>
      </c>
      <c r="B34" s="312"/>
      <c r="C34" s="322">
        <f ca="1">DCFData!B51</f>
        <v>1.2363675397166165</v>
      </c>
      <c r="D34" s="322">
        <f ca="1">DCFData!C51</f>
        <v>0.97228576456097127</v>
      </c>
      <c r="E34" s="323">
        <f ca="1">DCFData!D51</f>
        <v>1.0763559322033898</v>
      </c>
      <c r="F34" s="322">
        <f ca="1">DCFData!E51</f>
        <v>0.94052519517388222</v>
      </c>
      <c r="G34" s="322">
        <f ca="1">DCFData!F51</f>
        <v>0.96592406652023843</v>
      </c>
      <c r="H34" s="322">
        <f ca="1">DCFData!G51</f>
        <v>0.79926627942525219</v>
      </c>
      <c r="I34" s="322">
        <f ca="1">DCFData!H51</f>
        <v>0.77086288416075655</v>
      </c>
      <c r="J34" s="322">
        <f ca="1">DCFData!I51</f>
        <v>0.98992825607064017</v>
      </c>
      <c r="K34" s="323">
        <f ca="1">DCFData!J51</f>
        <v>0.97923993747557636</v>
      </c>
      <c r="L34" s="322">
        <f ca="1">DCFData!K51</f>
        <v>0.96261946046211544</v>
      </c>
      <c r="M34" s="322">
        <f ca="1">DCFData!L51</f>
        <v>0.90587809585075585</v>
      </c>
    </row>
    <row r="35" spans="1:13">
      <c r="A35" s="315" t="s">
        <v>132</v>
      </c>
      <c r="B35" s="315"/>
      <c r="C35" s="324">
        <f ca="1">DCFData!B52</f>
        <v>8.2257905625061564E-2</v>
      </c>
      <c r="D35" s="324">
        <f ca="1">DCFData!C52</f>
        <v>9.6861342868494238E-2</v>
      </c>
      <c r="E35" s="325">
        <f ca="1">DCFData!D52</f>
        <v>0.18626301634370043</v>
      </c>
      <c r="F35" s="324">
        <f ca="1">DCFData!E52</f>
        <v>0.15156259408683084</v>
      </c>
      <c r="G35" s="324">
        <f ca="1">DCFData!F52</f>
        <v>6.7692487713550201E-2</v>
      </c>
      <c r="H35" s="324">
        <f ca="1">DCFData!G52</f>
        <v>6.5908961105717062E-2</v>
      </c>
      <c r="I35" s="324">
        <f ca="1">DCFData!H52</f>
        <v>7.2063178677196443E-2</v>
      </c>
      <c r="J35" s="324">
        <f ca="1">DCFData!I52</f>
        <v>0.13096998521242156</v>
      </c>
      <c r="K35" s="325">
        <f ca="1">DCFData!J52</f>
        <v>0.11959747129402658</v>
      </c>
      <c r="L35" s="324">
        <f ca="1">DCFData!K52</f>
        <v>0.16943532721548663</v>
      </c>
      <c r="M35" s="324">
        <f ca="1">DCFData!L52</f>
        <v>0.15086545355228567</v>
      </c>
    </row>
    <row r="36" spans="1:13">
      <c r="A36" s="460" t="s">
        <v>780</v>
      </c>
      <c r="B36" s="312"/>
      <c r="C36" s="322">
        <f ca="1">DCFData!B57</f>
        <v>0.192481333564855</v>
      </c>
      <c r="D36" s="322">
        <f ca="1">DCFData!C57</f>
        <v>0.36222966247398425</v>
      </c>
      <c r="E36" s="323">
        <f ca="1">DCFData!D57</f>
        <v>0.23659554365797969</v>
      </c>
      <c r="F36" s="322">
        <f ca="1">DCFData!E57</f>
        <v>0.33089345004527621</v>
      </c>
      <c r="G36" s="322">
        <f ca="1">DCFData!F57</f>
        <v>0.32386954261954259</v>
      </c>
      <c r="H36" s="322">
        <f ca="1">DCFData!G57</f>
        <v>0.37522949816401469</v>
      </c>
      <c r="I36" s="322">
        <f ca="1">DCFData!H57</f>
        <v>0.3535229625086253</v>
      </c>
      <c r="J36" s="322">
        <f ca="1">DCFData!I57</f>
        <v>0.25533101045296169</v>
      </c>
      <c r="K36" s="323">
        <f ca="1">DCFData!J57</f>
        <v>0.25275602334513891</v>
      </c>
      <c r="L36" s="322">
        <f ca="1">DCFData!K57</f>
        <v>0.25414711796246647</v>
      </c>
      <c r="M36" s="322">
        <f ca="1">DCFData!L57</f>
        <v>0.28489636500821092</v>
      </c>
    </row>
    <row r="37" spans="1:13">
      <c r="A37" s="315" t="s">
        <v>781</v>
      </c>
      <c r="B37" s="315"/>
      <c r="C37" s="324">
        <f ca="1">DCFData!B58</f>
        <v>0.46034053156146182</v>
      </c>
      <c r="D37" s="324">
        <f ca="1">DCFData!C58</f>
        <v>1.0266735060271865</v>
      </c>
      <c r="E37" s="325">
        <f ca="1">DCFData!D58</f>
        <v>1.1318267419962336</v>
      </c>
      <c r="F37" s="324">
        <f ca="1">DCFData!E58</f>
        <v>1.5089470061940813</v>
      </c>
      <c r="G37" s="324">
        <f ca="1">DCFData!F58</f>
        <v>0.82793555887726289</v>
      </c>
      <c r="H37" s="324">
        <f ca="1">DCFData!G58</f>
        <v>1.0789705235371756</v>
      </c>
      <c r="I37" s="324">
        <f ca="1">DCFData!H58</f>
        <v>1.4109547123623012</v>
      </c>
      <c r="J37" s="324">
        <f ca="1">DCFData!I58</f>
        <v>0.90812954395241241</v>
      </c>
      <c r="K37" s="325">
        <f ca="1">DCFData!J58</f>
        <v>0.77583830960036748</v>
      </c>
      <c r="L37" s="324">
        <f ca="1">DCFData!K58</f>
        <v>0.89220588235294118</v>
      </c>
      <c r="M37" s="324">
        <f ca="1">DCFData!L58</f>
        <v>0.88955099778270508</v>
      </c>
    </row>
    <row r="38" spans="1:13" ht="13.5" thickBot="1">
      <c r="A38" s="876" t="s">
        <v>782</v>
      </c>
      <c r="B38" s="326"/>
      <c r="C38" s="327">
        <f ca="1">DCFData!B59</f>
        <v>2.6550898203592816</v>
      </c>
      <c r="D38" s="327">
        <f ca="1">DCFData!C59</f>
        <v>3.2838392124692373</v>
      </c>
      <c r="E38" s="328">
        <f ca="1">DCFData!D59</f>
        <v>1.112550907071455</v>
      </c>
      <c r="F38" s="327">
        <f ca="1">DCFData!E59</f>
        <v>1.7421533571712355</v>
      </c>
      <c r="G38" s="327">
        <f ca="1">DCFData!F59</f>
        <v>4.3085566119273988</v>
      </c>
      <c r="H38" s="327">
        <f ca="1">DCFData!G59</f>
        <v>4.2504332755632586</v>
      </c>
      <c r="I38" s="327">
        <f ca="1">DCFData!H59</f>
        <v>3.5091324200913241</v>
      </c>
      <c r="J38" s="327">
        <f ca="1">DCFData!I59</f>
        <v>1.6771437290204456</v>
      </c>
      <c r="K38" s="328">
        <f ca="1">DCFData!J59</f>
        <v>1.8220064724919094</v>
      </c>
      <c r="L38" s="327">
        <f ca="1">DCFData!K59</f>
        <v>1.1992488634117415</v>
      </c>
      <c r="M38" s="327">
        <f ca="1">DCFData!L59</f>
        <v>1.4525910839556462</v>
      </c>
    </row>
    <row r="39" spans="1:13" ht="13.5" thickTop="1"/>
    <row r="40" spans="1:13" ht="15.75">
      <c r="A40" s="797" t="s">
        <v>556</v>
      </c>
      <c r="B40" s="798"/>
      <c r="C40" s="798"/>
      <c r="D40" s="798"/>
      <c r="E40" s="798"/>
      <c r="F40" s="798"/>
      <c r="G40" s="798"/>
      <c r="H40" s="798"/>
      <c r="I40" s="798"/>
      <c r="J40" s="798"/>
      <c r="K40" s="798"/>
      <c r="L40" s="445"/>
    </row>
    <row r="41" spans="1:13">
      <c r="B41" s="678" t="str">
        <f ca="1">DCFData!B61</f>
        <v>2004-2008</v>
      </c>
      <c r="C41" s="678" t="str">
        <f ca="1">DCFData!C61</f>
        <v>2005-2009</v>
      </c>
      <c r="D41" s="678" t="str">
        <f ca="1">DCFData!D61</f>
        <v>2004-2007</v>
      </c>
      <c r="E41" s="679" t="str">
        <f ca="1">DCFData!E61</f>
        <v>2005-2008</v>
      </c>
      <c r="F41" s="679" t="str">
        <f ca="1">DCFData!F61</f>
        <v>2006-2009</v>
      </c>
      <c r="G41" s="679" t="str">
        <f ca="1">DCFData!G61</f>
        <v>2004-2006</v>
      </c>
      <c r="H41" s="679" t="str">
        <f ca="1">DCFData!H61</f>
        <v>2005-2007</v>
      </c>
      <c r="I41" s="679" t="str">
        <f ca="1">DCFData!I61</f>
        <v>2006-2008</v>
      </c>
      <c r="J41" s="679" t="str">
        <f ca="1">DCFData!J61</f>
        <v>2007-2009</v>
      </c>
      <c r="K41" s="679" t="str">
        <f ca="1">DCFData!K61</f>
        <v>Median</v>
      </c>
    </row>
    <row r="42" spans="1:13">
      <c r="A42" s="460" t="s">
        <v>569</v>
      </c>
      <c r="B42" s="323">
        <f ca="1">DCFData!B62</f>
        <v>-9.9183494439549325E-2</v>
      </c>
      <c r="C42" s="322">
        <f ca="1">DCFData!C62</f>
        <v>-1.1423721443308166E-2</v>
      </c>
      <c r="D42" s="322">
        <f ca="1">DCFData!D62</f>
        <v>-7.6638343948702725E-2</v>
      </c>
      <c r="E42" s="322">
        <f ca="1">DCFData!E62</f>
        <v>-0.14019155002875916</v>
      </c>
      <c r="F42" s="322">
        <f ca="1">DCFData!F62</f>
        <v>5.2334877300337368E-3</v>
      </c>
      <c r="G42" s="322">
        <f ca="1">DCFData!G62</f>
        <v>-1.3061581486793039E-2</v>
      </c>
      <c r="H42" s="322">
        <f ca="1">DCFData!H62</f>
        <v>-0.12825864943311527</v>
      </c>
      <c r="I42" s="322">
        <f ca="1">DCFData!I62</f>
        <v>-0.17779026384179353</v>
      </c>
      <c r="J42" s="322">
        <f ca="1">DCFData!J62</f>
        <v>0.12106998009154957</v>
      </c>
      <c r="K42" s="322">
        <f ca="1">DCFData!K62</f>
        <v>-7.6638343948702725E-2</v>
      </c>
    </row>
    <row r="43" spans="1:13">
      <c r="A43" s="315" t="str">
        <f ca="1">DCFData!A63</f>
        <v>Owner Earnings FCF</v>
      </c>
      <c r="B43" s="325">
        <f ca="1">DCFData!B63</f>
        <v>4.0872107259424251E-3</v>
      </c>
      <c r="C43" s="324">
        <f ca="1">DCFData!C63</f>
        <v>5.4590235368265017E-2</v>
      </c>
      <c r="D43" s="324">
        <f ca="1">DCFData!D63</f>
        <v>3.3063903733145494E-2</v>
      </c>
      <c r="E43" s="324">
        <f ca="1">DCFData!E63</f>
        <v>1.0890148471269567E-2</v>
      </c>
      <c r="F43" s="324">
        <f ca="1">DCFData!F63</f>
        <v>9.5787371112577624E-2</v>
      </c>
      <c r="G43" s="324">
        <f ca="1">DCFData!G63</f>
        <v>-3.8243832993870019E-2</v>
      </c>
      <c r="H43" s="324">
        <f ca="1">DCFData!H63</f>
        <v>5.8531670114827294E-2</v>
      </c>
      <c r="I43" s="324">
        <f ca="1">DCFData!I63</f>
        <v>4.8281426550994988E-2</v>
      </c>
      <c r="J43" s="324">
        <f ca="1">DCFData!J63</f>
        <v>5.0663476524464679E-2</v>
      </c>
      <c r="K43" s="467">
        <f ca="1">DCFData!K63</f>
        <v>4.8281426550994988E-2</v>
      </c>
    </row>
    <row r="44" spans="1:13">
      <c r="A44" s="312" t="s">
        <v>2</v>
      </c>
      <c r="B44" s="323">
        <f ca="1">DCFData!B64</f>
        <v>0.30833099579242634</v>
      </c>
      <c r="C44" s="322">
        <f ca="1">DCFData!C64</f>
        <v>0.30833099579242634</v>
      </c>
      <c r="D44" s="322">
        <f ca="1">DCFData!D64</f>
        <v>0.30504322186715749</v>
      </c>
      <c r="E44" s="322">
        <f ca="1">DCFData!E64</f>
        <v>0.30968230195455182</v>
      </c>
      <c r="F44" s="322">
        <f ca="1">DCFData!F64</f>
        <v>0.29881978325196668</v>
      </c>
      <c r="G44" s="322">
        <f ca="1">DCFData!G64</f>
        <v>0.30175544794188863</v>
      </c>
      <c r="H44" s="322">
        <f ca="1">DCFData!H64</f>
        <v>0.30833099579242634</v>
      </c>
      <c r="I44" s="322">
        <f ca="1">DCFData!I64</f>
        <v>0.30833099579242634</v>
      </c>
      <c r="J44" s="322">
        <f ca="1">DCFData!J64</f>
        <v>0.30833099579242634</v>
      </c>
      <c r="K44" s="322">
        <f ca="1">DCFData!K64</f>
        <v>0.30833099579242634</v>
      </c>
      <c r="L44" s="342"/>
    </row>
    <row r="45" spans="1:13">
      <c r="A45" s="296" t="s">
        <v>63</v>
      </c>
      <c r="B45" s="325">
        <f ca="1">DCFData!B65</f>
        <v>0.19142311524410494</v>
      </c>
      <c r="C45" s="324">
        <f ca="1">DCFData!C65</f>
        <v>0.19142311524410494</v>
      </c>
      <c r="D45" s="324">
        <f ca="1">DCFData!D65</f>
        <v>0.20186200776055663</v>
      </c>
      <c r="E45" s="324">
        <f ca="1">DCFData!E65</f>
        <v>0.19093975182103365</v>
      </c>
      <c r="F45" s="324">
        <f ca="1">DCFData!F65</f>
        <v>0.19093975182103365</v>
      </c>
      <c r="G45" s="324">
        <f ca="1">DCFData!G65</f>
        <v>0.21230090027700832</v>
      </c>
      <c r="H45" s="324">
        <f ca="1">DCFData!H65</f>
        <v>0.19142311524410494</v>
      </c>
      <c r="I45" s="324">
        <f ca="1">DCFData!I65</f>
        <v>0.19045638839796236</v>
      </c>
      <c r="J45" s="324">
        <f ca="1">DCFData!J65</f>
        <v>0.19045638839796236</v>
      </c>
      <c r="K45" s="324">
        <f ca="1">DCFData!K65</f>
        <v>0.19142311524410494</v>
      </c>
      <c r="L45" s="342"/>
    </row>
    <row r="46" spans="1:13">
      <c r="A46" s="312" t="s">
        <v>458</v>
      </c>
      <c r="B46" s="323">
        <f ca="1">DCFData!B66</f>
        <v>0.15472276311169278</v>
      </c>
      <c r="C46" s="322">
        <f ca="1">DCFData!C66</f>
        <v>0.14331548162590391</v>
      </c>
      <c r="D46" s="322">
        <f ca="1">DCFData!D66</f>
        <v>0.16014250093600746</v>
      </c>
      <c r="E46" s="322">
        <f ca="1">DCFData!E66</f>
        <v>0.15443886019311304</v>
      </c>
      <c r="F46" s="322">
        <f ca="1">DCFData!F66</f>
        <v>0.14176108777520874</v>
      </c>
      <c r="G46" s="322">
        <f ca="1">DCFData!G66</f>
        <v>0.16556223876032217</v>
      </c>
      <c r="H46" s="322">
        <f ca="1">DCFData!H66</f>
        <v>0.16556223876032217</v>
      </c>
      <c r="I46" s="322">
        <f ca="1">DCFData!I66</f>
        <v>0.14331548162590391</v>
      </c>
      <c r="J46" s="322">
        <f ca="1">DCFData!J66</f>
        <v>0.14020669392451357</v>
      </c>
      <c r="K46" s="322">
        <f ca="1">DCFData!K66</f>
        <v>0.15443886019311304</v>
      </c>
      <c r="L46" s="342"/>
    </row>
    <row r="47" spans="1:13">
      <c r="A47" s="315" t="s">
        <v>459</v>
      </c>
      <c r="B47" s="325">
        <f ca="1">DCFData!B67</f>
        <v>0.29789055334760012</v>
      </c>
      <c r="C47" s="324">
        <f ca="1">DCFData!C67</f>
        <v>0.28365572489253615</v>
      </c>
      <c r="D47" s="324">
        <f ca="1">DCFData!D67</f>
        <v>0.2990634799834927</v>
      </c>
      <c r="E47" s="324">
        <f ca="1">DCFData!E67</f>
        <v>0.29077313912006814</v>
      </c>
      <c r="F47" s="324">
        <f ca="1">DCFData!F67</f>
        <v>0.27941405543792097</v>
      </c>
      <c r="G47" s="324">
        <f ca="1">DCFData!G67</f>
        <v>0.30023640661938533</v>
      </c>
      <c r="H47" s="324">
        <f ca="1">DCFData!H67</f>
        <v>0.29789055334760012</v>
      </c>
      <c r="I47" s="324">
        <f ca="1">DCFData!I67</f>
        <v>0.28365572489253615</v>
      </c>
      <c r="J47" s="324">
        <f ca="1">DCFData!J67</f>
        <v>0.27517238598330579</v>
      </c>
      <c r="K47" s="324">
        <f ca="1">DCFData!K67</f>
        <v>0.29077313912006814</v>
      </c>
    </row>
    <row r="48" spans="1:13">
      <c r="A48" s="429" t="s">
        <v>468</v>
      </c>
      <c r="B48" s="430">
        <f ca="1">DCFData!B68</f>
        <v>0.64529951523545703</v>
      </c>
      <c r="C48" s="431">
        <f ca="1">DCFData!C68</f>
        <v>0.64393939393939392</v>
      </c>
      <c r="D48" s="431">
        <f ca="1">DCFData!D68</f>
        <v>0.64875849088427984</v>
      </c>
      <c r="E48" s="431">
        <f ca="1">DCFData!E68</f>
        <v>0.64461945458742553</v>
      </c>
      <c r="F48" s="431">
        <f ca="1">DCFData!F68</f>
        <v>0.64307327877027776</v>
      </c>
      <c r="G48" s="431">
        <f ca="1">DCFData!G68</f>
        <v>0.65221746653310264</v>
      </c>
      <c r="H48" s="431">
        <f ca="1">DCFData!H68</f>
        <v>0.64529951523545703</v>
      </c>
      <c r="I48" s="431">
        <f ca="1">DCFData!I68</f>
        <v>0.64393939393939392</v>
      </c>
      <c r="J48" s="431">
        <f ca="1">DCFData!J68</f>
        <v>0.6422071636011617</v>
      </c>
      <c r="K48" s="431">
        <f ca="1">DCFData!K68</f>
        <v>0.64461945458742553</v>
      </c>
    </row>
    <row r="49" spans="1:12">
      <c r="A49" s="315" t="s">
        <v>469</v>
      </c>
      <c r="B49" s="325">
        <f ca="1">DCFData!B69</f>
        <v>0.26187313184988376</v>
      </c>
      <c r="C49" s="324">
        <f ca="1">DCFData!C69</f>
        <v>0.26337430747922436</v>
      </c>
      <c r="D49" s="324">
        <f ca="1">DCFData!D69</f>
        <v>0.26066063477113077</v>
      </c>
      <c r="E49" s="324">
        <f ca="1">DCFData!E69</f>
        <v>0.26262371966455406</v>
      </c>
      <c r="F49" s="324">
        <f ca="1">DCFData!F69</f>
        <v>0.26313666610024866</v>
      </c>
      <c r="G49" s="324">
        <f ca="1">DCFData!G69</f>
        <v>0.26187313184988376</v>
      </c>
      <c r="H49" s="324">
        <f ca="1">DCFData!H69</f>
        <v>0.26187313184988376</v>
      </c>
      <c r="I49" s="324">
        <f ca="1">DCFData!I69</f>
        <v>0.26187313184988376</v>
      </c>
      <c r="J49" s="324">
        <f ca="1">DCFData!J69</f>
        <v>0.26440020035061357</v>
      </c>
      <c r="K49" s="324">
        <f ca="1">DCFData!K69</f>
        <v>0.26187313184988376</v>
      </c>
    </row>
    <row r="50" spans="1:12">
      <c r="A50" s="429" t="s">
        <v>470</v>
      </c>
      <c r="B50" s="430">
        <f ca="1">DCFData!B70</f>
        <v>0.21087257617728533</v>
      </c>
      <c r="C50" s="431">
        <f ca="1">DCFData!C70</f>
        <v>0.21087257617728533</v>
      </c>
      <c r="D50" s="431">
        <f ca="1">DCFData!D70</f>
        <v>0.21088298353865925</v>
      </c>
      <c r="E50" s="431">
        <f ca="1">DCFData!E70</f>
        <v>0.20906798923567804</v>
      </c>
      <c r="F50" s="431">
        <f ca="1">DCFData!F70</f>
        <v>0.20907839659705196</v>
      </c>
      <c r="G50" s="431">
        <f ca="1">DCFData!G70</f>
        <v>0.2108933909000332</v>
      </c>
      <c r="H50" s="431">
        <f ca="1">DCFData!H70</f>
        <v>0.21087257617728533</v>
      </c>
      <c r="I50" s="431">
        <f ca="1">DCFData!I70</f>
        <v>0.20726340229407075</v>
      </c>
      <c r="J50" s="431">
        <f ca="1">DCFData!J70</f>
        <v>0.20726340229407075</v>
      </c>
      <c r="K50" s="431">
        <f ca="1">DCFData!K70</f>
        <v>0.21087257617728533</v>
      </c>
    </row>
    <row r="51" spans="1:12">
      <c r="A51" s="315" t="s">
        <v>552</v>
      </c>
      <c r="B51" s="325">
        <f ca="1">DCFData!B71</f>
        <v>9.8194722924153988E-2</v>
      </c>
      <c r="C51" s="324">
        <f ca="1">DCFData!C71</f>
        <v>7.6176737326523192E-2</v>
      </c>
      <c r="D51" s="324">
        <f ca="1">DCFData!D71</f>
        <v>9.5283211231669496E-2</v>
      </c>
      <c r="E51" s="324">
        <f ca="1">DCFData!E71</f>
        <v>0.11403980115907508</v>
      </c>
      <c r="F51" s="324">
        <f ca="1">DCFData!F71</f>
        <v>8.7611049815345066E-2</v>
      </c>
      <c r="G51" s="324">
        <f ca="1">DCFData!G71</f>
        <v>4.7283901242822557E-2</v>
      </c>
      <c r="H51" s="324">
        <f ca="1">DCFData!H71</f>
        <v>0.11758869956037121</v>
      </c>
      <c r="I51" s="324">
        <f ca="1">DCFData!I71</f>
        <v>0.1515804339465634</v>
      </c>
      <c r="J51" s="324">
        <f ca="1">DCFData!J71</f>
        <v>3.6299284717488334E-2</v>
      </c>
      <c r="K51" s="324">
        <f ca="1">DCFData!K71</f>
        <v>9.5283211231669496E-2</v>
      </c>
    </row>
    <row r="52" spans="1:12">
      <c r="A52" s="429" t="s">
        <v>553</v>
      </c>
      <c r="B52" s="430">
        <f ca="1">DCFData!B72</f>
        <v>5.6312302409221138E-2</v>
      </c>
      <c r="C52" s="431">
        <f ca="1">DCFData!C72</f>
        <v>9.4735907476689585E-2</v>
      </c>
      <c r="D52" s="431">
        <f ca="1">DCFData!D72</f>
        <v>8.7178968965500925E-2</v>
      </c>
      <c r="E52" s="431">
        <f ca="1">DCFData!E72</f>
        <v>6.8701436680861372E-2</v>
      </c>
      <c r="F52" s="431">
        <f ca="1">DCFData!F72</f>
        <v>0.10697536589070156</v>
      </c>
      <c r="G52" s="431">
        <f ca="1">DCFData!G72</f>
        <v>3.9230484541326494E-2</v>
      </c>
      <c r="H52" s="431">
        <f ca="1">DCFData!H72</f>
        <v>0.12240987235885781</v>
      </c>
      <c r="I52" s="431">
        <f ca="1">DCFData!I72</f>
        <v>7.3674893893760585E-2</v>
      </c>
      <c r="J52" s="431">
        <f ca="1">DCFData!J72</f>
        <v>6.7744267608903286E-2</v>
      </c>
      <c r="K52" s="431">
        <f ca="1">DCFData!K72</f>
        <v>7.3674893893760585E-2</v>
      </c>
    </row>
    <row r="53" spans="1:12" ht="13.5" thickBot="1">
      <c r="A53" s="318" t="s">
        <v>554</v>
      </c>
      <c r="B53" s="335">
        <f ca="1">DCFData!B73</f>
        <v>6.1282756423479912E-2</v>
      </c>
      <c r="C53" s="334">
        <f ca="1">DCFData!C73</f>
        <v>6.2511048072906528E-2</v>
      </c>
      <c r="D53" s="334">
        <f ca="1">DCFData!D73</f>
        <v>6.2084512134693126E-2</v>
      </c>
      <c r="E53" s="334">
        <f ca="1">DCFData!E73</f>
        <v>5.6343363168587901E-2</v>
      </c>
      <c r="F53" s="334">
        <f ca="1">DCFData!F73</f>
        <v>0.11176939212703951</v>
      </c>
      <c r="G53" s="334">
        <f ca="1">DCFData!G73</f>
        <v>-9.2200681772303117E-4</v>
      </c>
      <c r="H53" s="334">
        <f ca="1">DCFData!H73</f>
        <v>5.5076767005728833E-2</v>
      </c>
      <c r="I53" s="334">
        <f ca="1">DCFData!I73</f>
        <v>0.12736052317021396</v>
      </c>
      <c r="J53" s="334">
        <f ca="1">DCFData!J73</f>
        <v>6.9997712565361025E-2</v>
      </c>
      <c r="K53" s="334">
        <f ca="1">DCFData!K73</f>
        <v>6.2084512134693126E-2</v>
      </c>
    </row>
    <row r="54" spans="1:12" ht="13.5" thickTop="1">
      <c r="A54" s="423"/>
      <c r="B54" s="340"/>
      <c r="C54" s="340"/>
      <c r="D54" s="340"/>
      <c r="E54" s="340"/>
      <c r="F54" s="340"/>
      <c r="G54" s="340"/>
      <c r="H54" s="340"/>
      <c r="I54" s="340"/>
      <c r="J54" s="340"/>
      <c r="K54" s="340"/>
    </row>
    <row r="55" spans="1:12" ht="15.75">
      <c r="A55" s="797" t="s">
        <v>562</v>
      </c>
      <c r="B55" s="797"/>
      <c r="C55" s="797"/>
      <c r="D55" s="797"/>
      <c r="E55" s="797"/>
      <c r="F55" s="797"/>
      <c r="G55" s="797"/>
      <c r="H55" s="797"/>
      <c r="I55" s="797"/>
      <c r="J55" s="797"/>
      <c r="K55" s="797"/>
      <c r="L55" s="445"/>
    </row>
    <row r="56" spans="1:12">
      <c r="A56" s="423"/>
      <c r="B56" s="678" t="str">
        <f ca="1">DCFData!B75</f>
        <v>2000-2007</v>
      </c>
      <c r="C56" s="678" t="str">
        <f ca="1">DCFData!C75</f>
        <v>2001-2008</v>
      </c>
      <c r="D56" s="678" t="str">
        <f ca="1">DCFData!D75</f>
        <v>2002-2009</v>
      </c>
      <c r="E56" s="679" t="str">
        <f ca="1">DCFData!E75</f>
        <v>2000-2005</v>
      </c>
      <c r="F56" s="679" t="str">
        <f ca="1">DCFData!F75</f>
        <v>2001-2006</v>
      </c>
      <c r="G56" s="679" t="str">
        <f ca="1">DCFData!G75</f>
        <v>2002-2007</v>
      </c>
      <c r="H56" s="679" t="str">
        <f ca="1">DCFData!H75</f>
        <v>2003-2008</v>
      </c>
      <c r="I56" s="679" t="str">
        <f ca="1">DCFData!I75</f>
        <v>2004-2009</v>
      </c>
      <c r="J56" s="679" t="str">
        <f ca="1">DCFData!J75</f>
        <v>Median</v>
      </c>
      <c r="K56" s="340"/>
    </row>
    <row r="57" spans="1:12">
      <c r="A57" s="460" t="s">
        <v>569</v>
      </c>
      <c r="B57" s="323">
        <f ca="1">DCFData!B76</f>
        <v>3.674101349866743E-2</v>
      </c>
      <c r="C57" s="322">
        <f ca="1">DCFData!C76</f>
        <v>-1.3897573994993473E-2</v>
      </c>
      <c r="D57" s="322">
        <f ca="1">DCFData!D76</f>
        <v>5.4676344295778279E-2</v>
      </c>
      <c r="E57" s="322">
        <f ca="1">DCFData!E76</f>
        <v>0.11117722809372976</v>
      </c>
      <c r="F57" s="322">
        <f ca="1">DCFData!F76</f>
        <v>6.0468547046325094E-2</v>
      </c>
      <c r="G57" s="322">
        <f ca="1">DCFData!G76</f>
        <v>2.9233226412822111E-2</v>
      </c>
      <c r="H57" s="322">
        <f ca="1">DCFData!H76</f>
        <v>-4.6356420455680891E-2</v>
      </c>
      <c r="I57" s="322">
        <f ca="1">DCFData!I76</f>
        <v>-2.124888479327347E-3</v>
      </c>
      <c r="J57" s="322">
        <f ca="1">DCFData!J76</f>
        <v>3.298711995574477E-2</v>
      </c>
      <c r="K57" s="340"/>
    </row>
    <row r="58" spans="1:12">
      <c r="A58" s="315" t="str">
        <f ca="1">DCFData!A77</f>
        <v>Owner Earnings FCF</v>
      </c>
      <c r="B58" s="325">
        <f ca="1">DCFData!B77</f>
        <v>0.13848119516603474</v>
      </c>
      <c r="C58" s="324">
        <f ca="1">DCFData!C77</f>
        <v>3.4245443690756439E-2</v>
      </c>
      <c r="D58" s="324">
        <f ca="1">DCFData!D77</f>
        <v>0.10557938276665824</v>
      </c>
      <c r="E58" s="324">
        <f ca="1">DCFData!E77</f>
        <v>0.1721269829077845</v>
      </c>
      <c r="F58" s="324">
        <f ca="1">DCFData!F77</f>
        <v>2.8683814034823563E-2</v>
      </c>
      <c r="G58" s="324">
        <f ca="1">DCFData!G77</f>
        <v>0.12834120877820498</v>
      </c>
      <c r="H58" s="324">
        <f ca="1">DCFData!H77</f>
        <v>2.9333865127734837E-2</v>
      </c>
      <c r="I58" s="324">
        <f ca="1">DCFData!I77</f>
        <v>4.0068076422209442E-2</v>
      </c>
      <c r="J58" s="467">
        <f ca="1">DCFData!J77</f>
        <v>7.2823729594433839E-2</v>
      </c>
      <c r="K58" s="340"/>
    </row>
    <row r="59" spans="1:12">
      <c r="A59" s="312" t="s">
        <v>2</v>
      </c>
      <c r="B59" s="323">
        <f ca="1">DCFData!B78</f>
        <v>0.29553200932669788</v>
      </c>
      <c r="C59" s="322">
        <f ca="1">DCFData!C78</f>
        <v>0.30504322186715749</v>
      </c>
      <c r="D59" s="322">
        <f ca="1">DCFData!D78</f>
        <v>0.29553200932669788</v>
      </c>
      <c r="E59" s="322">
        <f ca="1">DCFData!E78</f>
        <v>0.29263113445778727</v>
      </c>
      <c r="F59" s="322">
        <f ca="1">DCFData!F78</f>
        <v>0.29553200932669788</v>
      </c>
      <c r="G59" s="322">
        <f ca="1">DCFData!G78</f>
        <v>0.29553200932669788</v>
      </c>
      <c r="H59" s="322">
        <f ca="1">DCFData!H78</f>
        <v>0.30504322186715749</v>
      </c>
      <c r="I59" s="322">
        <f ca="1">DCFData!I78</f>
        <v>0.30504322186715749</v>
      </c>
      <c r="J59" s="322">
        <f ca="1">DCFData!J78</f>
        <v>0.29553200932669788</v>
      </c>
      <c r="K59" s="340"/>
    </row>
    <row r="60" spans="1:12">
      <c r="A60" s="296" t="s">
        <v>63</v>
      </c>
      <c r="B60" s="325">
        <f ca="1">DCFData!B79</f>
        <v>0.19532832051275523</v>
      </c>
      <c r="C60" s="324">
        <f ca="1">DCFData!C79</f>
        <v>0.19532832051275523</v>
      </c>
      <c r="D60" s="324">
        <f ca="1">DCFData!D79</f>
        <v>0.19359797259462425</v>
      </c>
      <c r="E60" s="324">
        <f ca="1">DCFData!E79</f>
        <v>0.20380322934194778</v>
      </c>
      <c r="F60" s="324">
        <f ca="1">DCFData!F79</f>
        <v>0.20380322934194778</v>
      </c>
      <c r="G60" s="324">
        <f ca="1">DCFData!G79</f>
        <v>0.19989802407329749</v>
      </c>
      <c r="H60" s="324">
        <f ca="1">DCFData!H79</f>
        <v>0.19989802407329749</v>
      </c>
      <c r="I60" s="324">
        <f ca="1">DCFData!I79</f>
        <v>0.19359797259462425</v>
      </c>
      <c r="J60" s="324">
        <f ca="1">DCFData!J79</f>
        <v>0.19761317229302636</v>
      </c>
      <c r="K60" s="340"/>
    </row>
    <row r="61" spans="1:12">
      <c r="A61" s="312" t="s">
        <v>458</v>
      </c>
      <c r="B61" s="323">
        <f ca="1">DCFData!B80</f>
        <v>0.15685446911345008</v>
      </c>
      <c r="C61" s="322">
        <f ca="1">DCFData!C80</f>
        <v>0.15685446911345008</v>
      </c>
      <c r="D61" s="322">
        <f ca="1">DCFData!D80</f>
        <v>0.14901912236879833</v>
      </c>
      <c r="E61" s="322">
        <f ca="1">DCFData!E80</f>
        <v>0.15685446911345008</v>
      </c>
      <c r="F61" s="322">
        <f ca="1">DCFData!F80</f>
        <v>0.16227420693776479</v>
      </c>
      <c r="G61" s="322">
        <f ca="1">DCFData!G80</f>
        <v>0.15685446911345008</v>
      </c>
      <c r="H61" s="322">
        <f ca="1">DCFData!H80</f>
        <v>0.15685446911345008</v>
      </c>
      <c r="I61" s="322">
        <f ca="1">DCFData!I80</f>
        <v>0.14901912236879833</v>
      </c>
      <c r="J61" s="322">
        <f ca="1">DCFData!J80</f>
        <v>0.15685446911345008</v>
      </c>
      <c r="K61" s="340"/>
    </row>
    <row r="62" spans="1:12">
      <c r="A62" s="315" t="s">
        <v>459</v>
      </c>
      <c r="B62" s="325">
        <f ca="1">DCFData!B81</f>
        <v>0.2990634799834927</v>
      </c>
      <c r="C62" s="324">
        <f ca="1">DCFData!C81</f>
        <v>0.2990634799834927</v>
      </c>
      <c r="D62" s="324">
        <f ca="1">DCFData!D81</f>
        <v>0.29077313912006814</v>
      </c>
      <c r="E62" s="324">
        <f ca="1">DCFData!E81</f>
        <v>0.30103187849369339</v>
      </c>
      <c r="F62" s="324">
        <f ca="1">DCFData!F81</f>
        <v>0.30220480512958597</v>
      </c>
      <c r="G62" s="324">
        <f ca="1">DCFData!G81</f>
        <v>0.2990634799834927</v>
      </c>
      <c r="H62" s="324">
        <f ca="1">DCFData!H81</f>
        <v>0.2990634799834927</v>
      </c>
      <c r="I62" s="324">
        <f ca="1">DCFData!I81</f>
        <v>0.29077313912006814</v>
      </c>
      <c r="J62" s="324">
        <f ca="1">DCFData!J81</f>
        <v>0.2990634799834927</v>
      </c>
      <c r="K62" s="340"/>
    </row>
    <row r="63" spans="1:12">
      <c r="A63" s="429" t="s">
        <v>468</v>
      </c>
      <c r="B63" s="430">
        <f ca="1">DCFData!B82</f>
        <v>0.64875849088427984</v>
      </c>
      <c r="C63" s="431">
        <f ca="1">DCFData!C82</f>
        <v>0.64461945458742553</v>
      </c>
      <c r="D63" s="431">
        <f ca="1">DCFData!D82</f>
        <v>0.64307327877027776</v>
      </c>
      <c r="E63" s="431">
        <f ca="1">DCFData!E82</f>
        <v>0.64875849088427984</v>
      </c>
      <c r="F63" s="431">
        <f ca="1">DCFData!F82</f>
        <v>0.64875849088427984</v>
      </c>
      <c r="G63" s="431">
        <f ca="1">DCFData!G82</f>
        <v>0.64234688483122959</v>
      </c>
      <c r="H63" s="431">
        <f ca="1">DCFData!H82</f>
        <v>0.64461945458742553</v>
      </c>
      <c r="I63" s="431">
        <f ca="1">DCFData!I82</f>
        <v>0.64461945458742553</v>
      </c>
      <c r="J63" s="431">
        <f ca="1">DCFData!J82</f>
        <v>0.64461945458742553</v>
      </c>
      <c r="K63" s="340"/>
    </row>
    <row r="64" spans="1:12">
      <c r="A64" s="315" t="s">
        <v>469</v>
      </c>
      <c r="B64" s="325">
        <f ca="1">DCFData!B83</f>
        <v>0.26066063477113077</v>
      </c>
      <c r="C64" s="324">
        <f ca="1">DCFData!C83</f>
        <v>0.26262371966455406</v>
      </c>
      <c r="D64" s="324">
        <f ca="1">DCFData!D83</f>
        <v>0.26262371966455406</v>
      </c>
      <c r="E64" s="324">
        <f ca="1">DCFData!E83</f>
        <v>0.26141122258580107</v>
      </c>
      <c r="F64" s="324">
        <f ca="1">DCFData!F83</f>
        <v>0.26262371966455406</v>
      </c>
      <c r="G64" s="324">
        <f ca="1">DCFData!G83</f>
        <v>0.26066063477113077</v>
      </c>
      <c r="H64" s="324">
        <f ca="1">DCFData!H83</f>
        <v>0.26066063477113077</v>
      </c>
      <c r="I64" s="324">
        <f ca="1">DCFData!I83</f>
        <v>0.26262371966455406</v>
      </c>
      <c r="J64" s="324">
        <f ca="1">DCFData!J83</f>
        <v>0.26201747112517759</v>
      </c>
      <c r="K64" s="340"/>
    </row>
    <row r="65" spans="1:11">
      <c r="A65" s="429" t="s">
        <v>470</v>
      </c>
      <c r="B65" s="430">
        <f ca="1">DCFData!B84</f>
        <v>0.20691529742150791</v>
      </c>
      <c r="C65" s="431">
        <f ca="1">DCFData!C84</f>
        <v>0.20691529742150791</v>
      </c>
      <c r="D65" s="431">
        <f ca="1">DCFData!D84</f>
        <v>0.20906798923567804</v>
      </c>
      <c r="E65" s="431">
        <f ca="1">DCFData!E84</f>
        <v>0.20205425126153206</v>
      </c>
      <c r="F65" s="431">
        <f ca="1">DCFData!F84</f>
        <v>0.2087198843631152</v>
      </c>
      <c r="G65" s="431">
        <f ca="1">DCFData!G84</f>
        <v>0.20906798923567804</v>
      </c>
      <c r="H65" s="431">
        <f ca="1">DCFData!H84</f>
        <v>0.20906798923567804</v>
      </c>
      <c r="I65" s="431">
        <f ca="1">DCFData!I84</f>
        <v>0.21088298353865925</v>
      </c>
      <c r="J65" s="431">
        <f ca="1">DCFData!J84</f>
        <v>0.20889393679939661</v>
      </c>
      <c r="K65" s="340"/>
    </row>
    <row r="66" spans="1:11">
      <c r="A66" s="315" t="s">
        <v>552</v>
      </c>
      <c r="B66" s="325">
        <f ca="1">DCFData!B85</f>
        <v>5.0367180878555073E-2</v>
      </c>
      <c r="C66" s="324">
        <f ca="1">DCFData!C85</f>
        <v>6.8480473101840023E-2</v>
      </c>
      <c r="D66" s="324">
        <f ca="1">DCFData!D85</f>
        <v>6.7917499478189258E-2</v>
      </c>
      <c r="E66" s="324">
        <f ca="1">DCFData!E85</f>
        <v>2.4624651365319217E-2</v>
      </c>
      <c r="F66" s="324">
        <f ca="1">DCFData!F85</f>
        <v>3.6944505196889743E-2</v>
      </c>
      <c r="G66" s="324">
        <f ca="1">DCFData!G85</f>
        <v>8.0833271176710575E-2</v>
      </c>
      <c r="H66" s="324">
        <f ca="1">DCFData!H85</f>
        <v>8.705670922504738E-2</v>
      </c>
      <c r="I66" s="324">
        <f ca="1">DCFData!I85</f>
        <v>7.1297121033441657E-2</v>
      </c>
      <c r="J66" s="324">
        <f ca="1">DCFData!J85</f>
        <v>6.819898629001464E-2</v>
      </c>
      <c r="K66" s="340"/>
    </row>
    <row r="67" spans="1:11">
      <c r="A67" s="429" t="s">
        <v>553</v>
      </c>
      <c r="B67" s="430">
        <f ca="1">DCFData!B86</f>
        <v>0.16544805548213226</v>
      </c>
      <c r="C67" s="431">
        <f ca="1">DCFData!C86</f>
        <v>6.5221464989552835E-2</v>
      </c>
      <c r="D67" s="431">
        <f ca="1">DCFData!D86</f>
        <v>0.13201397142067139</v>
      </c>
      <c r="E67" s="431">
        <f ca="1">DCFData!E86</f>
        <v>0.18312191546907464</v>
      </c>
      <c r="F67" s="431">
        <f ca="1">DCFData!F86</f>
        <v>6.1858758794934632E-2</v>
      </c>
      <c r="G67" s="431">
        <f ca="1">DCFData!G86</f>
        <v>0.15879230442490599</v>
      </c>
      <c r="H67" s="431">
        <f ca="1">DCFData!H86</f>
        <v>7.0644317120605482E-2</v>
      </c>
      <c r="I67" s="431">
        <f ca="1">DCFData!I86</f>
        <v>7.9362995878642373E-2</v>
      </c>
      <c r="J67" s="431">
        <f ca="1">DCFData!J86</f>
        <v>0.10568848364965688</v>
      </c>
      <c r="K67" s="340"/>
    </row>
    <row r="68" spans="1:11" ht="13.5" thickBot="1">
      <c r="A68" s="318" t="s">
        <v>554</v>
      </c>
      <c r="B68" s="335">
        <f ca="1">DCFData!B87</f>
        <v>0.10364902286321098</v>
      </c>
      <c r="C68" s="334">
        <f ca="1">DCFData!C87</f>
        <v>9.1193152564336133E-2</v>
      </c>
      <c r="D68" s="334">
        <f ca="1">DCFData!D87</f>
        <v>8.1117467815270183E-2</v>
      </c>
      <c r="E68" s="334">
        <f ca="1">DCFData!E87</f>
        <v>0.12369837390962113</v>
      </c>
      <c r="F68" s="334">
        <f ca="1">DCFData!F87</f>
        <v>7.7053200648078857E-2</v>
      </c>
      <c r="G68" s="334">
        <f ca="1">DCFData!G87</f>
        <v>8.5597659746396548E-2</v>
      </c>
      <c r="H68" s="334">
        <f ca="1">DCFData!H87</f>
        <v>6.7716064216018834E-2</v>
      </c>
      <c r="I68" s="334">
        <f ca="1">DCFData!I87</f>
        <v>6.5242745284309844E-2</v>
      </c>
      <c r="J68" s="334">
        <f ca="1">DCFData!J87</f>
        <v>8.3357563780833366E-2</v>
      </c>
      <c r="K68" s="340"/>
    </row>
    <row r="69" spans="1:11" ht="13.5" thickTop="1">
      <c r="A69" s="423"/>
      <c r="B69" s="340"/>
      <c r="C69" s="340"/>
      <c r="D69" s="340"/>
      <c r="E69" s="340"/>
      <c r="F69" s="340"/>
      <c r="G69" s="340"/>
      <c r="H69" s="340"/>
      <c r="I69" s="340"/>
      <c r="J69" s="340"/>
      <c r="K69" s="340"/>
    </row>
    <row r="70" spans="1:11" ht="15.75">
      <c r="A70" s="797" t="s">
        <v>8</v>
      </c>
      <c r="B70" s="797"/>
      <c r="C70" s="797"/>
      <c r="D70" s="797"/>
      <c r="E70" s="797"/>
      <c r="F70" s="797"/>
      <c r="G70" s="797"/>
      <c r="H70" s="797"/>
      <c r="I70" s="797"/>
      <c r="J70" s="797"/>
      <c r="K70" s="797"/>
    </row>
    <row r="71" spans="1:11">
      <c r="A71" s="446" t="s">
        <v>230</v>
      </c>
      <c r="B71" s="458">
        <f ca="1">L9+1</f>
        <v>2010</v>
      </c>
      <c r="C71" s="458">
        <f ca="1">B71+1</f>
        <v>2011</v>
      </c>
      <c r="D71" s="458">
        <f ca="1">C71+1</f>
        <v>2012</v>
      </c>
      <c r="E71" s="458">
        <f t="shared" ref="E71:K71" ca="1" si="1">D71+1</f>
        <v>2013</v>
      </c>
      <c r="F71" s="458">
        <f t="shared" ca="1" si="1"/>
        <v>2014</v>
      </c>
      <c r="G71" s="458">
        <f t="shared" ca="1" si="1"/>
        <v>2015</v>
      </c>
      <c r="H71" s="458">
        <f t="shared" ca="1" si="1"/>
        <v>2016</v>
      </c>
      <c r="I71" s="458">
        <f t="shared" ca="1" si="1"/>
        <v>2017</v>
      </c>
      <c r="J71" s="458">
        <f t="shared" ca="1" si="1"/>
        <v>2018</v>
      </c>
      <c r="K71" s="469">
        <f t="shared" ca="1" si="1"/>
        <v>2019</v>
      </c>
    </row>
    <row r="72" spans="1:11">
      <c r="A72" s="449">
        <f ca="1">F3</f>
        <v>6.0552578072714414E-2</v>
      </c>
      <c r="B72" s="450">
        <f ca="1">FV($A$72,(B71-L9),0,-L14)</f>
        <v>6434.3724911671588</v>
      </c>
      <c r="C72" s="451">
        <f ca="1">FV($A$72,(C71-$L$9),0,-$L$14)</f>
        <v>6823.9903337874857</v>
      </c>
      <c r="D72" s="451">
        <f ca="1">FV($A$72,(D71-$L$9),0,-$L$14)</f>
        <v>7237.200541241602</v>
      </c>
      <c r="E72" s="452">
        <f ca="1">FV($A$72*(1-10%),(E71-$L$9),0,-$L$14)</f>
        <v>7501.6347821657528</v>
      </c>
      <c r="F72" s="452">
        <f ca="1">FV($A$72*(1-10%),(F71-$L$9),0,-$L$14)</f>
        <v>7910.4537754038274</v>
      </c>
      <c r="G72" s="452">
        <f ca="1">FV($A$72*(1-10%),(G71-$L$9),0,-$L$14)</f>
        <v>8341.5523082469917</v>
      </c>
      <c r="H72" s="452">
        <f ca="1">FV($A$72*(1-10%),(H71-$L$9),0,-$L$14)</f>
        <v>8796.1445559004751</v>
      </c>
      <c r="I72" s="452">
        <f ca="1">FV($A$72*(1-10%)*(1-10%),(I71-$L$9),0,-$L$14)</f>
        <v>8898.8833158832094</v>
      </c>
      <c r="J72" s="452">
        <f ca="1">FV($A$72*(1-10%)*(1-10%),(J71-$L$9),0,-$L$14)</f>
        <v>9335.352080546656</v>
      </c>
      <c r="K72" s="453">
        <f ca="1">FV($A$72*(1-10%)*(1-10%),(K71-$L$9),0,-$L$14)</f>
        <v>9793.2285854584552</v>
      </c>
    </row>
    <row r="73" spans="1:11">
      <c r="A73" s="447" t="s">
        <v>566</v>
      </c>
      <c r="B73" s="456">
        <f ca="1">K71+1</f>
        <v>2020</v>
      </c>
      <c r="C73" s="456">
        <f ca="1">B73+1</f>
        <v>2021</v>
      </c>
      <c r="D73" s="456">
        <f t="shared" ref="D73:K73" ca="1" si="2">C73+1</f>
        <v>2022</v>
      </c>
      <c r="E73" s="456">
        <f t="shared" ca="1" si="2"/>
        <v>2023</v>
      </c>
      <c r="F73" s="456">
        <f t="shared" ca="1" si="2"/>
        <v>2024</v>
      </c>
      <c r="G73" s="456">
        <f t="shared" ca="1" si="2"/>
        <v>2025</v>
      </c>
      <c r="H73" s="456">
        <f t="shared" ca="1" si="2"/>
        <v>2026</v>
      </c>
      <c r="I73" s="456">
        <f t="shared" ca="1" si="2"/>
        <v>2027</v>
      </c>
      <c r="J73" s="456">
        <f t="shared" ca="1" si="2"/>
        <v>2028</v>
      </c>
      <c r="K73" s="457">
        <f t="shared" ca="1" si="2"/>
        <v>2029</v>
      </c>
    </row>
    <row r="74" spans="1:11" ht="13.5" thickBot="1">
      <c r="A74" s="448">
        <f>H3</f>
        <v>0.03</v>
      </c>
      <c r="B74" s="454">
        <f ca="1">IF(ISBLANK($H$3),(1+0.03)*K72,(1+$H$3)*K72)</f>
        <v>10087.025443022208</v>
      </c>
      <c r="C74" s="454">
        <f t="shared" ref="C74:K74" ca="1" si="3">IF(ISBLANK($H$3),(1+0.03)*B74,(1+$H$3)*B74)</f>
        <v>10389.636206312874</v>
      </c>
      <c r="D74" s="454">
        <f t="shared" ca="1" si="3"/>
        <v>10701.325292502261</v>
      </c>
      <c r="E74" s="454">
        <f t="shared" ca="1" si="3"/>
        <v>11022.365051277329</v>
      </c>
      <c r="F74" s="454">
        <f t="shared" ca="1" si="3"/>
        <v>11353.03600281565</v>
      </c>
      <c r="G74" s="454">
        <f t="shared" ca="1" si="3"/>
        <v>11693.627082900121</v>
      </c>
      <c r="H74" s="454">
        <f t="shared" ca="1" si="3"/>
        <v>12044.435895387125</v>
      </c>
      <c r="I74" s="454">
        <f t="shared" ca="1" si="3"/>
        <v>12405.768972248739</v>
      </c>
      <c r="J74" s="454">
        <f t="shared" ca="1" si="3"/>
        <v>12777.942041416201</v>
      </c>
      <c r="K74" s="455">
        <f t="shared" ca="1" si="3"/>
        <v>13161.280302658688</v>
      </c>
    </row>
    <row r="75" spans="1:11" ht="13.5" thickTop="1"/>
    <row r="76" spans="1:11" ht="15.75">
      <c r="A76" s="797" t="s">
        <v>568</v>
      </c>
      <c r="B76" s="797"/>
      <c r="C76" s="797"/>
      <c r="E76"/>
      <c r="F76"/>
      <c r="G76"/>
      <c r="H76"/>
      <c r="I76"/>
      <c r="J76"/>
      <c r="K76"/>
    </row>
    <row r="77" spans="1:11">
      <c r="A77" s="470" t="s">
        <v>567</v>
      </c>
      <c r="B77" s="1039">
        <f ca="1">NPV(G3,B72:K72,B74:K74)+DCFData!K36</f>
        <v>76353.532056454977</v>
      </c>
      <c r="C77" s="1039"/>
    </row>
    <row r="78" spans="1:11">
      <c r="A78" s="471" t="s">
        <v>88</v>
      </c>
      <c r="B78" s="1036">
        <f ca="1">D3</f>
        <v>2310</v>
      </c>
      <c r="C78" s="1037"/>
      <c r="D78" s="173"/>
    </row>
    <row r="79" spans="1:11">
      <c r="A79" s="470" t="s">
        <v>10</v>
      </c>
      <c r="B79" s="1038">
        <f ca="1">B77/D3</f>
        <v>33.053477080716441</v>
      </c>
      <c r="C79" s="1038"/>
    </row>
    <row r="80" spans="1:11">
      <c r="A80" s="471" t="s">
        <v>127</v>
      </c>
      <c r="B80" s="1030">
        <f>E3</f>
        <v>0.5</v>
      </c>
      <c r="C80" s="1030"/>
    </row>
    <row r="81" spans="1:4">
      <c r="A81" s="470" t="s">
        <v>11</v>
      </c>
      <c r="B81" s="1031">
        <f ca="1">B79*(1-B80)</f>
        <v>16.52673854035822</v>
      </c>
      <c r="C81" s="1031"/>
    </row>
    <row r="82" spans="1:4">
      <c r="A82" s="471" t="s">
        <v>4</v>
      </c>
      <c r="B82" s="1032">
        <f ca="1">D7</f>
        <v>52.4</v>
      </c>
      <c r="C82" s="1032"/>
    </row>
    <row r="83" spans="1:4" ht="13.5" thickBot="1">
      <c r="A83" s="533" t="s">
        <v>12</v>
      </c>
      <c r="B83" s="1023">
        <f ca="1">IF(B79&gt;0,1-(B82/B79),(B82/B79)-1)</f>
        <v>-0.58530976550634706</v>
      </c>
      <c r="C83" s="1023"/>
    </row>
    <row r="84" spans="1:4" ht="13.5" thickTop="1">
      <c r="A84" s="173"/>
      <c r="B84" s="173"/>
      <c r="C84" s="173"/>
      <c r="D84" s="309"/>
    </row>
  </sheetData>
  <mergeCells count="13">
    <mergeCell ref="J1:K1"/>
    <mergeCell ref="B78:C78"/>
    <mergeCell ref="B79:C79"/>
    <mergeCell ref="B77:C77"/>
    <mergeCell ref="B83:C83"/>
    <mergeCell ref="J3:J4"/>
    <mergeCell ref="G3:G4"/>
    <mergeCell ref="H3:H4"/>
    <mergeCell ref="E3:E4"/>
    <mergeCell ref="B80:C80"/>
    <mergeCell ref="B81:C81"/>
    <mergeCell ref="B82:C82"/>
    <mergeCell ref="I3:I4"/>
  </mergeCells>
  <phoneticPr fontId="2" type="noConversion"/>
  <conditionalFormatting sqref="G7">
    <cfRule type="expression" dxfId="136" priority="65" stopIfTrue="1">
      <formula>$G$7&lt;$E$3</formula>
    </cfRule>
    <cfRule type="expression" dxfId="135" priority="66" stopIfTrue="1">
      <formula>$G$7&gt;$E$3</formula>
    </cfRule>
  </conditionalFormatting>
  <conditionalFormatting sqref="E7">
    <cfRule type="expression" dxfId="134" priority="63" stopIfTrue="1">
      <formula>$E$7&gt;$D$7</formula>
    </cfRule>
    <cfRule type="expression" dxfId="133" priority="64" stopIfTrue="1">
      <formula>$E$7&lt;=$D$7</formula>
    </cfRule>
  </conditionalFormatting>
  <conditionalFormatting sqref="D18:E18">
    <cfRule type="expression" dxfId="132" priority="59" stopIfTrue="1">
      <formula>D18&gt;=C18</formula>
    </cfRule>
    <cfRule type="expression" dxfId="131" priority="62" stopIfTrue="1">
      <formula>D18&lt;C18</formula>
    </cfRule>
  </conditionalFormatting>
  <conditionalFormatting sqref="E18">
    <cfRule type="expression" dxfId="130" priority="61" stopIfTrue="1">
      <formula>E18&lt;D18</formula>
    </cfRule>
  </conditionalFormatting>
  <conditionalFormatting sqref="F18">
    <cfRule type="expression" dxfId="129" priority="60" stopIfTrue="1">
      <formula>F18&lt;E18</formula>
    </cfRule>
  </conditionalFormatting>
  <conditionalFormatting sqref="E18:M18">
    <cfRule type="expression" dxfId="128" priority="57" stopIfTrue="1">
      <formula>E18&gt;=D18</formula>
    </cfRule>
    <cfRule type="expression" dxfId="127" priority="58" stopIfTrue="1">
      <formula>E18&lt;D18</formula>
    </cfRule>
  </conditionalFormatting>
  <conditionalFormatting sqref="D19:D20">
    <cfRule type="expression" dxfId="126" priority="55" stopIfTrue="1">
      <formula>D19&gt;=C19</formula>
    </cfRule>
    <cfRule type="expression" dxfId="125" priority="56" stopIfTrue="1">
      <formula>D19&lt;C19</formula>
    </cfRule>
  </conditionalFormatting>
  <conditionalFormatting sqref="E19:E20">
    <cfRule type="expression" dxfId="124" priority="54" stopIfTrue="1">
      <formula>E19&lt;D19</formula>
    </cfRule>
  </conditionalFormatting>
  <conditionalFormatting sqref="F19:F20">
    <cfRule type="expression" dxfId="123" priority="53" stopIfTrue="1">
      <formula>F19&lt;E19</formula>
    </cfRule>
  </conditionalFormatting>
  <conditionalFormatting sqref="E19:M20">
    <cfRule type="expression" dxfId="122" priority="51" stopIfTrue="1">
      <formula>E19&gt;=D19</formula>
    </cfRule>
    <cfRule type="expression" dxfId="121" priority="52" stopIfTrue="1">
      <formula>E19&lt;D19</formula>
    </cfRule>
  </conditionalFormatting>
  <conditionalFormatting sqref="D11">
    <cfRule type="expression" dxfId="120" priority="49" stopIfTrue="1">
      <formula>D11&gt;=C11</formula>
    </cfRule>
    <cfRule type="expression" dxfId="119" priority="50" stopIfTrue="1">
      <formula>D11&lt;C11</formula>
    </cfRule>
  </conditionalFormatting>
  <conditionalFormatting sqref="E11">
    <cfRule type="expression" dxfId="118" priority="48" stopIfTrue="1">
      <formula>E11&lt;D11</formula>
    </cfRule>
  </conditionalFormatting>
  <conditionalFormatting sqref="F11">
    <cfRule type="expression" dxfId="117" priority="47" stopIfTrue="1">
      <formula>F11&lt;E11</formula>
    </cfRule>
  </conditionalFormatting>
  <conditionalFormatting sqref="E11:M11">
    <cfRule type="expression" dxfId="116" priority="45" stopIfTrue="1">
      <formula>E11&gt;=D11</formula>
    </cfRule>
    <cfRule type="expression" dxfId="115" priority="46" stopIfTrue="1">
      <formula>E11&lt;D11</formula>
    </cfRule>
  </conditionalFormatting>
  <conditionalFormatting sqref="D12:D14">
    <cfRule type="expression" dxfId="114" priority="43" stopIfTrue="1">
      <formula>D12&gt;=C12</formula>
    </cfRule>
    <cfRule type="expression" dxfId="113" priority="44" stopIfTrue="1">
      <formula>D12&lt;C12</formula>
    </cfRule>
  </conditionalFormatting>
  <conditionalFormatting sqref="E12:E14">
    <cfRule type="expression" dxfId="112" priority="42" stopIfTrue="1">
      <formula>E12&lt;D12</formula>
    </cfRule>
  </conditionalFormatting>
  <conditionalFormatting sqref="F12:F14">
    <cfRule type="expression" dxfId="111" priority="41" stopIfTrue="1">
      <formula>F12&lt;E12</formula>
    </cfRule>
  </conditionalFormatting>
  <conditionalFormatting sqref="E12:M14">
    <cfRule type="expression" dxfId="110" priority="39" stopIfTrue="1">
      <formula>E12&gt;=D12</formula>
    </cfRule>
    <cfRule type="expression" dxfId="109" priority="40" stopIfTrue="1">
      <formula>E12&lt;D12</formula>
    </cfRule>
  </conditionalFormatting>
  <conditionalFormatting sqref="D23">
    <cfRule type="expression" dxfId="108" priority="37" stopIfTrue="1">
      <formula>D23&gt;=C23</formula>
    </cfRule>
    <cfRule type="expression" dxfId="107" priority="38" stopIfTrue="1">
      <formula>D23&lt;C23</formula>
    </cfRule>
  </conditionalFormatting>
  <conditionalFormatting sqref="E23">
    <cfRule type="expression" dxfId="106" priority="36" stopIfTrue="1">
      <formula>E23&lt;D23</formula>
    </cfRule>
  </conditionalFormatting>
  <conditionalFormatting sqref="F23">
    <cfRule type="expression" dxfId="105" priority="35" stopIfTrue="1">
      <formula>F23&lt;E23</formula>
    </cfRule>
  </conditionalFormatting>
  <conditionalFormatting sqref="E23:M23">
    <cfRule type="expression" dxfId="104" priority="33" stopIfTrue="1">
      <formula>E23&gt;=D23</formula>
    </cfRule>
    <cfRule type="expression" dxfId="103" priority="34" stopIfTrue="1">
      <formula>E23&lt;D23</formula>
    </cfRule>
  </conditionalFormatting>
  <conditionalFormatting sqref="D27:E31">
    <cfRule type="expression" dxfId="102" priority="25" stopIfTrue="1">
      <formula>D27&gt;=C27</formula>
    </cfRule>
    <cfRule type="expression" dxfId="101" priority="26" stopIfTrue="1">
      <formula>D27&lt;C27</formula>
    </cfRule>
  </conditionalFormatting>
  <conditionalFormatting sqref="E27:E31">
    <cfRule type="expression" dxfId="100" priority="24" stopIfTrue="1">
      <formula>E27&lt;D27</formula>
    </cfRule>
  </conditionalFormatting>
  <conditionalFormatting sqref="F27:F31">
    <cfRule type="expression" dxfId="99" priority="23" stopIfTrue="1">
      <formula>F27&lt;E27</formula>
    </cfRule>
  </conditionalFormatting>
  <conditionalFormatting sqref="E27:M31">
    <cfRule type="expression" dxfId="98" priority="21" stopIfTrue="1">
      <formula>E27&gt;=D27</formula>
    </cfRule>
    <cfRule type="expression" dxfId="97" priority="22" stopIfTrue="1">
      <formula>E27&lt;D27</formula>
    </cfRule>
  </conditionalFormatting>
  <conditionalFormatting sqref="D34:E36">
    <cfRule type="expression" dxfId="96" priority="19" stopIfTrue="1">
      <formula>D34&gt;=C34</formula>
    </cfRule>
    <cfRule type="expression" dxfId="95" priority="20" stopIfTrue="1">
      <formula>D34&lt;C34</formula>
    </cfRule>
  </conditionalFormatting>
  <conditionalFormatting sqref="E34:E36">
    <cfRule type="expression" dxfId="94" priority="18" stopIfTrue="1">
      <formula>E34&lt;D34</formula>
    </cfRule>
  </conditionalFormatting>
  <conditionalFormatting sqref="F34:F36">
    <cfRule type="expression" dxfId="93" priority="17" stopIfTrue="1">
      <formula>F34&lt;E34</formula>
    </cfRule>
  </conditionalFormatting>
  <conditionalFormatting sqref="E34:M36">
    <cfRule type="expression" dxfId="92" priority="15" stopIfTrue="1">
      <formula>E34&gt;=D34</formula>
    </cfRule>
    <cfRule type="expression" dxfId="91" priority="16" stopIfTrue="1">
      <formula>E34&lt;D34</formula>
    </cfRule>
  </conditionalFormatting>
  <conditionalFormatting sqref="D3">
    <cfRule type="expression" dxfId="90" priority="14" stopIfTrue="1">
      <formula>ISERR($D$3)</formula>
    </cfRule>
  </conditionalFormatting>
  <conditionalFormatting sqref="C3">
    <cfRule type="cellIs" dxfId="89" priority="13" stopIfTrue="1" operator="equal">
      <formula>"Check Shares"</formula>
    </cfRule>
  </conditionalFormatting>
  <conditionalFormatting sqref="D37:E37">
    <cfRule type="expression" dxfId="88" priority="11" stopIfTrue="1">
      <formula>D37&gt;=C37</formula>
    </cfRule>
    <cfRule type="expression" dxfId="87" priority="12" stopIfTrue="1">
      <formula>D37&lt;C37</formula>
    </cfRule>
  </conditionalFormatting>
  <conditionalFormatting sqref="E37">
    <cfRule type="expression" dxfId="86" priority="10" stopIfTrue="1">
      <formula>E37&lt;D37</formula>
    </cfRule>
  </conditionalFormatting>
  <conditionalFormatting sqref="F37">
    <cfRule type="expression" dxfId="85" priority="9" stopIfTrue="1">
      <formula>F37&lt;E37</formula>
    </cfRule>
  </conditionalFormatting>
  <conditionalFormatting sqref="E37:M37">
    <cfRule type="expression" dxfId="84" priority="7" stopIfTrue="1">
      <formula>E37&gt;=D37</formula>
    </cfRule>
    <cfRule type="expression" dxfId="83" priority="8" stopIfTrue="1">
      <formula>E37&lt;D37</formula>
    </cfRule>
  </conditionalFormatting>
  <conditionalFormatting sqref="D38:E38">
    <cfRule type="expression" dxfId="82" priority="5" stopIfTrue="1">
      <formula>D38&gt;=C38</formula>
    </cfRule>
    <cfRule type="expression" dxfId="81" priority="6" stopIfTrue="1">
      <formula>D38&lt;C38</formula>
    </cfRule>
  </conditionalFormatting>
  <conditionalFormatting sqref="E38">
    <cfRule type="expression" dxfId="80" priority="4" stopIfTrue="1">
      <formula>E38&lt;D38</formula>
    </cfRule>
  </conditionalFormatting>
  <conditionalFormatting sqref="F38">
    <cfRule type="expression" dxfId="79" priority="3" stopIfTrue="1">
      <formula>F38&lt;E38</formula>
    </cfRule>
  </conditionalFormatting>
  <conditionalFormatting sqref="E38:M38">
    <cfRule type="expression" dxfId="78" priority="1" stopIfTrue="1">
      <formula>E38&gt;=D38</formula>
    </cfRule>
    <cfRule type="expression" dxfId="77" priority="2" stopIfTrue="1">
      <formula>E38&lt;D38</formula>
    </cfRule>
  </conditionalFormatting>
  <dataValidations xWindow="453" yWindow="208" count="5">
    <dataValidation type="list" allowBlank="1" showInputMessage="1" showErrorMessage="1" sqref="E3 B5">
      <formula1>list_mos</formula1>
    </dataValidation>
    <dataValidation type="list" allowBlank="1" showInputMessage="1" showErrorMessage="1" sqref="H3">
      <formula1>list_terminal</formula1>
    </dataValidation>
    <dataValidation type="list" allowBlank="1" showInputMessage="1" showErrorMessage="1" sqref="I3">
      <formula1>list_FCF_select</formula1>
    </dataValidation>
    <dataValidation type="custom" allowBlank="1" showInputMessage="1" showErrorMessage="1" sqref="D3">
      <formula1>IF(ISBLANK(user_shares),list_shares,user_shares)</formula1>
    </dataValidation>
    <dataValidation type="list" allowBlank="1" showInputMessage="1" showErrorMessage="1" sqref="G3:G4">
      <formula1>list_discount</formula1>
    </dataValidation>
  </dataValidations>
  <printOptions horizontalCentered="1"/>
  <pageMargins left="0.5" right="0.5" top="0.5" bottom="0.5" header="0.5" footer="0.5"/>
  <pageSetup scale="51" orientation="portrait" r:id="rId1"/>
  <headerFooter alignWithMargins="0"/>
  <ignoredErrors>
    <ignoredError sqref="B73:K73" unlockedFormula="1"/>
  </ignoredErrors>
  <drawing r:id="rId2"/>
  <legacyDrawing r:id="rId3"/>
</worksheet>
</file>

<file path=xl/worksheets/sheet6.xml><?xml version="1.0" encoding="utf-8"?>
<worksheet xmlns="http://schemas.openxmlformats.org/spreadsheetml/2006/main" xmlns:r="http://schemas.openxmlformats.org/officeDocument/2006/relationships">
  <sheetPr codeName="Sheet17"/>
  <dimension ref="A1:P109"/>
  <sheetViews>
    <sheetView topLeftCell="A61" zoomScale="75" zoomScaleNormal="75" workbookViewId="0">
      <selection activeCell="B106" sqref="B106"/>
    </sheetView>
  </sheetViews>
  <sheetFormatPr defaultRowHeight="12.75" outlineLevelRow="1"/>
  <cols>
    <col min="1" max="1" width="35.42578125" style="432" bestFit="1" customWidth="1"/>
    <col min="2" max="2" width="11.28515625" style="432" bestFit="1" customWidth="1"/>
    <col min="3" max="3" width="10.85546875" style="432" bestFit="1" customWidth="1"/>
    <col min="4" max="4" width="12" style="432" customWidth="1"/>
    <col min="5" max="5" width="11.28515625" style="432" bestFit="1" customWidth="1"/>
    <col min="6" max="12" width="11.42578125" style="432" bestFit="1" customWidth="1"/>
    <col min="13" max="16384" width="9.140625" style="432"/>
  </cols>
  <sheetData>
    <row r="1" spans="1:16">
      <c r="A1" s="432" t="s">
        <v>530</v>
      </c>
    </row>
    <row r="2" spans="1:16">
      <c r="A2" s="432" t="s">
        <v>55</v>
      </c>
      <c r="B2" s="505">
        <f ca="1">[1]!RCHGetElementNumber(Ticker,25)</f>
        <v>52.4</v>
      </c>
    </row>
    <row r="3" spans="1:16">
      <c r="A3" s="432" t="s">
        <v>529</v>
      </c>
      <c r="B3" s="432">
        <f ca="1">[1]!RCHGetElementNumber(Ticker,1541)/1000000</f>
        <v>120830</v>
      </c>
    </row>
    <row r="4" spans="1:16">
      <c r="A4" s="432" t="s">
        <v>518</v>
      </c>
      <c r="B4" s="432">
        <f ca="1">[1]!RCHGetElementNumber(Ticker,34)</f>
        <v>59.45</v>
      </c>
    </row>
    <row r="5" spans="1:16">
      <c r="A5" s="432" t="s">
        <v>519</v>
      </c>
      <c r="B5" s="432">
        <f ca="1">[1]!RCHGetElementNumber(Ticker,33)</f>
        <v>47.42</v>
      </c>
    </row>
    <row r="6" spans="1:16">
      <c r="A6" s="1041" t="s">
        <v>581</v>
      </c>
      <c r="B6" s="1041"/>
      <c r="D6" s="1040" t="s">
        <v>572</v>
      </c>
      <c r="E6" s="1040"/>
    </row>
    <row r="7" spans="1:16">
      <c r="A7" s="432" t="s">
        <v>576</v>
      </c>
      <c r="B7" s="432">
        <f ca="1">[1]!RCHGetTableCell("http://www.reuters.com/finance/stocks/overview?symbol="&amp;Ticker,1,"&gt;OVERALL","Shares Outstanding (Mil.):")</f>
        <v>2306</v>
      </c>
      <c r="D7" s="432" t="s">
        <v>573</v>
      </c>
      <c r="E7" s="432">
        <f ca="1">IF(OR(ISERR($B$7),$B$7="error"),1,0)</f>
        <v>0</v>
      </c>
    </row>
    <row r="8" spans="1:16">
      <c r="A8" s="432" t="s">
        <v>577</v>
      </c>
      <c r="B8" s="432">
        <f ca="1">[1]!RCHGetElementNumber(Ticker,981)/1000</f>
        <v>2310</v>
      </c>
      <c r="D8" s="432" t="s">
        <v>574</v>
      </c>
      <c r="E8" s="432">
        <f ca="1">IF(OR(ISERR($B$8),$B$8="error"),1,0)</f>
        <v>0</v>
      </c>
      <c r="P8" s="432" t="s">
        <v>571</v>
      </c>
    </row>
    <row r="9" spans="1:16">
      <c r="A9" s="472" t="s">
        <v>578</v>
      </c>
      <c r="B9" s="472">
        <f ca="1">IF($B$7="error",$B$8,IF($B$8="error",$B$7,$B$8))</f>
        <v>2310</v>
      </c>
      <c r="D9" s="432" t="s">
        <v>575</v>
      </c>
      <c r="E9" s="432">
        <f ca="1">IF(ABS($B$7-$B$8)&gt;1,1,0)</f>
        <v>1</v>
      </c>
    </row>
    <row r="10" spans="1:16">
      <c r="A10" s="432" t="s">
        <v>580</v>
      </c>
      <c r="B10" s="432" t="str">
        <f ca="1">IF($E$10&gt;=1,"Check Shares",B8)</f>
        <v>Check Shares</v>
      </c>
      <c r="D10" s="432" t="s">
        <v>579</v>
      </c>
      <c r="E10" s="432">
        <f ca="1">SUM(E7:E9)</f>
        <v>1</v>
      </c>
    </row>
    <row r="11" spans="1:16">
      <c r="A11" s="432" t="s">
        <v>528</v>
      </c>
      <c r="B11" s="432">
        <f ca="1">B9*B2</f>
        <v>121044</v>
      </c>
    </row>
    <row r="13" spans="1:16">
      <c r="A13" s="433" t="s">
        <v>565</v>
      </c>
      <c r="B13" s="434">
        <f ca="1">Statements!E5</f>
        <v>2000</v>
      </c>
      <c r="C13" s="434">
        <f ca="1">Statements!F5</f>
        <v>2001</v>
      </c>
      <c r="D13" s="434">
        <f ca="1">Statements!G5</f>
        <v>2002</v>
      </c>
      <c r="E13" s="434">
        <f ca="1">Statements!H5</f>
        <v>2003</v>
      </c>
      <c r="F13" s="434">
        <f ca="1">Statements!I5</f>
        <v>2004</v>
      </c>
      <c r="G13" s="434">
        <f ca="1">Statements!J5</f>
        <v>2005</v>
      </c>
      <c r="H13" s="434">
        <f ca="1">Statements!K5</f>
        <v>2006</v>
      </c>
      <c r="I13" s="434">
        <f ca="1">Statements!L5</f>
        <v>2007</v>
      </c>
      <c r="J13" s="434">
        <f ca="1">Statements!M5</f>
        <v>2008</v>
      </c>
      <c r="K13" s="434">
        <f ca="1">Statements!N5</f>
        <v>2009</v>
      </c>
      <c r="L13" s="434" t="str">
        <f ca="1">Statements!S5</f>
        <v>TTM</v>
      </c>
    </row>
    <row r="14" spans="1:16" outlineLevel="1">
      <c r="A14" s="432" t="str">
        <f ca="1">Statements!B89</f>
        <v>Free Cash Flow</v>
      </c>
      <c r="B14" s="440">
        <f ca="1">Statements!E89</f>
        <v>2852</v>
      </c>
      <c r="C14" s="440">
        <f ca="1">Statements!F89</f>
        <v>3341</v>
      </c>
      <c r="D14" s="440">
        <f ca="1">Statements!G89</f>
        <v>3891</v>
      </c>
      <c r="E14" s="440">
        <f ca="1">Statements!H89</f>
        <v>4644</v>
      </c>
      <c r="F14" s="440">
        <f ca="1">Statements!I89</f>
        <v>5213</v>
      </c>
      <c r="G14" s="440">
        <f ca="1">Statements!J89</f>
        <v>5524</v>
      </c>
      <c r="H14" s="440">
        <f ca="1">Statements!K89</f>
        <v>4550</v>
      </c>
      <c r="I14" s="440">
        <f ca="1">Statements!L89</f>
        <v>5502</v>
      </c>
      <c r="J14" s="440">
        <f ca="1">Statements!M89</f>
        <v>5603</v>
      </c>
      <c r="K14" s="440">
        <f ca="1">Statements!N89</f>
        <v>6193</v>
      </c>
      <c r="L14" s="440">
        <f ca="1">Statements!S89</f>
        <v>6720</v>
      </c>
    </row>
    <row r="15" spans="1:16" outlineLevel="1">
      <c r="A15" s="432" t="str">
        <f ca="1">Statements!B90</f>
        <v>Owner Earnings FCF</v>
      </c>
      <c r="B15" s="440">
        <f ca="1">Statements!E90</f>
        <v>2217</v>
      </c>
      <c r="C15" s="440">
        <f ca="1">Statements!F90</f>
        <v>4003</v>
      </c>
      <c r="D15" s="440">
        <f ca="1">Statements!G90</f>
        <v>3005</v>
      </c>
      <c r="E15" s="440">
        <f ca="1">Statements!H90</f>
        <v>4385</v>
      </c>
      <c r="F15" s="440">
        <f ca="1">Statements!I90</f>
        <v>4985</v>
      </c>
      <c r="G15" s="440">
        <f ca="1">Statements!J90</f>
        <v>4905</v>
      </c>
      <c r="H15" s="440">
        <f ca="1">Statements!K90</f>
        <v>4611</v>
      </c>
      <c r="I15" s="440">
        <f ca="1">Statements!L90</f>
        <v>5496</v>
      </c>
      <c r="J15" s="440">
        <f ca="1">Statements!M90</f>
        <v>5067</v>
      </c>
      <c r="K15" s="440">
        <f ca="1">Statements!N90</f>
        <v>6067</v>
      </c>
      <c r="L15" s="440">
        <f ca="1">Statements!S90</f>
        <v>6419</v>
      </c>
    </row>
    <row r="18" spans="1:12">
      <c r="A18" s="432" t="s">
        <v>14</v>
      </c>
      <c r="B18" s="291">
        <f ca="1">Statements!E7</f>
        <v>20458</v>
      </c>
      <c r="C18" s="291">
        <f ca="1">Statements!F7</f>
        <v>20092</v>
      </c>
      <c r="D18" s="291">
        <f ca="1">Statements!G7</f>
        <v>19564</v>
      </c>
      <c r="E18" s="291">
        <f ca="1">Statements!H7</f>
        <v>21044</v>
      </c>
      <c r="F18" s="291">
        <f ca="1">Statements!I7</f>
        <v>21962</v>
      </c>
      <c r="G18" s="291">
        <f ca="1">Statements!J7</f>
        <v>23104</v>
      </c>
      <c r="H18" s="291">
        <f ca="1">Statements!K7</f>
        <v>24088</v>
      </c>
      <c r="I18" s="291">
        <f ca="1">Statements!L7</f>
        <v>28857</v>
      </c>
      <c r="J18" s="291">
        <f ca="1">Statements!M7</f>
        <v>31944</v>
      </c>
      <c r="K18" s="291">
        <f ca="1">Statements!N7</f>
        <v>30990</v>
      </c>
      <c r="L18" s="291">
        <f ca="1">Statements!S7</f>
        <v>31346</v>
      </c>
    </row>
    <row r="19" spans="1:12">
      <c r="A19" s="432" t="s">
        <v>16</v>
      </c>
      <c r="B19" s="291">
        <f ca="1">Statements!E11</f>
        <v>14254</v>
      </c>
      <c r="C19" s="291">
        <f ca="1">Statements!F11</f>
        <v>14048</v>
      </c>
      <c r="D19" s="291">
        <f ca="1">Statements!G11</f>
        <v>12459</v>
      </c>
      <c r="E19" s="291">
        <f ca="1">Statements!H11</f>
        <v>13282</v>
      </c>
      <c r="F19" s="291">
        <f ca="1">Statements!I11</f>
        <v>14324</v>
      </c>
      <c r="G19" s="291">
        <f ca="1">Statements!J11</f>
        <v>14909</v>
      </c>
      <c r="H19" s="291">
        <f ca="1">Statements!K11</f>
        <v>15924</v>
      </c>
      <c r="I19" s="291">
        <f ca="1">Statements!L11</f>
        <v>18451</v>
      </c>
      <c r="J19" s="291">
        <f ca="1">Statements!M11</f>
        <v>20570</v>
      </c>
      <c r="K19" s="291">
        <f ca="1">Statements!N11</f>
        <v>19902</v>
      </c>
      <c r="L19" s="291">
        <f ca="1">Statements!S11</f>
        <v>20307</v>
      </c>
    </row>
    <row r="20" spans="1:12">
      <c r="A20" s="432" t="s">
        <v>20</v>
      </c>
      <c r="B20" s="291">
        <f ca="1">Statements!E21</f>
        <v>3691</v>
      </c>
      <c r="C20" s="291">
        <f ca="1">Statements!F21</f>
        <v>5352</v>
      </c>
      <c r="D20" s="291">
        <f ca="1">Statements!G21</f>
        <v>5458</v>
      </c>
      <c r="E20" s="291">
        <f ca="1">Statements!H21</f>
        <v>5221</v>
      </c>
      <c r="F20" s="291">
        <f ca="1">Statements!I21</f>
        <v>5698</v>
      </c>
      <c r="G20" s="291">
        <f ca="1">Statements!J21</f>
        <v>6085</v>
      </c>
      <c r="H20" s="291">
        <f ca="1">Statements!K21</f>
        <v>6308</v>
      </c>
      <c r="I20" s="291">
        <f ca="1">Statements!L21</f>
        <v>7252</v>
      </c>
      <c r="J20" s="291">
        <f ca="1">Statements!M21</f>
        <v>8446</v>
      </c>
      <c r="K20" s="291">
        <f ca="1">Statements!N21</f>
        <v>8231</v>
      </c>
      <c r="L20" s="291">
        <f ca="1">Statements!S21</f>
        <v>8864</v>
      </c>
    </row>
    <row r="21" spans="1:12">
      <c r="A21" s="432" t="s">
        <v>22</v>
      </c>
      <c r="B21" s="291">
        <f ca="1">Statements!E31</f>
        <v>2177</v>
      </c>
      <c r="C21" s="291">
        <f ca="1">Statements!F31</f>
        <v>3969</v>
      </c>
      <c r="D21" s="291">
        <f ca="1">Statements!G31</f>
        <v>3050</v>
      </c>
      <c r="E21" s="291">
        <f ca="1">Statements!H31</f>
        <v>4347</v>
      </c>
      <c r="F21" s="291">
        <f ca="1">Statements!I31</f>
        <v>4847</v>
      </c>
      <c r="G21" s="291">
        <f ca="1">Statements!J31</f>
        <v>4872</v>
      </c>
      <c r="H21" s="291">
        <f ca="1">Statements!K31</f>
        <v>5080</v>
      </c>
      <c r="I21" s="291">
        <f ca="1">Statements!L31</f>
        <v>5981</v>
      </c>
      <c r="J21" s="291">
        <f ca="1">Statements!M31</f>
        <v>5807</v>
      </c>
      <c r="K21" s="291">
        <f ca="1">Statements!N31</f>
        <v>6824</v>
      </c>
      <c r="L21" s="291">
        <f ca="1">Statements!S31</f>
        <v>7102</v>
      </c>
    </row>
    <row r="22" spans="1:12">
      <c r="A22" s="432" t="s">
        <v>439</v>
      </c>
      <c r="B22" s="291">
        <f ca="1">SUM(Statements!E14,Statements!E16,Statements!E18,Statements!E69)</f>
        <v>11336</v>
      </c>
      <c r="C22" s="291">
        <f ca="1">SUM(Statements!F14,Statements!F16,Statements!F18,Statements!F69)</f>
        <v>9499</v>
      </c>
      <c r="D22" s="291">
        <f ca="1">SUM(Statements!G14,Statements!G16,Statements!G18,Statements!G69)</f>
        <v>7807</v>
      </c>
      <c r="E22" s="291">
        <f ca="1">SUM(Statements!H14,Statements!H16,Statements!H18,Statements!H69)</f>
        <v>8911</v>
      </c>
      <c r="F22" s="291">
        <f ca="1">SUM(Statements!I14,Statements!I16,Statements!I18,Statements!I69)</f>
        <v>9519</v>
      </c>
      <c r="G22" s="291">
        <f ca="1">SUM(Statements!J14,Statements!J16,Statements!J18,Statements!J69)</f>
        <v>9756</v>
      </c>
      <c r="H22" s="291">
        <f ca="1">SUM(Statements!K14,Statements!K16,Statements!K18,Statements!K69)</f>
        <v>10554</v>
      </c>
      <c r="I22" s="291">
        <f ca="1">SUM(Statements!L14,Statements!L16,Statements!L18,Statements!L69)</f>
        <v>12362</v>
      </c>
      <c r="J22" s="291">
        <f ca="1">SUM(Statements!M14,Statements!M16,Statements!M18,Statements!M69)</f>
        <v>13002</v>
      </c>
      <c r="K22" s="291">
        <f ca="1">SUM(Statements!N14,Statements!N16,Statements!N18,Statements!N69)</f>
        <v>12594</v>
      </c>
      <c r="L22" s="291">
        <f ca="1">SUM(Statements!S14,Statements!S16,Statements!S18,Statements!S69)</f>
        <v>12595</v>
      </c>
    </row>
    <row r="23" spans="1:12">
      <c r="A23" s="432" t="s">
        <v>539</v>
      </c>
      <c r="B23" s="291">
        <f ca="1">Statements!E35</f>
        <v>0.88</v>
      </c>
      <c r="C23" s="291">
        <f ca="1">Statements!F35</f>
        <v>1.6</v>
      </c>
      <c r="D23" s="291">
        <f ca="1">Statements!G35</f>
        <v>1.23</v>
      </c>
      <c r="E23" s="291">
        <f ca="1">Statements!H35</f>
        <v>1.77</v>
      </c>
      <c r="F23" s="291">
        <f ca="1">Statements!I35</f>
        <v>2</v>
      </c>
      <c r="G23" s="291">
        <f ca="1">Statements!J35</f>
        <v>2.04</v>
      </c>
      <c r="H23" s="291">
        <f ca="1">Statements!K35</f>
        <v>2.16</v>
      </c>
      <c r="I23" s="291">
        <f ca="1">Statements!L35</f>
        <v>2.57</v>
      </c>
      <c r="J23" s="291">
        <f ca="1">Statements!M35</f>
        <v>2.4900000000000002</v>
      </c>
      <c r="K23" s="291">
        <f ca="1">Statements!N35</f>
        <v>2.93</v>
      </c>
      <c r="L23" s="291">
        <f ca="1">Statements!S35</f>
        <v>3.04</v>
      </c>
    </row>
    <row r="24" spans="1:12">
      <c r="A24" s="432" t="s">
        <v>321</v>
      </c>
      <c r="B24" s="293">
        <f ca="1">Statements!E29</f>
        <v>0.35951750514857311</v>
      </c>
      <c r="C24" s="293">
        <f ca="1">Statements!F29</f>
        <v>0.29823633156966489</v>
      </c>
      <c r="D24" s="293">
        <f ca="1">Statements!G29</f>
        <v>0.2769594471722131</v>
      </c>
      <c r="E24" s="293">
        <f ca="1">Statements!H29</f>
        <v>0.20891719745222931</v>
      </c>
      <c r="F24" s="293">
        <f ca="1">Statements!I29</f>
        <v>0.22099003535840567</v>
      </c>
      <c r="G24" s="293">
        <f ca="1">Statements!J29</f>
        <v>0.27174887892376681</v>
      </c>
      <c r="H24" s="293">
        <f ca="1">Statements!K29</f>
        <v>0.22772879294618426</v>
      </c>
      <c r="I24" s="293">
        <f ca="1">Statements!L29</f>
        <v>0.24031500063508193</v>
      </c>
      <c r="J24" s="293">
        <f ca="1">Statements!M29</f>
        <v>0.2193843258502487</v>
      </c>
      <c r="K24" s="293">
        <f ca="1">Statements!N29</f>
        <v>0.22803487592219987</v>
      </c>
      <c r="L24" s="293">
        <f ca="1">Statements!S29</f>
        <v>0.22924265179146106</v>
      </c>
    </row>
    <row r="26" spans="1:12">
      <c r="A26" s="435"/>
      <c r="B26" s="435"/>
      <c r="C26" s="435"/>
      <c r="D26" s="435"/>
      <c r="E26" s="435"/>
      <c r="F26" s="435"/>
      <c r="G26" s="435"/>
      <c r="H26" s="435"/>
      <c r="I26" s="435"/>
      <c r="J26" s="435"/>
      <c r="K26" s="435"/>
      <c r="L26" s="435"/>
    </row>
    <row r="27" spans="1:12">
      <c r="A27" s="432" t="s">
        <v>46</v>
      </c>
      <c r="B27" s="291">
        <f ca="1">Statements!E72</f>
        <v>3585</v>
      </c>
      <c r="C27" s="291">
        <f ca="1">Statements!F72</f>
        <v>4110</v>
      </c>
      <c r="D27" s="291">
        <f ca="1">Statements!G72</f>
        <v>4742</v>
      </c>
      <c r="E27" s="291">
        <f ca="1">Statements!H72</f>
        <v>5456</v>
      </c>
      <c r="F27" s="291">
        <f ca="1">Statements!I72</f>
        <v>5968</v>
      </c>
      <c r="G27" s="291">
        <f ca="1">Statements!J72</f>
        <v>6423</v>
      </c>
      <c r="H27" s="291">
        <f ca="1">Statements!K72</f>
        <v>5957</v>
      </c>
      <c r="I27" s="291">
        <f ca="1">Statements!L72</f>
        <v>7150</v>
      </c>
      <c r="J27" s="291">
        <f ca="1">Statements!M72</f>
        <v>7571</v>
      </c>
      <c r="K27" s="291">
        <f ca="1">Statements!N72</f>
        <v>8186</v>
      </c>
      <c r="L27" s="291">
        <f ca="1">Statements!S72</f>
        <v>8639</v>
      </c>
    </row>
    <row r="28" spans="1:12">
      <c r="A28" s="432" t="s">
        <v>298</v>
      </c>
      <c r="B28" s="291">
        <f ca="1">Statements!E88*-1</f>
        <v>733</v>
      </c>
      <c r="C28" s="291">
        <f ca="1">Statements!F88*-1</f>
        <v>769</v>
      </c>
      <c r="D28" s="291">
        <f ca="1">Statements!G88*-1</f>
        <v>851</v>
      </c>
      <c r="E28" s="291">
        <f ca="1">Statements!H88*-1</f>
        <v>812</v>
      </c>
      <c r="F28" s="291">
        <f ca="1">Statements!I88*-1</f>
        <v>755</v>
      </c>
      <c r="G28" s="291">
        <f ca="1">Statements!J88*-1</f>
        <v>899</v>
      </c>
      <c r="H28" s="291">
        <f ca="1">Statements!K88*-1</f>
        <v>1407</v>
      </c>
      <c r="I28" s="291">
        <f ca="1">Statements!L88*-1</f>
        <v>1648</v>
      </c>
      <c r="J28" s="291">
        <f ca="1">Statements!M88*-1</f>
        <v>1968</v>
      </c>
      <c r="K28" s="291">
        <f ca="1">Statements!N88*-1</f>
        <v>1993</v>
      </c>
      <c r="L28" s="291">
        <f ca="1">Statements!S88*-1</f>
        <v>1919</v>
      </c>
    </row>
    <row r="29" spans="1:12">
      <c r="A29" s="432" t="s">
        <v>440</v>
      </c>
      <c r="B29" s="291">
        <f t="shared" ref="B29:L29" ca="1" si="0">IF(B24&lt;&gt;"",(B19-B22-B28)*(1-B24),"")</f>
        <v>1399.4542512503679</v>
      </c>
      <c r="C29" s="291">
        <f t="shared" ca="1" si="0"/>
        <v>2652.6666666666665</v>
      </c>
      <c r="D29" s="291">
        <f t="shared" ca="1" si="0"/>
        <v>2748.277141298418</v>
      </c>
      <c r="E29" s="291">
        <f t="shared" ca="1" si="0"/>
        <v>2815.4636942675161</v>
      </c>
      <c r="F29" s="291">
        <f t="shared" ca="1" si="0"/>
        <v>3154.990356798457</v>
      </c>
      <c r="G29" s="291">
        <f t="shared" ca="1" si="0"/>
        <v>3097.980269058296</v>
      </c>
      <c r="H29" s="291">
        <f t="shared" ca="1" si="0"/>
        <v>3060.5107935542719</v>
      </c>
      <c r="I29" s="291">
        <f t="shared" ca="1" si="0"/>
        <v>3373.7610821796011</v>
      </c>
      <c r="J29" s="291">
        <f t="shared" ca="1" si="0"/>
        <v>4371.4477752386074</v>
      </c>
      <c r="K29" s="291">
        <f t="shared" ca="1" si="0"/>
        <v>4102.9946344735081</v>
      </c>
      <c r="L29" s="291">
        <f t="shared" ca="1" si="0"/>
        <v>4464.9973181720661</v>
      </c>
    </row>
    <row r="30" spans="1:12">
      <c r="A30" s="441" t="str">
        <f ca="1">IF('DCF Valuation'!$I$3="FCF",A14,A15)</f>
        <v>Owner Earnings FCF</v>
      </c>
      <c r="B30" s="440">
        <f ca="1">IF('DCF Valuation'!$I$3="FCF",B14,B15)</f>
        <v>2217</v>
      </c>
      <c r="C30" s="440">
        <f ca="1">IF('DCF Valuation'!$I$3="FCF",C14,C15)</f>
        <v>4003</v>
      </c>
      <c r="D30" s="440">
        <f ca="1">IF('DCF Valuation'!$I$3="FCF",D14,D15)</f>
        <v>3005</v>
      </c>
      <c r="E30" s="440">
        <f ca="1">IF('DCF Valuation'!$I$3="FCF",E14,E15)</f>
        <v>4385</v>
      </c>
      <c r="F30" s="440">
        <f ca="1">IF('DCF Valuation'!$I$3="FCF",F14,F15)</f>
        <v>4985</v>
      </c>
      <c r="G30" s="440">
        <f ca="1">IF('DCF Valuation'!$I$3="FCF",G14,G15)</f>
        <v>4905</v>
      </c>
      <c r="H30" s="440">
        <f ca="1">IF('DCF Valuation'!$I$3="FCF",H14,H15)</f>
        <v>4611</v>
      </c>
      <c r="I30" s="440">
        <f ca="1">IF('DCF Valuation'!$I$3="FCF",I14,I15)</f>
        <v>5496</v>
      </c>
      <c r="J30" s="440">
        <f ca="1">IF('DCF Valuation'!$I$3="FCF",J14,J15)</f>
        <v>5067</v>
      </c>
      <c r="K30" s="440">
        <f ca="1">IF('DCF Valuation'!$I$3="FCF",K14,K15)</f>
        <v>6067</v>
      </c>
      <c r="L30" s="440">
        <f ca="1">IF('DCF Valuation'!$I$3="FCF",L14,L15)</f>
        <v>6419</v>
      </c>
    </row>
    <row r="32" spans="1:12">
      <c r="A32" s="432" t="s">
        <v>101</v>
      </c>
      <c r="B32" s="291">
        <f ca="1">Statements!E48</f>
        <v>6620</v>
      </c>
      <c r="C32" s="291">
        <f ca="1">Statements!F48</f>
        <v>7171</v>
      </c>
      <c r="D32" s="291">
        <f ca="1">Statements!G48</f>
        <v>7352</v>
      </c>
      <c r="E32" s="291">
        <f ca="1">Statements!H48</f>
        <v>8396</v>
      </c>
      <c r="F32" s="291">
        <f ca="1">Statements!I48</f>
        <v>12094</v>
      </c>
      <c r="G32" s="291">
        <f ca="1">Statements!J48</f>
        <v>10250</v>
      </c>
      <c r="H32" s="291">
        <f ca="1">Statements!K48</f>
        <v>8441</v>
      </c>
      <c r="I32" s="291">
        <f ca="1">Statements!L48</f>
        <v>12105</v>
      </c>
      <c r="J32" s="291">
        <f ca="1">Statements!M48</f>
        <v>12176</v>
      </c>
      <c r="K32" s="291">
        <f ca="1">Statements!N48</f>
        <v>17551</v>
      </c>
      <c r="L32" s="291">
        <f ca="1">Statements!S48</f>
        <v>17208</v>
      </c>
    </row>
    <row r="33" spans="1:12">
      <c r="A33" s="432" t="s">
        <v>33</v>
      </c>
      <c r="B33" s="291">
        <f ca="1">Statements!E52</f>
        <v>20834</v>
      </c>
      <c r="C33" s="291">
        <f ca="1">Statements!F52</f>
        <v>22417</v>
      </c>
      <c r="D33" s="291">
        <f ca="1">Statements!G52</f>
        <v>24501</v>
      </c>
      <c r="E33" s="291">
        <f ca="1">Statements!H52</f>
        <v>27342</v>
      </c>
      <c r="F33" s="291">
        <f ca="1">Statements!I52</f>
        <v>31327</v>
      </c>
      <c r="G33" s="291">
        <f ca="1">Statements!J52</f>
        <v>29427</v>
      </c>
      <c r="H33" s="291">
        <f ca="1">Statements!K52</f>
        <v>29963</v>
      </c>
      <c r="I33" s="291">
        <f ca="1">Statements!L52</f>
        <v>43269</v>
      </c>
      <c r="J33" s="291">
        <f ca="1">Statements!M52</f>
        <v>40519</v>
      </c>
      <c r="K33" s="291">
        <f ca="1">Statements!N52</f>
        <v>48671</v>
      </c>
      <c r="L33" s="291">
        <f ca="1">Statements!S52</f>
        <v>47403</v>
      </c>
    </row>
    <row r="34" spans="1:12">
      <c r="A34" s="432" t="s">
        <v>100</v>
      </c>
      <c r="B34" s="291">
        <f ca="1">Statements!E59</f>
        <v>9321</v>
      </c>
      <c r="C34" s="291">
        <f ca="1">Statements!F59</f>
        <v>8429</v>
      </c>
      <c r="D34" s="291">
        <f ca="1">Statements!G59</f>
        <v>7341</v>
      </c>
      <c r="E34" s="291">
        <f ca="1">Statements!H59</f>
        <v>7886</v>
      </c>
      <c r="F34" s="291">
        <f ca="1">Statements!I59</f>
        <v>10971</v>
      </c>
      <c r="G34" s="291">
        <f ca="1">Statements!J59</f>
        <v>9836</v>
      </c>
      <c r="H34" s="291">
        <f ca="1">Statements!K59</f>
        <v>8890</v>
      </c>
      <c r="I34" s="291">
        <f ca="1">Statements!L59</f>
        <v>13225</v>
      </c>
      <c r="J34" s="291">
        <f ca="1">Statements!M59</f>
        <v>12988</v>
      </c>
      <c r="K34" s="291">
        <f ca="1">Statements!N59</f>
        <v>13721</v>
      </c>
      <c r="L34" s="291">
        <f ca="1">Statements!S59</f>
        <v>13583</v>
      </c>
    </row>
    <row r="35" spans="1:12">
      <c r="A35" s="432" t="s">
        <v>1</v>
      </c>
      <c r="B35" s="291">
        <f ca="1">Statements!E62</f>
        <v>11518</v>
      </c>
      <c r="C35" s="291">
        <f ca="1">Statements!F62</f>
        <v>11051</v>
      </c>
      <c r="D35" s="291">
        <f ca="1">Statements!G62</f>
        <v>12701</v>
      </c>
      <c r="E35" s="291">
        <f ca="1">Statements!H62</f>
        <v>13252</v>
      </c>
      <c r="F35" s="291">
        <f ca="1">Statements!I62</f>
        <v>15392</v>
      </c>
      <c r="G35" s="291">
        <f ca="1">Statements!J62</f>
        <v>13072</v>
      </c>
      <c r="H35" s="291">
        <f ca="1">Statements!K62</f>
        <v>13043</v>
      </c>
      <c r="I35" s="291">
        <f ca="1">Statements!L62</f>
        <v>21525</v>
      </c>
      <c r="J35" s="291">
        <f ca="1">Statements!M62</f>
        <v>20047</v>
      </c>
      <c r="K35" s="291">
        <f ca="1">Statements!N62</f>
        <v>23872</v>
      </c>
      <c r="L35" s="291">
        <f ca="1">Statements!S62</f>
        <v>22531</v>
      </c>
    </row>
    <row r="36" spans="1:12">
      <c r="A36" s="432" t="s">
        <v>129</v>
      </c>
      <c r="B36" s="291">
        <f ca="1">Statements!E63-Statements!E50</f>
        <v>7399</v>
      </c>
      <c r="C36" s="291">
        <f ca="1">Statements!F63-Statements!F50</f>
        <v>8787</v>
      </c>
      <c r="D36" s="291">
        <f ca="1">Statements!G63-Statements!G50</f>
        <v>8247</v>
      </c>
      <c r="E36" s="291">
        <f ca="1">Statements!H63-Statements!H50</f>
        <v>10101</v>
      </c>
      <c r="F36" s="291">
        <f ca="1">Statements!I63-Statements!I50</f>
        <v>12099</v>
      </c>
      <c r="G36" s="291">
        <f ca="1">Statements!J63-Statements!J50</f>
        <v>12534</v>
      </c>
      <c r="H36" s="291">
        <f ca="1">Statements!K63-Statements!K50</f>
        <v>11785</v>
      </c>
      <c r="I36" s="291">
        <f ca="1">Statements!L63-Statements!L50</f>
        <v>9525</v>
      </c>
      <c r="J36" s="291">
        <f ca="1">Statements!M63-Statements!M50</f>
        <v>7967</v>
      </c>
      <c r="K36" s="291">
        <f ca="1">Statements!N63-Statements!N50</f>
        <v>11971</v>
      </c>
      <c r="L36" s="291">
        <f ca="1">Statements!S63-Statements!S50</f>
        <v>12557</v>
      </c>
    </row>
    <row r="37" spans="1:12">
      <c r="A37" s="432" t="s">
        <v>838</v>
      </c>
      <c r="B37" s="291">
        <f ca="1">Statements!E63</f>
        <v>9316</v>
      </c>
      <c r="C37" s="291">
        <f ca="1">Statements!F63</f>
        <v>11366</v>
      </c>
      <c r="D37" s="291">
        <f ca="1">Statements!G63</f>
        <v>11800</v>
      </c>
      <c r="E37" s="291">
        <f ca="1">Statements!H63</f>
        <v>14090</v>
      </c>
      <c r="F37" s="291">
        <f ca="1">Statements!I63</f>
        <v>15935</v>
      </c>
      <c r="G37" s="291">
        <f ca="1">Statements!J63</f>
        <v>16355</v>
      </c>
      <c r="H37" s="291">
        <f ca="1">Statements!K63</f>
        <v>16920</v>
      </c>
      <c r="I37" s="291">
        <f ca="1">Statements!L63</f>
        <v>21744</v>
      </c>
      <c r="J37" s="291">
        <f ca="1">Statements!M63</f>
        <v>20472</v>
      </c>
      <c r="K37" s="291">
        <f ca="1">Statements!N63</f>
        <v>24799</v>
      </c>
      <c r="L37" s="291">
        <f ca="1">Statements!S63</f>
        <v>24872</v>
      </c>
    </row>
    <row r="39" spans="1:12">
      <c r="A39" s="432" t="s">
        <v>468</v>
      </c>
      <c r="B39" s="293">
        <f ca="1">Statements!E12</f>
        <v>0.69674454980936551</v>
      </c>
      <c r="C39" s="293">
        <f ca="1">Statements!F12</f>
        <v>0.69918375472825001</v>
      </c>
      <c r="D39" s="293">
        <f ca="1">Statements!G12</f>
        <v>0.63683295849519528</v>
      </c>
      <c r="E39" s="293">
        <f ca="1">Statements!H12</f>
        <v>0.6311537730469492</v>
      </c>
      <c r="F39" s="293">
        <f ca="1">Statements!I12</f>
        <v>0.65221746653310264</v>
      </c>
      <c r="G39" s="293">
        <f ca="1">Statements!J12</f>
        <v>0.64529951523545703</v>
      </c>
      <c r="H39" s="293">
        <f ca="1">Statements!K12</f>
        <v>0.6610760544669545</v>
      </c>
      <c r="I39" s="293">
        <f ca="1">Statements!L12</f>
        <v>0.63939425442700215</v>
      </c>
      <c r="J39" s="293">
        <f ca="1">Statements!M12</f>
        <v>0.64393939393939392</v>
      </c>
      <c r="K39" s="293">
        <f ca="1">Statements!N12</f>
        <v>0.6422071636011617</v>
      </c>
      <c r="L39" s="293">
        <f ca="1">Statements!S12</f>
        <v>0.64783385439928542</v>
      </c>
    </row>
    <row r="40" spans="1:12">
      <c r="A40" s="432" t="s">
        <v>469</v>
      </c>
      <c r="B40" s="293">
        <f ca="1">Statements!E22</f>
        <v>0.18041841822270016</v>
      </c>
      <c r="C40" s="293">
        <f ca="1">Statements!F22</f>
        <v>0.26637467648815449</v>
      </c>
      <c r="D40" s="293">
        <f ca="1">Statements!G22</f>
        <v>0.27898180331220607</v>
      </c>
      <c r="E40" s="293">
        <f ca="1">Statements!H22</f>
        <v>0.24809922068047899</v>
      </c>
      <c r="F40" s="293">
        <f ca="1">Statements!I22</f>
        <v>0.25944813769237773</v>
      </c>
      <c r="G40" s="293">
        <f ca="1">Statements!J22</f>
        <v>0.26337430747922436</v>
      </c>
      <c r="H40" s="293">
        <f ca="1">Statements!K22</f>
        <v>0.26187313184988376</v>
      </c>
      <c r="I40" s="293">
        <f ca="1">Statements!L22</f>
        <v>0.25130817479294454</v>
      </c>
      <c r="J40" s="293">
        <f ca="1">Statements!M22</f>
        <v>0.26440020035061357</v>
      </c>
      <c r="K40" s="293">
        <f ca="1">Statements!N22</f>
        <v>0.26560180703452729</v>
      </c>
      <c r="L40" s="293">
        <f ca="1">Statements!S22</f>
        <v>0.28277930198430423</v>
      </c>
    </row>
    <row r="41" spans="1:12">
      <c r="A41" s="432" t="s">
        <v>470</v>
      </c>
      <c r="B41" s="293">
        <f ca="1">Statements!E32</f>
        <v>0.10641313911428292</v>
      </c>
      <c r="C41" s="293">
        <f ca="1">Statements!F32</f>
        <v>0.19754130997411906</v>
      </c>
      <c r="D41" s="293">
        <f ca="1">Statements!G32</f>
        <v>0.15589858924555305</v>
      </c>
      <c r="E41" s="293">
        <f ca="1">Statements!H32</f>
        <v>0.20656719254894507</v>
      </c>
      <c r="F41" s="293">
        <f ca="1">Statements!I32</f>
        <v>0.22069938985520443</v>
      </c>
      <c r="G41" s="293">
        <f ca="1">Statements!J32</f>
        <v>0.21087257617728533</v>
      </c>
      <c r="H41" s="293">
        <f ca="1">Statements!K32</f>
        <v>0.2108933909000332</v>
      </c>
      <c r="I41" s="293">
        <f ca="1">Statements!L32</f>
        <v>0.20726340229407075</v>
      </c>
      <c r="J41" s="293">
        <f ca="1">Statements!M32</f>
        <v>0.18178687703481092</v>
      </c>
      <c r="K41" s="293">
        <f ca="1">Statements!N32</f>
        <v>0.2202000645369474</v>
      </c>
      <c r="L41" s="293">
        <f ca="1">Statements!S32</f>
        <v>0.22656798315574556</v>
      </c>
    </row>
    <row r="42" spans="1:12">
      <c r="A42" s="432" t="s">
        <v>542</v>
      </c>
      <c r="B42" s="293">
        <f t="shared" ref="B42:L42" ca="1" si="1">IF(B34=0,"",B32/B34)</f>
        <v>0.71022422486857628</v>
      </c>
      <c r="C42" s="293">
        <f t="shared" ca="1" si="1"/>
        <v>0.85075335152449871</v>
      </c>
      <c r="D42" s="293">
        <f t="shared" ca="1" si="1"/>
        <v>1.0014984334559325</v>
      </c>
      <c r="E42" s="293">
        <f t="shared" ca="1" si="1"/>
        <v>1.0646715698706568</v>
      </c>
      <c r="F42" s="293">
        <f t="shared" ca="1" si="1"/>
        <v>1.1023607693008841</v>
      </c>
      <c r="G42" s="293">
        <f t="shared" ca="1" si="1"/>
        <v>1.0420902806018706</v>
      </c>
      <c r="H42" s="293">
        <f t="shared" ca="1" si="1"/>
        <v>0.94949381327334081</v>
      </c>
      <c r="I42" s="293">
        <f t="shared" ca="1" si="1"/>
        <v>0.91531190926275996</v>
      </c>
      <c r="J42" s="293">
        <f t="shared" ca="1" si="1"/>
        <v>0.93748075146288878</v>
      </c>
      <c r="K42" s="293">
        <f t="shared" ca="1" si="1"/>
        <v>1.2791341738940309</v>
      </c>
      <c r="L42" s="293">
        <f t="shared" ca="1" si="1"/>
        <v>1.266877714790547</v>
      </c>
    </row>
    <row r="43" spans="1:12">
      <c r="B43" s="435"/>
      <c r="C43" s="435"/>
      <c r="D43" s="435"/>
      <c r="E43" s="435"/>
      <c r="F43" s="435"/>
      <c r="G43" s="435"/>
      <c r="H43" s="435"/>
      <c r="I43" s="435"/>
      <c r="J43" s="435"/>
      <c r="K43" s="435"/>
      <c r="L43" s="435"/>
    </row>
    <row r="44" spans="1:12">
      <c r="A44" s="432" t="s">
        <v>2</v>
      </c>
      <c r="B44" s="293">
        <f ca="1">IF(B36+B35-B34=0,"",'DCF Valuation'!C14/(B36+B35-B34))</f>
        <v>0.23103376406836182</v>
      </c>
      <c r="C44" s="293">
        <f ca="1">IF(C36+C35-C34=0,"",'DCF Valuation'!D14/(C36+C35-C34))</f>
        <v>0.35086335349285652</v>
      </c>
      <c r="D44" s="293">
        <f ca="1">IF(D36+D35-D34=0,"",'DCF Valuation'!E14/(D36+D35-D34))</f>
        <v>0.22084221356654662</v>
      </c>
      <c r="E44" s="293">
        <f ca="1">IF(E36+E35-E34=0,"",'DCF Valuation'!F14/(E36+E35-E34))</f>
        <v>0.2835068209736859</v>
      </c>
      <c r="F44" s="293">
        <f ca="1">IF(F36+F35-F34=0,"",'DCF Valuation'!G14/(F36+F35-F34))</f>
        <v>0.30175544794188863</v>
      </c>
      <c r="G44" s="293">
        <f ca="1">IF(G36+G35-G34=0,"",'DCF Valuation'!H14/(G36+G35-G34))</f>
        <v>0.31103360811667724</v>
      </c>
      <c r="H44" s="293">
        <f ca="1">IF(H36+H35-H34=0,"",'DCF Valuation'!I14/(H36+H35-H34))</f>
        <v>0.28930857071150706</v>
      </c>
      <c r="I44" s="293">
        <f ca="1">IF(I36+I35-I34=0,"",'DCF Valuation'!J14/(I36+I35-I34))</f>
        <v>0.30833099579242634</v>
      </c>
      <c r="J44" s="293">
        <f ca="1">IF(J36+J35-J34=0,"",'DCF Valuation'!K14/(J36+J35-J34))</f>
        <v>0.33721549314521498</v>
      </c>
      <c r="K44" s="293">
        <f ca="1">IF(K36+K35-K34=0,"",'DCF Valuation'!L14/(K36+K35-K34))</f>
        <v>0.2742518759605822</v>
      </c>
      <c r="L44" s="293">
        <f ca="1">IF(L36+L35-L34=0,"",'DCF Valuation'!M14/(L36+L35-L34))</f>
        <v>0.29848872355266215</v>
      </c>
    </row>
    <row r="45" spans="1:12">
      <c r="A45" s="432" t="s">
        <v>63</v>
      </c>
      <c r="B45" s="293">
        <f t="shared" ref="B45:L45" ca="1" si="2">IF(B18=0,"",B30/B18)</f>
        <v>0.10836836445400333</v>
      </c>
      <c r="C45" s="293">
        <f t="shared" ca="1" si="2"/>
        <v>0.19923352578140555</v>
      </c>
      <c r="D45" s="293">
        <f t="shared" ca="1" si="2"/>
        <v>0.15359844612553669</v>
      </c>
      <c r="E45" s="293">
        <f t="shared" ca="1" si="2"/>
        <v>0.20837293290249001</v>
      </c>
      <c r="F45" s="293">
        <f t="shared" ca="1" si="2"/>
        <v>0.22698297058555686</v>
      </c>
      <c r="G45" s="293">
        <f t="shared" ca="1" si="2"/>
        <v>0.21230090027700832</v>
      </c>
      <c r="H45" s="293">
        <f t="shared" ca="1" si="2"/>
        <v>0.19142311524410494</v>
      </c>
      <c r="I45" s="293">
        <f t="shared" ca="1" si="2"/>
        <v>0.19045638839796236</v>
      </c>
      <c r="J45" s="293">
        <f t="shared" ca="1" si="2"/>
        <v>0.15862133734034561</v>
      </c>
      <c r="K45" s="293">
        <f t="shared" ca="1" si="2"/>
        <v>0.19577282994514358</v>
      </c>
      <c r="L45" s="293">
        <f t="shared" ca="1" si="2"/>
        <v>0.20477891916033944</v>
      </c>
    </row>
    <row r="46" spans="1:12">
      <c r="A46" s="432" t="s">
        <v>64</v>
      </c>
      <c r="B46" s="294">
        <f ca="1">IF(Statements!E45=0,"",Statements!E9/Statements!E45)</f>
        <v>5.8198874296435275</v>
      </c>
      <c r="C46" s="294">
        <f ca="1">IF(Statements!F45=0,"",Statements!F9/Statements!F45)</f>
        <v>5.7289099526066352</v>
      </c>
      <c r="D46" s="294">
        <f ca="1">IF(Statements!G45=0,"",Statements!G9/Statements!G45)</f>
        <v>5.4907264296754255</v>
      </c>
      <c r="E46" s="294">
        <f ca="1">IF(Statements!H45=0,"",Statements!H9/Statements!H45)</f>
        <v>6.1996805111821089</v>
      </c>
      <c r="F46" s="294">
        <f ca="1">IF(Statements!I45=0,"",Statements!I9/Statements!I45)</f>
        <v>5.3788732394366194</v>
      </c>
      <c r="G46" s="294">
        <f ca="1">IF(Statements!J45=0,"",Statements!J9/Statements!J45)</f>
        <v>5.7549157303370784</v>
      </c>
      <c r="H46" s="294">
        <f ca="1">IF(Statements!K45=0,"",Statements!K9/Statements!K45)</f>
        <v>4.975015234613041</v>
      </c>
      <c r="I46" s="294">
        <f ca="1">IF(Statements!L45=0,"",Statements!L9/Statements!L45)</f>
        <v>4.6873873873873872</v>
      </c>
      <c r="J46" s="294">
        <f ca="1">IF(Statements!M45=0,"",Statements!M9/Statements!M45)</f>
        <v>5.2007315957933242</v>
      </c>
      <c r="K46" s="294">
        <f ca="1">IF(Statements!N45=0,"",Statements!N9/Statements!N45)</f>
        <v>4.7102803738317753</v>
      </c>
      <c r="L46" s="294">
        <f ca="1">IF(Statements!S45=0,"",Statements!S9/Statements!S45)</f>
        <v>4.7438762354963471</v>
      </c>
    </row>
    <row r="47" spans="1:12">
      <c r="A47" s="432" t="s">
        <v>84</v>
      </c>
      <c r="B47" s="293">
        <f ca="1">B21/B33</f>
        <v>0.10449265623500048</v>
      </c>
      <c r="C47" s="293">
        <f t="shared" ref="C47:L47" ca="1" si="3">C21/C33</f>
        <v>0.17705312932149708</v>
      </c>
      <c r="D47" s="293">
        <f t="shared" ca="1" si="3"/>
        <v>0.12448471490959552</v>
      </c>
      <c r="E47" s="293">
        <f t="shared" ca="1" si="3"/>
        <v>0.15898617511520738</v>
      </c>
      <c r="F47" s="293">
        <f t="shared" ca="1" si="3"/>
        <v>0.15472276311169278</v>
      </c>
      <c r="G47" s="293">
        <f t="shared" ca="1" si="3"/>
        <v>0.16556223876032217</v>
      </c>
      <c r="H47" s="293">
        <f t="shared" ca="1" si="3"/>
        <v>0.16954243567066049</v>
      </c>
      <c r="I47" s="293">
        <f t="shared" ca="1" si="3"/>
        <v>0.13822829277311702</v>
      </c>
      <c r="J47" s="293">
        <f t="shared" ca="1" si="3"/>
        <v>0.14331548162590391</v>
      </c>
      <c r="K47" s="293">
        <f t="shared" ca="1" si="3"/>
        <v>0.14020669392451357</v>
      </c>
      <c r="L47" s="293">
        <f t="shared" ca="1" si="3"/>
        <v>0.14982174124000591</v>
      </c>
    </row>
    <row r="48" spans="1:12">
      <c r="A48" s="432" t="s">
        <v>85</v>
      </c>
      <c r="B48" s="293">
        <f ca="1">B21/B37</f>
        <v>0.23368398454272221</v>
      </c>
      <c r="C48" s="293">
        <f t="shared" ref="C48:L48" ca="1" si="4">C21/C37</f>
        <v>0.34919936653176137</v>
      </c>
      <c r="D48" s="293">
        <f t="shared" ca="1" si="4"/>
        <v>0.25847457627118642</v>
      </c>
      <c r="E48" s="293">
        <f t="shared" ca="1" si="4"/>
        <v>0.30851667849538678</v>
      </c>
      <c r="F48" s="293">
        <f t="shared" ca="1" si="4"/>
        <v>0.30417320363978662</v>
      </c>
      <c r="G48" s="293">
        <f t="shared" ca="1" si="4"/>
        <v>0.29789055334760012</v>
      </c>
      <c r="H48" s="293">
        <f t="shared" ca="1" si="4"/>
        <v>0.30023640661938533</v>
      </c>
      <c r="I48" s="293">
        <f t="shared" ca="1" si="4"/>
        <v>0.27506438557763063</v>
      </c>
      <c r="J48" s="293">
        <f t="shared" ca="1" si="4"/>
        <v>0.28365572489253615</v>
      </c>
      <c r="K48" s="293">
        <f t="shared" ca="1" si="4"/>
        <v>0.27517238598330579</v>
      </c>
      <c r="L48" s="293">
        <f t="shared" ca="1" si="4"/>
        <v>0.28554197491154715</v>
      </c>
    </row>
    <row r="49" spans="1:12">
      <c r="B49" s="435"/>
      <c r="C49" s="435"/>
      <c r="D49" s="435"/>
      <c r="E49" s="435"/>
      <c r="F49" s="435"/>
      <c r="G49" s="435"/>
      <c r="H49" s="435"/>
      <c r="I49" s="435"/>
      <c r="J49" s="435"/>
      <c r="K49" s="435"/>
      <c r="L49" s="435"/>
    </row>
    <row r="50" spans="1:12">
      <c r="B50" s="435"/>
      <c r="C50" s="435"/>
      <c r="D50" s="435"/>
      <c r="E50" s="435"/>
      <c r="F50" s="435"/>
      <c r="G50" s="435"/>
      <c r="H50" s="435"/>
      <c r="I50" s="435"/>
      <c r="J50" s="435"/>
      <c r="K50" s="435"/>
      <c r="L50" s="435"/>
    </row>
    <row r="51" spans="1:12">
      <c r="A51" s="432" t="s">
        <v>131</v>
      </c>
      <c r="B51" s="293">
        <f ca="1">IF(Statements!E63=0,"",Statements!E62/Statements!E63)</f>
        <v>1.2363675397166165</v>
      </c>
      <c r="C51" s="293">
        <f ca="1">IF(Statements!F63=0,"",Statements!F62/Statements!F63)</f>
        <v>0.97228576456097127</v>
      </c>
      <c r="D51" s="293">
        <f ca="1">IF(Statements!G63=0,"",Statements!G62/Statements!G63)</f>
        <v>1.0763559322033898</v>
      </c>
      <c r="E51" s="293">
        <f ca="1">IF(Statements!H63=0,"",Statements!H62/Statements!H63)</f>
        <v>0.94052519517388222</v>
      </c>
      <c r="F51" s="293">
        <f ca="1">IF(Statements!I63=0,"",Statements!I62/Statements!I63)</f>
        <v>0.96592406652023843</v>
      </c>
      <c r="G51" s="293">
        <f ca="1">IF(Statements!J63=0,"",Statements!J62/Statements!J63)</f>
        <v>0.79926627942525219</v>
      </c>
      <c r="H51" s="293">
        <f ca="1">IF(Statements!K63=0,"",Statements!K62/Statements!K63)</f>
        <v>0.77086288416075655</v>
      </c>
      <c r="I51" s="293">
        <f ca="1">IF(Statements!L63=0,"",Statements!L62/Statements!L63)</f>
        <v>0.98992825607064017</v>
      </c>
      <c r="J51" s="293">
        <f ca="1">IF(Statements!M63=0,"",Statements!M62/Statements!M63)</f>
        <v>0.97923993747557636</v>
      </c>
      <c r="K51" s="293">
        <f ca="1">IF(Statements!N63=0,"",Statements!N62/Statements!N63)</f>
        <v>0.96261946046211544</v>
      </c>
      <c r="L51" s="293">
        <f ca="1">IF(Statements!S63=0,"",Statements!S62/Statements!S63)</f>
        <v>0.90587809585075585</v>
      </c>
    </row>
    <row r="52" spans="1:12">
      <c r="A52" s="432" t="s">
        <v>132</v>
      </c>
      <c r="B52" s="293">
        <f ca="1">IF(Statements!E60+Statements!E63=0,"",Statements!E60/(Statements!E60+Statements!E63))</f>
        <v>8.2257905625061564E-2</v>
      </c>
      <c r="C52" s="293">
        <f ca="1">IF(Statements!F60+Statements!F63=0,"",Statements!F60/(Statements!F60+Statements!F63))</f>
        <v>9.6861342868494238E-2</v>
      </c>
      <c r="D52" s="293">
        <f ca="1">IF(Statements!G60+Statements!G63=0,"",Statements!G60/(Statements!G60+Statements!G63))</f>
        <v>0.18626301634370043</v>
      </c>
      <c r="E52" s="293">
        <f ca="1">IF(Statements!H60+Statements!H63=0,"",Statements!H60/(Statements!H60+Statements!H63))</f>
        <v>0.15156259408683084</v>
      </c>
      <c r="F52" s="293">
        <f ca="1">IF(Statements!I60+Statements!I63=0,"",Statements!I60/(Statements!I60+Statements!I63))</f>
        <v>6.7692487713550201E-2</v>
      </c>
      <c r="G52" s="293">
        <f ca="1">IF(Statements!J60+Statements!J63=0,"",Statements!J60/(Statements!J60+Statements!J63))</f>
        <v>6.5908961105717062E-2</v>
      </c>
      <c r="H52" s="293">
        <f ca="1">IF(Statements!K60+Statements!K63=0,"",Statements!K60/(Statements!K60+Statements!K63))</f>
        <v>7.2063178677196443E-2</v>
      </c>
      <c r="I52" s="293">
        <f ca="1">IF(Statements!L60+Statements!L63=0,"",Statements!L60/(Statements!L60+Statements!L63))</f>
        <v>0.13096998521242156</v>
      </c>
      <c r="J52" s="293">
        <f ca="1">IF(Statements!M60+Statements!M63=0,"",Statements!M60/(Statements!M60+Statements!M63))</f>
        <v>0.11959747129402658</v>
      </c>
      <c r="K52" s="293">
        <f ca="1">IF(Statements!N60+Statements!N63=0,"",Statements!N60/(Statements!N60+Statements!N63))</f>
        <v>0.16943532721548663</v>
      </c>
      <c r="L52" s="293">
        <f ca="1">IF(Statements!S60+Statements!S63=0,"",Statements!S60/(Statements!S60+Statements!S63))</f>
        <v>0.15086545355228567</v>
      </c>
    </row>
    <row r="53" spans="1:12">
      <c r="B53" s="293"/>
      <c r="C53" s="293"/>
      <c r="D53" s="293"/>
      <c r="E53" s="293"/>
      <c r="F53" s="293"/>
      <c r="G53" s="293"/>
      <c r="H53" s="293"/>
      <c r="I53" s="293"/>
      <c r="J53" s="293"/>
      <c r="K53" s="293"/>
      <c r="L53" s="293"/>
    </row>
    <row r="54" spans="1:12">
      <c r="A54" s="432" t="s">
        <v>774</v>
      </c>
      <c r="B54" s="291">
        <f ca="1">Statements!E62</f>
        <v>11518</v>
      </c>
      <c r="C54" s="291">
        <f ca="1">Statements!F62</f>
        <v>11051</v>
      </c>
      <c r="D54" s="291">
        <f ca="1">Statements!G62</f>
        <v>12701</v>
      </c>
      <c r="E54" s="291">
        <f ca="1">Statements!H62</f>
        <v>13252</v>
      </c>
      <c r="F54" s="291">
        <f ca="1">Statements!I62</f>
        <v>15392</v>
      </c>
      <c r="G54" s="291">
        <f ca="1">Statements!J62</f>
        <v>13072</v>
      </c>
      <c r="H54" s="291">
        <f ca="1">Statements!K62</f>
        <v>13043</v>
      </c>
      <c r="I54" s="291">
        <f ca="1">Statements!L62</f>
        <v>21525</v>
      </c>
      <c r="J54" s="291">
        <f ca="1">Statements!M62</f>
        <v>20047</v>
      </c>
      <c r="K54" s="291">
        <f ca="1">Statements!N62</f>
        <v>23872</v>
      </c>
      <c r="L54" s="291">
        <f ca="1">Statements!S62</f>
        <v>22531</v>
      </c>
    </row>
    <row r="55" spans="1:12">
      <c r="A55" s="432" t="s">
        <v>775</v>
      </c>
      <c r="B55" s="291">
        <f ca="1">Statements!E55</f>
        <v>4816</v>
      </c>
      <c r="C55" s="291">
        <f ca="1">Statements!F55</f>
        <v>3899</v>
      </c>
      <c r="D55" s="291">
        <f ca="1">Statements!G55</f>
        <v>2655</v>
      </c>
      <c r="E55" s="291">
        <f ca="1">Statements!H55</f>
        <v>2906</v>
      </c>
      <c r="F55" s="291">
        <f ca="1">Statements!I55</f>
        <v>6021</v>
      </c>
      <c r="G55" s="291">
        <f ca="1">Statements!J55</f>
        <v>4546</v>
      </c>
      <c r="H55" s="291">
        <f ca="1">Statements!K55</f>
        <v>3268</v>
      </c>
      <c r="I55" s="291">
        <f ca="1">Statements!L55</f>
        <v>6052</v>
      </c>
      <c r="J55" s="291">
        <f ca="1">Statements!M55</f>
        <v>6531</v>
      </c>
      <c r="K55" s="291">
        <f ca="1">Statements!N55</f>
        <v>6800</v>
      </c>
      <c r="L55" s="291">
        <f ca="1">Statements!S55</f>
        <v>7216</v>
      </c>
    </row>
    <row r="56" spans="1:12">
      <c r="A56" s="432" t="s">
        <v>776</v>
      </c>
      <c r="B56" s="291">
        <f ca="1">Statements!E60</f>
        <v>835</v>
      </c>
      <c r="C56" s="291">
        <f ca="1">Statements!F60</f>
        <v>1219</v>
      </c>
      <c r="D56" s="291">
        <f ca="1">Statements!G60</f>
        <v>2701</v>
      </c>
      <c r="E56" s="291">
        <f ca="1">Statements!H60</f>
        <v>2517</v>
      </c>
      <c r="F56" s="291">
        <f ca="1">Statements!I60</f>
        <v>1157</v>
      </c>
      <c r="G56" s="291">
        <f ca="1">Statements!J60</f>
        <v>1154</v>
      </c>
      <c r="H56" s="291">
        <f ca="1">Statements!K60</f>
        <v>1314</v>
      </c>
      <c r="I56" s="291">
        <f ca="1">Statements!L60</f>
        <v>3277</v>
      </c>
      <c r="J56" s="291">
        <f ca="1">Statements!M60</f>
        <v>2781</v>
      </c>
      <c r="K56" s="291">
        <f ca="1">Statements!N60</f>
        <v>5059</v>
      </c>
      <c r="L56" s="291">
        <f ca="1">Statements!S60</f>
        <v>4419</v>
      </c>
    </row>
    <row r="57" spans="1:12">
      <c r="A57" s="432" t="s">
        <v>777</v>
      </c>
      <c r="B57" s="293">
        <f ca="1">IF(B54=0,"",B$30/B54)</f>
        <v>0.192481333564855</v>
      </c>
      <c r="C57" s="293">
        <f t="shared" ref="C57:L59" ca="1" si="5">IF(C54=0,"",C$30/C54)</f>
        <v>0.36222966247398425</v>
      </c>
      <c r="D57" s="293">
        <f t="shared" ca="1" si="5"/>
        <v>0.23659554365797969</v>
      </c>
      <c r="E57" s="293">
        <f t="shared" ca="1" si="5"/>
        <v>0.33089345004527621</v>
      </c>
      <c r="F57" s="293">
        <f t="shared" ca="1" si="5"/>
        <v>0.32386954261954259</v>
      </c>
      <c r="G57" s="293">
        <f t="shared" ca="1" si="5"/>
        <v>0.37522949816401469</v>
      </c>
      <c r="H57" s="293">
        <f t="shared" ca="1" si="5"/>
        <v>0.3535229625086253</v>
      </c>
      <c r="I57" s="293">
        <f t="shared" ca="1" si="5"/>
        <v>0.25533101045296169</v>
      </c>
      <c r="J57" s="293">
        <f t="shared" ca="1" si="5"/>
        <v>0.25275602334513891</v>
      </c>
      <c r="K57" s="293">
        <f t="shared" ca="1" si="5"/>
        <v>0.25414711796246647</v>
      </c>
      <c r="L57" s="293">
        <f t="shared" ca="1" si="5"/>
        <v>0.28489636500821092</v>
      </c>
    </row>
    <row r="58" spans="1:12">
      <c r="A58" s="432" t="s">
        <v>778</v>
      </c>
      <c r="B58" s="293">
        <f ca="1">IF(B55=0,"",B$30/B55)</f>
        <v>0.46034053156146182</v>
      </c>
      <c r="C58" s="293">
        <f t="shared" ca="1" si="5"/>
        <v>1.0266735060271865</v>
      </c>
      <c r="D58" s="293">
        <f t="shared" ca="1" si="5"/>
        <v>1.1318267419962336</v>
      </c>
      <c r="E58" s="293">
        <f t="shared" ca="1" si="5"/>
        <v>1.5089470061940813</v>
      </c>
      <c r="F58" s="293">
        <f t="shared" ca="1" si="5"/>
        <v>0.82793555887726289</v>
      </c>
      <c r="G58" s="293">
        <f t="shared" ca="1" si="5"/>
        <v>1.0789705235371756</v>
      </c>
      <c r="H58" s="293">
        <f t="shared" ca="1" si="5"/>
        <v>1.4109547123623012</v>
      </c>
      <c r="I58" s="293">
        <f t="shared" ca="1" si="5"/>
        <v>0.90812954395241241</v>
      </c>
      <c r="J58" s="293">
        <f t="shared" ca="1" si="5"/>
        <v>0.77583830960036748</v>
      </c>
      <c r="K58" s="293">
        <f t="shared" ca="1" si="5"/>
        <v>0.89220588235294118</v>
      </c>
      <c r="L58" s="293">
        <f t="shared" ca="1" si="5"/>
        <v>0.88955099778270508</v>
      </c>
    </row>
    <row r="59" spans="1:12">
      <c r="A59" s="432" t="s">
        <v>779</v>
      </c>
      <c r="B59" s="293">
        <f ca="1">IF(B56=0,"",B$30/B56)</f>
        <v>2.6550898203592816</v>
      </c>
      <c r="C59" s="293">
        <f t="shared" ca="1" si="5"/>
        <v>3.2838392124692373</v>
      </c>
      <c r="D59" s="293">
        <f t="shared" ca="1" si="5"/>
        <v>1.112550907071455</v>
      </c>
      <c r="E59" s="293">
        <f t="shared" ca="1" si="5"/>
        <v>1.7421533571712355</v>
      </c>
      <c r="F59" s="293">
        <f t="shared" ca="1" si="5"/>
        <v>4.3085566119273988</v>
      </c>
      <c r="G59" s="293">
        <f t="shared" ca="1" si="5"/>
        <v>4.2504332755632586</v>
      </c>
      <c r="H59" s="293">
        <f t="shared" ca="1" si="5"/>
        <v>3.5091324200913241</v>
      </c>
      <c r="I59" s="293">
        <f t="shared" ca="1" si="5"/>
        <v>1.6771437290204456</v>
      </c>
      <c r="J59" s="293">
        <f t="shared" ca="1" si="5"/>
        <v>1.8220064724919094</v>
      </c>
      <c r="K59" s="293">
        <f t="shared" ca="1" si="5"/>
        <v>1.1992488634117415</v>
      </c>
      <c r="L59" s="293">
        <f t="shared" ca="1" si="5"/>
        <v>1.4525910839556462</v>
      </c>
    </row>
    <row r="61" spans="1:12">
      <c r="A61" s="436" t="s">
        <v>561</v>
      </c>
      <c r="B61" s="437" t="str">
        <f ca="1">F13&amp;"-"&amp;J13</f>
        <v>2004-2008</v>
      </c>
      <c r="C61" s="437" t="str">
        <f ca="1">G13&amp;"-"&amp;K13</f>
        <v>2005-2009</v>
      </c>
      <c r="D61" s="437" t="str">
        <f ca="1">F13&amp;"-"&amp;I13</f>
        <v>2004-2007</v>
      </c>
      <c r="E61" s="437" t="str">
        <f ca="1">G13&amp;"-"&amp;J13</f>
        <v>2005-2008</v>
      </c>
      <c r="F61" s="437" t="str">
        <f ca="1">H13&amp;"-"&amp;K13</f>
        <v>2006-2009</v>
      </c>
      <c r="G61" s="437" t="str">
        <f ca="1">F13&amp;"-"&amp;H13</f>
        <v>2004-2006</v>
      </c>
      <c r="H61" s="437" t="str">
        <f ca="1">G13&amp;"-"&amp;I13</f>
        <v>2005-2007</v>
      </c>
      <c r="I61" s="437" t="str">
        <f ca="1">H13&amp;"-"&amp;J13</f>
        <v>2006-2008</v>
      </c>
      <c r="J61" s="437" t="str">
        <f ca="1">I13&amp;"-"&amp;K13</f>
        <v>2007-2009</v>
      </c>
      <c r="K61" s="437" t="s">
        <v>3</v>
      </c>
      <c r="L61" s="436"/>
    </row>
    <row r="62" spans="1:12">
      <c r="A62" s="300" t="s">
        <v>551</v>
      </c>
      <c r="B62" s="341">
        <f ca="1">IF(AND(F36&gt;0,J36&gt;0),(J36/F36)^(1/4)-1,0)</f>
        <v>-9.9183494439549325E-2</v>
      </c>
      <c r="C62" s="341">
        <f ca="1">IF(AND(G36&gt;0,K36&gt;0),(K36/G36)^(1/4)-1,0)</f>
        <v>-1.1423721443308166E-2</v>
      </c>
      <c r="D62" s="341">
        <f ca="1">IF(AND(F36&gt;0,I36&gt;0),(I36/F36)^(1/3)-1,0)</f>
        <v>-7.6638343948702725E-2</v>
      </c>
      <c r="E62" s="341">
        <f ca="1">IF(AND(G36&gt;0,J36&gt;0),(J36/G36)^(1/3)-1,0)</f>
        <v>-0.14019155002875916</v>
      </c>
      <c r="F62" s="341">
        <f ca="1">IF(AND(H36&gt;0,K36&gt;0),(K36/H36)^(1/3)-1,0)</f>
        <v>5.2334877300337368E-3</v>
      </c>
      <c r="G62" s="341">
        <f ca="1">IF(AND(F36&gt;0,H36&gt;0),(H36/F36)^(1/2)-1,0)</f>
        <v>-1.3061581486793039E-2</v>
      </c>
      <c r="H62" s="341">
        <f ca="1">IF(AND(G36&gt;0,I36&gt;0),(I36/G36)^(1/2)-1,0)</f>
        <v>-0.12825864943311527</v>
      </c>
      <c r="I62" s="341">
        <f ca="1">IF(AND(H36&gt;0,J36&gt;0),(J36/H36)^(1/2)-1,0)</f>
        <v>-0.17779026384179353</v>
      </c>
      <c r="J62" s="341">
        <f ca="1">IF(AND(I36&gt;0,K36&gt;0),(K36/I36)^(1/2)-1,0)</f>
        <v>0.12106998009154957</v>
      </c>
      <c r="K62" s="439">
        <f t="shared" ref="K62:K73" ca="1" si="6">MEDIAN(B62:J62)</f>
        <v>-7.6638343948702725E-2</v>
      </c>
    </row>
    <row r="63" spans="1:12">
      <c r="A63" s="444" t="str">
        <f ca="1">$A$30</f>
        <v>Owner Earnings FCF</v>
      </c>
      <c r="B63" s="442">
        <f ca="1">IF(AND(F30&gt;0,J30&gt;0),(J30/F30)^(1/4)-1,0)</f>
        <v>4.0872107259424251E-3</v>
      </c>
      <c r="C63" s="442">
        <f ca="1">IF(AND(G$30&gt;0,K$30&gt;0),(K$30/G$30)^(1/4)-1,0)</f>
        <v>5.4590235368265017E-2</v>
      </c>
      <c r="D63" s="442">
        <f ca="1">IF(AND(F$30&gt;0,I$30&gt;0),(I$30/F$30)^(1/3)-1,0)</f>
        <v>3.3063903733145494E-2</v>
      </c>
      <c r="E63" s="442">
        <f ca="1">IF(AND(G$30&gt;0,J$30&gt;0),(J$30/G$30)^(1/3)-1,0)</f>
        <v>1.0890148471269567E-2</v>
      </c>
      <c r="F63" s="442">
        <f ca="1">IF(AND(H$30&gt;0,K$30&gt;0),(K$30/H$30)^(1/3)-1,0)</f>
        <v>9.5787371112577624E-2</v>
      </c>
      <c r="G63" s="442">
        <f ca="1">IF(AND(F$30&gt;0,H$30&gt;0),(H$30/F$30)^(1/2)-1,0)</f>
        <v>-3.8243832993870019E-2</v>
      </c>
      <c r="H63" s="442">
        <f ca="1">IF(AND(G$30&gt;0,I$30&gt;0),(I$30/G$30)^(1/2)-1,0)</f>
        <v>5.8531670114827294E-2</v>
      </c>
      <c r="I63" s="442">
        <f ca="1">IF(AND(H$30&gt;0,J$30&gt;0),(J$30/H$30)^(1/2)-1,0)</f>
        <v>4.8281426550994988E-2</v>
      </c>
      <c r="J63" s="442">
        <f ca="1">IF(AND(I$30&gt;0,K$30&gt;0),(K$30/I$30)^(1/2)-1,0)</f>
        <v>5.0663476524464679E-2</v>
      </c>
      <c r="K63" s="443">
        <f t="shared" ca="1" si="6"/>
        <v>4.8281426550994988E-2</v>
      </c>
    </row>
    <row r="64" spans="1:12">
      <c r="A64" s="300" t="s">
        <v>2</v>
      </c>
      <c r="B64" s="341">
        <f ca="1">IF(ISERR(MEDIAN(F44:J44)),0,MEDIAN(F44:J44))</f>
        <v>0.30833099579242634</v>
      </c>
      <c r="C64" s="341">
        <f ca="1">IF(ISERR(MEDIAN(G44:K44)),0,MEDIAN(G44:K44))</f>
        <v>0.30833099579242634</v>
      </c>
      <c r="D64" s="341">
        <f t="shared" ref="D64:F65" ca="1" si="7">IF(ISERR(MEDIAN(F44:I44)),0,MEDIAN(F44:I44))</f>
        <v>0.30504322186715749</v>
      </c>
      <c r="E64" s="341">
        <f t="shared" ca="1" si="7"/>
        <v>0.30968230195455182</v>
      </c>
      <c r="F64" s="341">
        <f t="shared" ca="1" si="7"/>
        <v>0.29881978325196668</v>
      </c>
      <c r="G64" s="341">
        <f t="shared" ref="G64:J65" ca="1" si="8">IF(ISERR(MEDIAN(F44:H44)),0,MEDIAN(F44:H44))</f>
        <v>0.30175544794188863</v>
      </c>
      <c r="H64" s="341">
        <f t="shared" ca="1" si="8"/>
        <v>0.30833099579242634</v>
      </c>
      <c r="I64" s="341">
        <f t="shared" ca="1" si="8"/>
        <v>0.30833099579242634</v>
      </c>
      <c r="J64" s="341">
        <f t="shared" ca="1" si="8"/>
        <v>0.30833099579242634</v>
      </c>
      <c r="K64" s="439">
        <f t="shared" ca="1" si="6"/>
        <v>0.30833099579242634</v>
      </c>
    </row>
    <row r="65" spans="1:13">
      <c r="A65" s="300" t="s">
        <v>63</v>
      </c>
      <c r="B65" s="341">
        <f ca="1">IF(ISERR(MEDIAN(F45:J45)),0,MEDIAN(F45:J45))</f>
        <v>0.19142311524410494</v>
      </c>
      <c r="C65" s="341">
        <f ca="1">IF(ISERR(MEDIAN(G45:K45)),0,MEDIAN(G45:K45))</f>
        <v>0.19142311524410494</v>
      </c>
      <c r="D65" s="341">
        <f t="shared" ca="1" si="7"/>
        <v>0.20186200776055663</v>
      </c>
      <c r="E65" s="341">
        <f t="shared" ca="1" si="7"/>
        <v>0.19093975182103365</v>
      </c>
      <c r="F65" s="341">
        <f t="shared" ca="1" si="7"/>
        <v>0.19093975182103365</v>
      </c>
      <c r="G65" s="341">
        <f t="shared" ca="1" si="8"/>
        <v>0.21230090027700832</v>
      </c>
      <c r="H65" s="341">
        <f t="shared" ca="1" si="8"/>
        <v>0.19142311524410494</v>
      </c>
      <c r="I65" s="341">
        <f t="shared" ca="1" si="8"/>
        <v>0.19045638839796236</v>
      </c>
      <c r="J65" s="341">
        <f t="shared" ca="1" si="8"/>
        <v>0.19045638839796236</v>
      </c>
      <c r="K65" s="439">
        <f t="shared" ca="1" si="6"/>
        <v>0.19142311524410494</v>
      </c>
    </row>
    <row r="66" spans="1:13">
      <c r="A66" s="300" t="s">
        <v>458</v>
      </c>
      <c r="B66" s="341">
        <f ca="1">MEDIAN(F47:J47)</f>
        <v>0.15472276311169278</v>
      </c>
      <c r="C66" s="341">
        <f ca="1">MEDIAN(G47:K47)</f>
        <v>0.14331548162590391</v>
      </c>
      <c r="D66" s="341">
        <f t="shared" ref="D66:F67" ca="1" si="9">MEDIAN(F47:I47)</f>
        <v>0.16014250093600746</v>
      </c>
      <c r="E66" s="341">
        <f t="shared" ca="1" si="9"/>
        <v>0.15443886019311304</v>
      </c>
      <c r="F66" s="341">
        <f t="shared" ca="1" si="9"/>
        <v>0.14176108777520874</v>
      </c>
      <c r="G66" s="341">
        <f t="shared" ref="G66:J67" ca="1" si="10">MEDIAN(F47:H47)</f>
        <v>0.16556223876032217</v>
      </c>
      <c r="H66" s="341">
        <f t="shared" ca="1" si="10"/>
        <v>0.16556223876032217</v>
      </c>
      <c r="I66" s="341">
        <f t="shared" ca="1" si="10"/>
        <v>0.14331548162590391</v>
      </c>
      <c r="J66" s="341">
        <f t="shared" ca="1" si="10"/>
        <v>0.14020669392451357</v>
      </c>
      <c r="K66" s="439">
        <f t="shared" ca="1" si="6"/>
        <v>0.15443886019311304</v>
      </c>
    </row>
    <row r="67" spans="1:13">
      <c r="A67" s="300" t="s">
        <v>459</v>
      </c>
      <c r="B67" s="341">
        <f ca="1">MEDIAN(F48:J48)</f>
        <v>0.29789055334760012</v>
      </c>
      <c r="C67" s="341">
        <f ca="1">MEDIAN(G48:K48)</f>
        <v>0.28365572489253615</v>
      </c>
      <c r="D67" s="341">
        <f t="shared" ca="1" si="9"/>
        <v>0.2990634799834927</v>
      </c>
      <c r="E67" s="341">
        <f t="shared" ca="1" si="9"/>
        <v>0.29077313912006814</v>
      </c>
      <c r="F67" s="341">
        <f t="shared" ca="1" si="9"/>
        <v>0.27941405543792097</v>
      </c>
      <c r="G67" s="341">
        <f t="shared" ca="1" si="10"/>
        <v>0.30023640661938533</v>
      </c>
      <c r="H67" s="341">
        <f t="shared" ca="1" si="10"/>
        <v>0.29789055334760012</v>
      </c>
      <c r="I67" s="341">
        <f t="shared" ca="1" si="10"/>
        <v>0.28365572489253615</v>
      </c>
      <c r="J67" s="341">
        <f t="shared" ca="1" si="10"/>
        <v>0.27517238598330579</v>
      </c>
      <c r="K67" s="439">
        <f t="shared" ca="1" si="6"/>
        <v>0.29077313912006814</v>
      </c>
    </row>
    <row r="68" spans="1:13">
      <c r="A68" s="300" t="s">
        <v>468</v>
      </c>
      <c r="B68" s="341">
        <f t="shared" ref="B68:C70" ca="1" si="11">IF(ISERR(MEDIAN(F39:J39)),0,MEDIAN(F39:J39))</f>
        <v>0.64529951523545703</v>
      </c>
      <c r="C68" s="341">
        <f t="shared" ca="1" si="11"/>
        <v>0.64393939393939392</v>
      </c>
      <c r="D68" s="341">
        <f t="shared" ref="D68:F70" ca="1" si="12">IF(ISERR(MEDIAN(F39:I39)),0,MEDIAN(F39:I39))</f>
        <v>0.64875849088427984</v>
      </c>
      <c r="E68" s="341">
        <f t="shared" ca="1" si="12"/>
        <v>0.64461945458742553</v>
      </c>
      <c r="F68" s="341">
        <f t="shared" ca="1" si="12"/>
        <v>0.64307327877027776</v>
      </c>
      <c r="G68" s="341">
        <f t="shared" ref="G68:J70" ca="1" si="13">IF(ISERR(MEDIAN(F39:H39)),0,MEDIAN(F39:H39))</f>
        <v>0.65221746653310264</v>
      </c>
      <c r="H68" s="341">
        <f t="shared" ca="1" si="13"/>
        <v>0.64529951523545703</v>
      </c>
      <c r="I68" s="341">
        <f t="shared" ca="1" si="13"/>
        <v>0.64393939393939392</v>
      </c>
      <c r="J68" s="341">
        <f t="shared" ca="1" si="13"/>
        <v>0.6422071636011617</v>
      </c>
      <c r="K68" s="439">
        <f t="shared" ca="1" si="6"/>
        <v>0.64461945458742553</v>
      </c>
    </row>
    <row r="69" spans="1:13">
      <c r="A69" s="300" t="s">
        <v>469</v>
      </c>
      <c r="B69" s="341">
        <f t="shared" ca="1" si="11"/>
        <v>0.26187313184988376</v>
      </c>
      <c r="C69" s="341">
        <f t="shared" ca="1" si="11"/>
        <v>0.26337430747922436</v>
      </c>
      <c r="D69" s="341">
        <f t="shared" ca="1" si="12"/>
        <v>0.26066063477113077</v>
      </c>
      <c r="E69" s="341">
        <f t="shared" ca="1" si="12"/>
        <v>0.26262371966455406</v>
      </c>
      <c r="F69" s="341">
        <f t="shared" ca="1" si="12"/>
        <v>0.26313666610024866</v>
      </c>
      <c r="G69" s="341">
        <f t="shared" ca="1" si="13"/>
        <v>0.26187313184988376</v>
      </c>
      <c r="H69" s="341">
        <f t="shared" ca="1" si="13"/>
        <v>0.26187313184988376</v>
      </c>
      <c r="I69" s="341">
        <f t="shared" ca="1" si="13"/>
        <v>0.26187313184988376</v>
      </c>
      <c r="J69" s="341">
        <f t="shared" ca="1" si="13"/>
        <v>0.26440020035061357</v>
      </c>
      <c r="K69" s="439">
        <f t="shared" ca="1" si="6"/>
        <v>0.26187313184988376</v>
      </c>
    </row>
    <row r="70" spans="1:13">
      <c r="A70" s="300" t="s">
        <v>470</v>
      </c>
      <c r="B70" s="341">
        <f t="shared" ca="1" si="11"/>
        <v>0.21087257617728533</v>
      </c>
      <c r="C70" s="341">
        <f t="shared" ca="1" si="11"/>
        <v>0.21087257617728533</v>
      </c>
      <c r="D70" s="341">
        <f t="shared" ca="1" si="12"/>
        <v>0.21088298353865925</v>
      </c>
      <c r="E70" s="341">
        <f t="shared" ca="1" si="12"/>
        <v>0.20906798923567804</v>
      </c>
      <c r="F70" s="341">
        <f t="shared" ca="1" si="12"/>
        <v>0.20907839659705196</v>
      </c>
      <c r="G70" s="341">
        <f t="shared" ca="1" si="13"/>
        <v>0.2108933909000332</v>
      </c>
      <c r="H70" s="341">
        <f t="shared" ca="1" si="13"/>
        <v>0.21087257617728533</v>
      </c>
      <c r="I70" s="341">
        <f t="shared" ca="1" si="13"/>
        <v>0.20726340229407075</v>
      </c>
      <c r="J70" s="341">
        <f t="shared" ca="1" si="13"/>
        <v>0.20726340229407075</v>
      </c>
      <c r="K70" s="439">
        <f t="shared" ca="1" si="6"/>
        <v>0.21087257617728533</v>
      </c>
    </row>
    <row r="71" spans="1:13">
      <c r="A71" s="300" t="s">
        <v>552</v>
      </c>
      <c r="B71" s="341">
        <f ca="1">IF(AND(F18&gt;0,J18&gt;0),(J18/F18)^(1/4)-1,0)</f>
        <v>9.8194722924153988E-2</v>
      </c>
      <c r="C71" s="341">
        <f ca="1">IF(AND(G18&gt;0,K18&gt;0),(K18/G18)^(1/4)-1,0)</f>
        <v>7.6176737326523192E-2</v>
      </c>
      <c r="D71" s="341">
        <f ca="1">IF(AND(F18&gt;0,I18&gt;0),(I18/F18)^(1/3)-1,0)</f>
        <v>9.5283211231669496E-2</v>
      </c>
      <c r="E71" s="341">
        <f ca="1">IF(AND(G18&gt;0,J18&gt;0),(J18/G18)^(1/3)-1,0)</f>
        <v>0.11403980115907508</v>
      </c>
      <c r="F71" s="341">
        <f ca="1">IF(AND(H18&gt;0,K18&gt;0),(K18/H18)^(1/3)-1,0)</f>
        <v>8.7611049815345066E-2</v>
      </c>
      <c r="G71" s="341">
        <f ca="1">IF(AND(F18&gt;0,H18&gt;0),(H18/F18)^(1/2)-1,0)</f>
        <v>4.7283901242822557E-2</v>
      </c>
      <c r="H71" s="341">
        <f ca="1">IF(AND(G18&gt;0,I18&gt;0),(I18/G18)^(1/2)-1,0)</f>
        <v>0.11758869956037121</v>
      </c>
      <c r="I71" s="341">
        <f ca="1">IF(AND(H18&gt;0,J18&gt;0),(J18/H18)^(1/2)-1,0)</f>
        <v>0.1515804339465634</v>
      </c>
      <c r="J71" s="341">
        <f ca="1">IF(AND(I18&gt;0,K18&gt;0),(K18/I18)^(1/2)-1,0)</f>
        <v>3.6299284717488334E-2</v>
      </c>
      <c r="K71" s="439">
        <f ca="1">MEDIAN(B71:J71)</f>
        <v>9.5283211231669496E-2</v>
      </c>
    </row>
    <row r="72" spans="1:13">
      <c r="A72" s="300" t="s">
        <v>553</v>
      </c>
      <c r="B72" s="341">
        <f ca="1">IF(AND(F23&gt;0,J23&gt;0),(J23/F23)^(1/4)-1,0)</f>
        <v>5.6312302409221138E-2</v>
      </c>
      <c r="C72" s="341">
        <f ca="1">IF(AND(G23&gt;0,K23&gt;0),(K23/G23)^(1/4)-1,0)</f>
        <v>9.4735907476689585E-2</v>
      </c>
      <c r="D72" s="341">
        <f ca="1">IF(AND(F23&gt;0,I23&gt;0),(I23/F23)^(1/3)-1,0)</f>
        <v>8.7178968965500925E-2</v>
      </c>
      <c r="E72" s="341">
        <f ca="1">IF(AND(G23&gt;0,J23&gt;0),(J23/G23)^(1/3)-1,0)</f>
        <v>6.8701436680861372E-2</v>
      </c>
      <c r="F72" s="341">
        <f ca="1">IF(AND(H23&gt;0,K23&gt;0),(K23/H23)^(1/3)-1,0)</f>
        <v>0.10697536589070156</v>
      </c>
      <c r="G72" s="341">
        <f ca="1">IF(AND(F23&gt;0,H23&gt;0),(H23/F23)^(1/2)-1,0)</f>
        <v>3.9230484541326494E-2</v>
      </c>
      <c r="H72" s="341">
        <f ca="1">IF(AND(G23&gt;0,I23&gt;0),(I23/G23)^(1/2)-1,0)</f>
        <v>0.12240987235885781</v>
      </c>
      <c r="I72" s="341">
        <f ca="1">IF(AND(H23&gt;0,J23&gt;0),(J23/H23)^(1/2)-1,0)</f>
        <v>7.3674893893760585E-2</v>
      </c>
      <c r="J72" s="341">
        <f ca="1">IF(AND(I23&gt;0,K23&gt;0),(K23/I23)^(1/2)-1,0)</f>
        <v>6.7744267608903286E-2</v>
      </c>
      <c r="K72" s="439">
        <f t="shared" ca="1" si="6"/>
        <v>7.3674893893760585E-2</v>
      </c>
    </row>
    <row r="73" spans="1:13">
      <c r="A73" s="300" t="s">
        <v>554</v>
      </c>
      <c r="B73" s="341">
        <f ca="1">IF(AND(F27&gt;0,J27&gt;0),(J27/F27)^(1/4)-1,0)</f>
        <v>6.1282756423479912E-2</v>
      </c>
      <c r="C73" s="341">
        <f ca="1">IF(AND(G27&gt;0,K27&gt;0),(K27/G27)^(1/4)-1,0)</f>
        <v>6.2511048072906528E-2</v>
      </c>
      <c r="D73" s="341">
        <f ca="1">IF(AND(F27&gt;0,I27&gt;0),(I27/F27)^(1/3)-1,0)</f>
        <v>6.2084512134693126E-2</v>
      </c>
      <c r="E73" s="341">
        <f ca="1">IF(AND(G27&gt;0,J27&gt;0),(J27/G27)^(1/3)-1,0)</f>
        <v>5.6343363168587901E-2</v>
      </c>
      <c r="F73" s="341">
        <f ca="1">IF(AND(H27&gt;0,K27&gt;0),(K27/H27)^(1/3)-1,0)</f>
        <v>0.11176939212703951</v>
      </c>
      <c r="G73" s="341">
        <f ca="1">IF(AND(F27&gt;0,H27&gt;0),(H27/F27)^(1/2)-1,0)</f>
        <v>-9.2200681772303117E-4</v>
      </c>
      <c r="H73" s="341">
        <f ca="1">IF(AND(G27&gt;0,I27&gt;0),(I27/G27)^(1/2)-1,0)</f>
        <v>5.5076767005728833E-2</v>
      </c>
      <c r="I73" s="341">
        <f ca="1">IF(AND(H27&gt;0,J27&gt;0),(J27/H27)^(1/2)-1,0)</f>
        <v>0.12736052317021396</v>
      </c>
      <c r="J73" s="341">
        <f ca="1">IF(AND(I27&gt;0,K27&gt;0),(K27/I27)^(1/2)-1,0)</f>
        <v>6.9997712565361025E-2</v>
      </c>
      <c r="K73" s="439">
        <f t="shared" ca="1" si="6"/>
        <v>6.2084512134693126E-2</v>
      </c>
    </row>
    <row r="75" spans="1:13">
      <c r="A75" s="436" t="s">
        <v>563</v>
      </c>
      <c r="B75" s="433" t="str">
        <f ca="1">B13&amp;"-"&amp;I13</f>
        <v>2000-2007</v>
      </c>
      <c r="C75" s="433" t="str">
        <f ca="1">C13&amp;"-"&amp;J13</f>
        <v>2001-2008</v>
      </c>
      <c r="D75" s="433" t="str">
        <f ca="1">D13&amp;"-"&amp;K13</f>
        <v>2002-2009</v>
      </c>
      <c r="E75" s="433" t="str">
        <f ca="1">B13&amp;"-"&amp;G13</f>
        <v>2000-2005</v>
      </c>
      <c r="F75" s="433" t="str">
        <f ca="1">C13&amp;"-"&amp;H13</f>
        <v>2001-2006</v>
      </c>
      <c r="G75" s="433" t="str">
        <f ca="1">D13&amp;"-"&amp;I13</f>
        <v>2002-2007</v>
      </c>
      <c r="H75" s="433" t="str">
        <f ca="1">E13&amp;"-"&amp;J13</f>
        <v>2003-2008</v>
      </c>
      <c r="I75" s="433" t="str">
        <f ca="1">F13&amp;"-"&amp;K13</f>
        <v>2004-2009</v>
      </c>
      <c r="J75" s="433" t="s">
        <v>3</v>
      </c>
      <c r="K75" s="438"/>
      <c r="L75" s="438"/>
    </row>
    <row r="76" spans="1:13">
      <c r="A76" s="300" t="s">
        <v>551</v>
      </c>
      <c r="B76" s="341">
        <f ca="1">IF(AND(B36&gt;0,I36&gt;0),(I36/B36)^(1/7)-1,0)</f>
        <v>3.674101349866743E-2</v>
      </c>
      <c r="C76" s="341">
        <f ca="1">IF(AND(C36&gt;0,J36&gt;0),(J36/C36)^(1/7)-1,0)</f>
        <v>-1.3897573994993473E-2</v>
      </c>
      <c r="D76" s="341">
        <f ca="1">IF(AND(D36&gt;0,K36&gt;0),(K36/D36)^(1/7)-1,0)</f>
        <v>5.4676344295778279E-2</v>
      </c>
      <c r="E76" s="341">
        <f ca="1">IF(AND(B36&gt;0,G36&gt;0),(G36/B36)^(1/5)-1,0)</f>
        <v>0.11117722809372976</v>
      </c>
      <c r="F76" s="341">
        <f ca="1">IF(AND(C36&gt;0,H36&gt;0),(H36/C36)^(1/5)-1,0)</f>
        <v>6.0468547046325094E-2</v>
      </c>
      <c r="G76" s="341">
        <f ca="1">IF(AND(D36&gt;0,I36&gt;0),(I36/D36)^(1/5)-1,0)</f>
        <v>2.9233226412822111E-2</v>
      </c>
      <c r="H76" s="341">
        <f ca="1">IF(AND(E36&gt;0,J36&gt;0),(J36/E36)^(1/5)-1,0)</f>
        <v>-4.6356420455680891E-2</v>
      </c>
      <c r="I76" s="341">
        <f ca="1">IF(AND(F36&gt;0,K36&gt;0),(K36/F36)^(1/5)-1,0)</f>
        <v>-2.124888479327347E-3</v>
      </c>
      <c r="J76" s="439">
        <f ca="1">MEDIAN(B76:I76)</f>
        <v>3.298711995574477E-2</v>
      </c>
      <c r="L76"/>
      <c r="M76"/>
    </row>
    <row r="77" spans="1:13">
      <c r="A77" s="444" t="str">
        <f ca="1">$A$30</f>
        <v>Owner Earnings FCF</v>
      </c>
      <c r="B77" s="442">
        <f ca="1">IF(AND(B$30&gt;0,I$30&gt;0),(I$30/B$30)^(1/7)-1,0)</f>
        <v>0.13848119516603474</v>
      </c>
      <c r="C77" s="442">
        <f ca="1">IF(AND(C$30&gt;0,J$30&gt;0),(J$30/C$30)^(1/7)-1,0)</f>
        <v>3.4245443690756439E-2</v>
      </c>
      <c r="D77" s="442">
        <f ca="1">IF(AND(D$30&gt;0,K$30&gt;0),(K$30/D$30)^(1/7)-1,0)</f>
        <v>0.10557938276665824</v>
      </c>
      <c r="E77" s="442">
        <f ca="1">IF(AND(B$30&gt;0,G$30&gt;0),(G$30/B$30)^(1/5)-1,0)</f>
        <v>0.1721269829077845</v>
      </c>
      <c r="F77" s="442">
        <f ca="1">IF(AND(C$30&gt;0,H$30&gt;0),(H$30/C$30)^(1/5)-1,0)</f>
        <v>2.8683814034823563E-2</v>
      </c>
      <c r="G77" s="442">
        <f ca="1">IF(AND(D$30&gt;0,I$30&gt;0),(I$30/D$30)^(1/5)-1,0)</f>
        <v>0.12834120877820498</v>
      </c>
      <c r="H77" s="442">
        <f ca="1">IF(AND(E$30&gt;0,J$30&gt;0),(J$30/E$30)^(1/5)-1,0)</f>
        <v>2.9333865127734837E-2</v>
      </c>
      <c r="I77" s="442">
        <f ca="1">IF(AND(F$30&gt;0,K$30&gt;0),(K$30/F$30)^(1/5)-1,0)</f>
        <v>4.0068076422209442E-2</v>
      </c>
      <c r="J77" s="443">
        <f ca="1">MEDIAN(B77:I77)</f>
        <v>7.2823729594433839E-2</v>
      </c>
      <c r="L77"/>
      <c r="M77"/>
    </row>
    <row r="78" spans="1:13">
      <c r="A78" s="300" t="s">
        <v>2</v>
      </c>
      <c r="B78" s="341">
        <f ca="1">IF(ISERR(MEDIAN(B44:I44)),0,MEDIAN(B44:I44))</f>
        <v>0.29553200932669788</v>
      </c>
      <c r="C78" s="341">
        <f ca="1">IF(ISERR(MEDIAN(C44:J44)),0,MEDIAN(C44:J44))</f>
        <v>0.30504322186715749</v>
      </c>
      <c r="D78" s="341">
        <f ca="1">IF(ISERR(MEDIAN(D44:K44)),0,MEDIAN(D44:K44))</f>
        <v>0.29553200932669788</v>
      </c>
      <c r="E78" s="341">
        <f ca="1">IF(ISERR(MEDIAN(B44:G44)),0,MEDIAN(B44:G44))</f>
        <v>0.29263113445778727</v>
      </c>
      <c r="F78" s="341">
        <f ca="1">IF(ISERR(MEDIAN(C44:H44)),0,MEDIAN(C44:H44))</f>
        <v>0.29553200932669788</v>
      </c>
      <c r="G78" s="341">
        <f ca="1">IF(ISERR(MEDIAN(D44:I44)),0,MEDIAN(D44:I44))</f>
        <v>0.29553200932669788</v>
      </c>
      <c r="H78" s="341">
        <f ca="1">IF(ISERR(MEDIAN(E44:J44)),0,MEDIAN(E44:J44))</f>
        <v>0.30504322186715749</v>
      </c>
      <c r="I78" s="341">
        <f ca="1">IF(ISERR(MEDIAN(F44:K44)),0,MEDIAN(F44:K44))</f>
        <v>0.30504322186715749</v>
      </c>
      <c r="J78" s="439">
        <f t="shared" ref="J78:J87" ca="1" si="14">MEDIAN(B78:I78)</f>
        <v>0.29553200932669788</v>
      </c>
      <c r="L78"/>
      <c r="M78"/>
    </row>
    <row r="79" spans="1:13">
      <c r="A79" s="300" t="s">
        <v>63</v>
      </c>
      <c r="B79" s="341">
        <f ca="1">IF(ISERR(MEDIAN(B45:I45)),"",MEDIAN(B45:I45))</f>
        <v>0.19532832051275523</v>
      </c>
      <c r="C79" s="341">
        <f ca="1">IF(ISERR(MEDIAN(C45:J45)),"",MEDIAN(C45:J45))</f>
        <v>0.19532832051275523</v>
      </c>
      <c r="D79" s="341">
        <f ca="1">IF(ISERR(MEDIAN(D45:K45)),"",MEDIAN(D45:K45))</f>
        <v>0.19359797259462425</v>
      </c>
      <c r="E79" s="341">
        <f ca="1">IF(ISERR(MEDIAN(B45:G45)),"",MEDIAN(B45:G45))</f>
        <v>0.20380322934194778</v>
      </c>
      <c r="F79" s="341">
        <f ca="1">IF(ISERR(MEDIAN(C45:H45)),"",MEDIAN(C45:H45))</f>
        <v>0.20380322934194778</v>
      </c>
      <c r="G79" s="341">
        <f ca="1">IF(ISERR(MEDIAN(D45:I45)),"",MEDIAN(D45:I45))</f>
        <v>0.19989802407329749</v>
      </c>
      <c r="H79" s="341">
        <f ca="1">IF(ISERR(MEDIAN(E45:J45)),"",MEDIAN(E45:J45))</f>
        <v>0.19989802407329749</v>
      </c>
      <c r="I79" s="341">
        <f ca="1">IF(ISERR(MEDIAN(F45:K45)),"",MEDIAN(F45:K45))</f>
        <v>0.19359797259462425</v>
      </c>
      <c r="J79" s="439">
        <f t="shared" ca="1" si="14"/>
        <v>0.19761317229302636</v>
      </c>
      <c r="L79"/>
      <c r="M79"/>
    </row>
    <row r="80" spans="1:13">
      <c r="A80" s="300" t="s">
        <v>458</v>
      </c>
      <c r="B80" s="341">
        <f t="shared" ref="B80:D81" ca="1" si="15">IF(ISERR(MEDIAN(B47:I47)),0,MEDIAN(B47:I47))</f>
        <v>0.15685446911345008</v>
      </c>
      <c r="C80" s="341">
        <f t="shared" ca="1" si="15"/>
        <v>0.15685446911345008</v>
      </c>
      <c r="D80" s="341">
        <f t="shared" ca="1" si="15"/>
        <v>0.14901912236879833</v>
      </c>
      <c r="E80" s="341">
        <f t="shared" ref="E80:I81" ca="1" si="16">IF(ISERR(MEDIAN(B47:G47)),"",MEDIAN(B47:G47))</f>
        <v>0.15685446911345008</v>
      </c>
      <c r="F80" s="341">
        <f t="shared" ca="1" si="16"/>
        <v>0.16227420693776479</v>
      </c>
      <c r="G80" s="341">
        <f t="shared" ca="1" si="16"/>
        <v>0.15685446911345008</v>
      </c>
      <c r="H80" s="341">
        <f t="shared" ca="1" si="16"/>
        <v>0.15685446911345008</v>
      </c>
      <c r="I80" s="341">
        <f t="shared" ca="1" si="16"/>
        <v>0.14901912236879833</v>
      </c>
      <c r="J80" s="439">
        <f t="shared" ca="1" si="14"/>
        <v>0.15685446911345008</v>
      </c>
      <c r="L80"/>
      <c r="M80"/>
    </row>
    <row r="81" spans="1:13">
      <c r="A81" s="300" t="s">
        <v>459</v>
      </c>
      <c r="B81" s="341">
        <f t="shared" ca="1" si="15"/>
        <v>0.2990634799834927</v>
      </c>
      <c r="C81" s="341">
        <f t="shared" ca="1" si="15"/>
        <v>0.2990634799834927</v>
      </c>
      <c r="D81" s="341">
        <f t="shared" ca="1" si="15"/>
        <v>0.29077313912006814</v>
      </c>
      <c r="E81" s="341">
        <f t="shared" ca="1" si="16"/>
        <v>0.30103187849369339</v>
      </c>
      <c r="F81" s="341">
        <f t="shared" ca="1" si="16"/>
        <v>0.30220480512958597</v>
      </c>
      <c r="G81" s="341">
        <f t="shared" ca="1" si="16"/>
        <v>0.2990634799834927</v>
      </c>
      <c r="H81" s="341">
        <f t="shared" ca="1" si="16"/>
        <v>0.2990634799834927</v>
      </c>
      <c r="I81" s="341">
        <f t="shared" ca="1" si="16"/>
        <v>0.29077313912006814</v>
      </c>
      <c r="J81" s="439">
        <f t="shared" ca="1" si="14"/>
        <v>0.2990634799834927</v>
      </c>
      <c r="L81"/>
      <c r="M81"/>
    </row>
    <row r="82" spans="1:13">
      <c r="A82" s="300" t="s">
        <v>468</v>
      </c>
      <c r="B82" s="341">
        <f t="shared" ref="B82:D84" ca="1" si="17">IF(ISERR(MEDIAN(B39:I39)),0,MEDIAN(B39:I39))</f>
        <v>0.64875849088427984</v>
      </c>
      <c r="C82" s="341">
        <f t="shared" ca="1" si="17"/>
        <v>0.64461945458742553</v>
      </c>
      <c r="D82" s="341">
        <f t="shared" ca="1" si="17"/>
        <v>0.64307327877027776</v>
      </c>
      <c r="E82" s="341">
        <f t="shared" ref="E82:I84" ca="1" si="18">IF(ISERR(MEDIAN(B39:G39)),"",MEDIAN(B39:G39))</f>
        <v>0.64875849088427984</v>
      </c>
      <c r="F82" s="341">
        <f t="shared" ca="1" si="18"/>
        <v>0.64875849088427984</v>
      </c>
      <c r="G82" s="341">
        <f t="shared" ca="1" si="18"/>
        <v>0.64234688483122959</v>
      </c>
      <c r="H82" s="341">
        <f t="shared" ca="1" si="18"/>
        <v>0.64461945458742553</v>
      </c>
      <c r="I82" s="341">
        <f t="shared" ca="1" si="18"/>
        <v>0.64461945458742553</v>
      </c>
      <c r="J82" s="439">
        <f t="shared" ca="1" si="14"/>
        <v>0.64461945458742553</v>
      </c>
      <c r="L82"/>
      <c r="M82"/>
    </row>
    <row r="83" spans="1:13">
      <c r="A83" s="300" t="s">
        <v>469</v>
      </c>
      <c r="B83" s="341">
        <f t="shared" ca="1" si="17"/>
        <v>0.26066063477113077</v>
      </c>
      <c r="C83" s="341">
        <f t="shared" ca="1" si="17"/>
        <v>0.26262371966455406</v>
      </c>
      <c r="D83" s="341">
        <f t="shared" ca="1" si="17"/>
        <v>0.26262371966455406</v>
      </c>
      <c r="E83" s="341">
        <f t="shared" ca="1" si="18"/>
        <v>0.26141122258580107</v>
      </c>
      <c r="F83" s="341">
        <f t="shared" ca="1" si="18"/>
        <v>0.26262371966455406</v>
      </c>
      <c r="G83" s="341">
        <f t="shared" ca="1" si="18"/>
        <v>0.26066063477113077</v>
      </c>
      <c r="H83" s="341">
        <f t="shared" ca="1" si="18"/>
        <v>0.26066063477113077</v>
      </c>
      <c r="I83" s="341">
        <f t="shared" ca="1" si="18"/>
        <v>0.26262371966455406</v>
      </c>
      <c r="J83" s="439">
        <f t="shared" ca="1" si="14"/>
        <v>0.26201747112517759</v>
      </c>
      <c r="L83"/>
      <c r="M83"/>
    </row>
    <row r="84" spans="1:13">
      <c r="A84" s="300" t="s">
        <v>470</v>
      </c>
      <c r="B84" s="341">
        <f t="shared" ca="1" si="17"/>
        <v>0.20691529742150791</v>
      </c>
      <c r="C84" s="341">
        <f t="shared" ca="1" si="17"/>
        <v>0.20691529742150791</v>
      </c>
      <c r="D84" s="341">
        <f t="shared" ca="1" si="17"/>
        <v>0.20906798923567804</v>
      </c>
      <c r="E84" s="341">
        <f t="shared" ca="1" si="18"/>
        <v>0.20205425126153206</v>
      </c>
      <c r="F84" s="341">
        <f t="shared" ca="1" si="18"/>
        <v>0.2087198843631152</v>
      </c>
      <c r="G84" s="341">
        <f t="shared" ca="1" si="18"/>
        <v>0.20906798923567804</v>
      </c>
      <c r="H84" s="341">
        <f t="shared" ca="1" si="18"/>
        <v>0.20906798923567804</v>
      </c>
      <c r="I84" s="341">
        <f t="shared" ca="1" si="18"/>
        <v>0.21088298353865925</v>
      </c>
      <c r="J84" s="439">
        <f t="shared" ca="1" si="14"/>
        <v>0.20889393679939661</v>
      </c>
      <c r="L84"/>
      <c r="M84"/>
    </row>
    <row r="85" spans="1:13">
      <c r="A85" s="300" t="s">
        <v>552</v>
      </c>
      <c r="B85" s="341">
        <f ca="1">IF(AND(B18&gt;0,I18&gt;0),(I18/B18)^(1/7)-1,0)</f>
        <v>5.0367180878555073E-2</v>
      </c>
      <c r="C85" s="341">
        <f ca="1">IF(AND(C18&gt;0,J18&gt;0),(J18/C18)^(1/7)-1,0)</f>
        <v>6.8480473101840023E-2</v>
      </c>
      <c r="D85" s="341">
        <f ca="1">IF(AND(D18&gt;0,K18&gt;0),(K18/D18)^(1/7)-1,0)</f>
        <v>6.7917499478189258E-2</v>
      </c>
      <c r="E85" s="341">
        <f ca="1">IF(AND(B18&gt;0,G18&gt;0),(G18/B18)^(1/5)-1,0)</f>
        <v>2.4624651365319217E-2</v>
      </c>
      <c r="F85" s="341">
        <f ca="1">IF(AND(C18&gt;0,H18&gt;0),(H18/C18)^(1/5)-1,0)</f>
        <v>3.6944505196889743E-2</v>
      </c>
      <c r="G85" s="341">
        <f ca="1">IF(AND(D18&gt;0,I18&gt;0),(I18/D18)^(1/5)-1,0)</f>
        <v>8.0833271176710575E-2</v>
      </c>
      <c r="H85" s="341">
        <f ca="1">IF(AND(E18&gt;0,J18&gt;0),(J18/E18)^(1/5)-1,0)</f>
        <v>8.705670922504738E-2</v>
      </c>
      <c r="I85" s="341">
        <f ca="1">IF(AND(F18&gt;0,K18&gt;0),(K18/F18)^(1/5)-1,0)</f>
        <v>7.1297121033441657E-2</v>
      </c>
      <c r="J85" s="439">
        <f t="shared" ca="1" si="14"/>
        <v>6.819898629001464E-2</v>
      </c>
      <c r="L85"/>
      <c r="M85"/>
    </row>
    <row r="86" spans="1:13">
      <c r="A86" s="300" t="s">
        <v>553</v>
      </c>
      <c r="B86" s="341">
        <f ca="1">IF(AND(B23&gt;0,I23&gt;0),(I23/B23)^(1/7)-1,0)</f>
        <v>0.16544805548213226</v>
      </c>
      <c r="C86" s="341">
        <f ca="1">IF(AND(C23&gt;0,J23&gt;0),(J23/C23)^(1/7)-1,0)</f>
        <v>6.5221464989552835E-2</v>
      </c>
      <c r="D86" s="341">
        <f ca="1">IF(AND(D23&gt;0,K23&gt;0),(K23/D23)^(1/7)-1,0)</f>
        <v>0.13201397142067139</v>
      </c>
      <c r="E86" s="341">
        <f ca="1">IF(AND(B23&gt;0,G23&gt;0),(G23/B23)^(1/5)-1,0)</f>
        <v>0.18312191546907464</v>
      </c>
      <c r="F86" s="341">
        <f ca="1">IF(AND(C23&gt;0,H23&gt;0),(H23/C23)^(1/5)-1,0)</f>
        <v>6.1858758794934632E-2</v>
      </c>
      <c r="G86" s="341">
        <f ca="1">IF(AND(D23&gt;0,I23&gt;0),(I23/D23)^(1/5)-1,0)</f>
        <v>0.15879230442490599</v>
      </c>
      <c r="H86" s="341">
        <f ca="1">IF(AND(E23&gt;0,J23&gt;0),(J23/E23)^(1/5)-1,0)</f>
        <v>7.0644317120605482E-2</v>
      </c>
      <c r="I86" s="341">
        <f ca="1">IF(AND(F23&gt;0,K23&gt;0),(K23/F23)^(1/5)-1,0)</f>
        <v>7.9362995878642373E-2</v>
      </c>
      <c r="J86" s="439">
        <f t="shared" ca="1" si="14"/>
        <v>0.10568848364965688</v>
      </c>
      <c r="L86"/>
      <c r="M86"/>
    </row>
    <row r="87" spans="1:13">
      <c r="A87" s="300" t="s">
        <v>554</v>
      </c>
      <c r="B87" s="341">
        <f ca="1">IF(AND(B27&gt;0,I27&gt;0),(I27/B27)^(1/7)-1,0)</f>
        <v>0.10364902286321098</v>
      </c>
      <c r="C87" s="341">
        <f ca="1">IF(AND(C27&gt;0,J27&gt;0),(J27/C27)^(1/7)-1,0)</f>
        <v>9.1193152564336133E-2</v>
      </c>
      <c r="D87" s="341">
        <f ca="1">IF(AND(D27&gt;0,K27&gt;0),(K27/D27)^(1/7)-1,0)</f>
        <v>8.1117467815270183E-2</v>
      </c>
      <c r="E87" s="341">
        <f ca="1">IF(AND(B27&gt;0,G27&gt;0),(G27/B27)^(1/5)-1,0)</f>
        <v>0.12369837390962113</v>
      </c>
      <c r="F87" s="341">
        <f ca="1">IF(AND(C27&gt;0,H27&gt;0),(H27/C27)^(1/5)-1,0)</f>
        <v>7.7053200648078857E-2</v>
      </c>
      <c r="G87" s="341">
        <f ca="1">IF(AND(D27&gt;0,I27&gt;0),(I27/D27)^(1/5)-1,0)</f>
        <v>8.5597659746396548E-2</v>
      </c>
      <c r="H87" s="341">
        <f ca="1">IF(AND(E27&gt;0,J27&gt;0),(J27/E27)^(1/5)-1,0)</f>
        <v>6.7716064216018834E-2</v>
      </c>
      <c r="I87" s="341">
        <f ca="1">IF(AND(F27&gt;0,K27&gt;0),(K27/F27)^(1/5)-1,0)</f>
        <v>6.5242745284309844E-2</v>
      </c>
      <c r="J87" s="439">
        <f t="shared" ca="1" si="14"/>
        <v>8.3357563780833366E-2</v>
      </c>
      <c r="L87"/>
      <c r="M87"/>
    </row>
    <row r="89" spans="1:13">
      <c r="A89" s="542" t="s">
        <v>471</v>
      </c>
      <c r="B89" s="542"/>
      <c r="C89" s="542"/>
    </row>
    <row r="90" spans="1:13">
      <c r="A90"/>
      <c r="B90"/>
      <c r="C90"/>
    </row>
    <row r="91" spans="1:13">
      <c r="A91" s="174" t="s">
        <v>273</v>
      </c>
      <c r="B91" s="174"/>
      <c r="C91" s="131"/>
    </row>
    <row r="92" spans="1:13">
      <c r="A92" s="423" t="s">
        <v>272</v>
      </c>
      <c r="B92" s="174">
        <f ca="1">[1]!RCHGetElementNumber(Ticker,24)</f>
        <v>0.59</v>
      </c>
      <c r="C92" s="131"/>
    </row>
    <row r="93" spans="1:13">
      <c r="A93" s="423" t="s">
        <v>267</v>
      </c>
      <c r="B93" s="543">
        <f ca="1">IF(ISNUMBER(C93),C93,14%-B96)</f>
        <v>0.10950000000000001</v>
      </c>
      <c r="C93" s="128"/>
    </row>
    <row r="94" spans="1:13">
      <c r="A94" s="423" t="s">
        <v>268</v>
      </c>
      <c r="B94" s="544">
        <f ca="1">B93*B92</f>
        <v>6.460500000000001E-2</v>
      </c>
      <c r="C94" s="133"/>
    </row>
    <row r="95" spans="1:13">
      <c r="A95" s="423" t="s">
        <v>277</v>
      </c>
      <c r="B95" s="544">
        <f ca="1">B94+B96</f>
        <v>9.5105000000000009E-2</v>
      </c>
      <c r="C95" s="133"/>
    </row>
    <row r="96" spans="1:13">
      <c r="A96" s="423" t="s">
        <v>269</v>
      </c>
      <c r="B96" s="544">
        <f ca="1">[1]!RCHGetTableCell("http://finance.yahoo.com/bonds", 1,"&gt;US Treasury Bonds Rates","&gt;10 Year")/100</f>
        <v>3.0499999999999999E-2</v>
      </c>
      <c r="C96"/>
    </row>
    <row r="97" spans="1:3">
      <c r="A97" s="423" t="s">
        <v>276</v>
      </c>
      <c r="B97" s="544">
        <f ca="1">IF(ISNUMBER(C97),C97,Statements!N29)</f>
        <v>0.22803487592219987</v>
      </c>
      <c r="C97" s="138"/>
    </row>
    <row r="98" spans="1:3">
      <c r="A98" s="423" t="s">
        <v>270</v>
      </c>
      <c r="B98" s="544">
        <f ca="1">'Graham Valuation'!B25/100-DCFData!B96</f>
        <v>1.8799999999999997E-2</v>
      </c>
      <c r="C98"/>
    </row>
    <row r="99" spans="1:3">
      <c r="A99" s="423" t="s">
        <v>278</v>
      </c>
      <c r="B99" s="544">
        <f ca="1">(B96+B98)*(1-B97)</f>
        <v>3.8057880617035543E-2</v>
      </c>
      <c r="C99"/>
    </row>
    <row r="100" spans="1:3">
      <c r="A100" s="423"/>
      <c r="B100" s="174"/>
      <c r="C100"/>
    </row>
    <row r="101" spans="1:3">
      <c r="A101" s="423" t="s">
        <v>274</v>
      </c>
      <c r="B101" s="544">
        <f ca="1">B104/B106</f>
        <v>0.87148655175645384</v>
      </c>
      <c r="C101"/>
    </row>
    <row r="102" spans="1:3">
      <c r="A102" s="423" t="s">
        <v>275</v>
      </c>
      <c r="B102" s="544">
        <f ca="1">B105/B106</f>
        <v>0.12851344824354621</v>
      </c>
      <c r="C102"/>
    </row>
    <row r="103" spans="1:3">
      <c r="A103" s="423"/>
      <c r="B103" s="174"/>
      <c r="C103"/>
    </row>
    <row r="104" spans="1:3">
      <c r="A104" s="423" t="s">
        <v>279</v>
      </c>
      <c r="B104" s="545">
        <f ca="1">[1]!RCHGetElementNumber(Ticker,941)/1000</f>
        <v>120890</v>
      </c>
      <c r="C104"/>
    </row>
    <row r="105" spans="1:3">
      <c r="A105" s="423" t="s">
        <v>280</v>
      </c>
      <c r="B105" s="545">
        <f ca="1">SUM(EPV!H39:H43,EPV!H47:H49)</f>
        <v>17827</v>
      </c>
      <c r="C105"/>
    </row>
    <row r="106" spans="1:3">
      <c r="A106" s="423" t="s">
        <v>281</v>
      </c>
      <c r="B106" s="545">
        <f ca="1">B104+B105</f>
        <v>138717</v>
      </c>
      <c r="C106"/>
    </row>
    <row r="107" spans="1:3">
      <c r="A107" s="423" t="s">
        <v>271</v>
      </c>
      <c r="B107" s="544">
        <f ca="1">(B101*B95)+(B102*B99)</f>
        <v>8.7773677975734016E-2</v>
      </c>
      <c r="C107"/>
    </row>
    <row r="108" spans="1:3">
      <c r="A108" s="546"/>
      <c r="C108"/>
    </row>
    <row r="109" spans="1:3">
      <c r="C109"/>
    </row>
  </sheetData>
  <mergeCells count="2">
    <mergeCell ref="D6:E6"/>
    <mergeCell ref="A6:B6"/>
  </mergeCells>
  <pageMargins left="0.7" right="0.7" top="0.75" bottom="0.75" header="0.3" footer="0.3"/>
  <pageSetup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sheetPr codeName="Sheet5">
    <pageSetUpPr fitToPage="1"/>
  </sheetPr>
  <dimension ref="A1:S36"/>
  <sheetViews>
    <sheetView showGridLines="0" zoomScale="75" zoomScaleNormal="75" workbookViewId="0">
      <pane ySplit="7" topLeftCell="A8" activePane="bottomLeft" state="frozen"/>
      <selection pane="bottomLeft" activeCell="F4" sqref="F4 H4"/>
    </sheetView>
  </sheetViews>
  <sheetFormatPr defaultColWidth="0" defaultRowHeight="12.75"/>
  <cols>
    <col min="1" max="1" width="22.140625" style="173" bestFit="1" customWidth="1"/>
    <col min="2" max="3" width="11.7109375" style="173" customWidth="1"/>
    <col min="4" max="4" width="14.85546875" style="173" bestFit="1" customWidth="1"/>
    <col min="5" max="5" width="12.28515625" style="173" bestFit="1" customWidth="1"/>
    <col min="6" max="6" width="12.42578125" style="173" bestFit="1" customWidth="1"/>
    <col min="7" max="7" width="14" style="173" bestFit="1" customWidth="1"/>
    <col min="8" max="8" width="12.28515625" style="173" bestFit="1" customWidth="1"/>
    <col min="9" max="9" width="11.7109375" style="173" bestFit="1" customWidth="1"/>
    <col min="10" max="10" width="10.28515625" style="173" customWidth="1"/>
    <col min="11" max="11" width="10" style="173" customWidth="1"/>
    <col min="12" max="12" width="9.140625" style="173" customWidth="1"/>
    <col min="13" max="13" width="4.85546875" style="173" customWidth="1"/>
    <col min="14" max="19" width="15.140625" style="173" hidden="1" customWidth="1"/>
    <col min="20" max="16384" width="0" style="173" hidden="1"/>
  </cols>
  <sheetData>
    <row r="1" spans="1:12">
      <c r="A1" s="237"/>
      <c r="B1" s="237"/>
      <c r="C1" s="237"/>
      <c r="D1" s="237"/>
      <c r="E1" s="237"/>
      <c r="F1" s="237"/>
      <c r="G1" s="237"/>
      <c r="J1" s="1047"/>
      <c r="K1" s="1047"/>
    </row>
    <row r="2" spans="1:12" ht="20.25">
      <c r="A2" s="1053" t="str">
        <f ca="1">Statements!$A$2</f>
        <v>Coca-Cola Co</v>
      </c>
      <c r="B2" s="1053"/>
      <c r="C2" s="511"/>
      <c r="D2" s="418" t="s">
        <v>547</v>
      </c>
      <c r="E2" s="418" t="s">
        <v>546</v>
      </c>
      <c r="F2" s="418" t="s">
        <v>86</v>
      </c>
      <c r="G2" s="418" t="s">
        <v>604</v>
      </c>
      <c r="H2" s="418" t="s">
        <v>593</v>
      </c>
      <c r="I2" s="510" t="s">
        <v>597</v>
      </c>
      <c r="J2" s="1048"/>
      <c r="K2" s="1048"/>
    </row>
    <row r="3" spans="1:12" ht="25.5">
      <c r="A3" s="821" t="str">
        <f ca="1">Statements!$A$3</f>
        <v>(KO)</v>
      </c>
      <c r="B3" s="304"/>
      <c r="C3" s="466" t="str">
        <f ca="1">DCFData!$B$10</f>
        <v>Check Shares</v>
      </c>
      <c r="D3" s="1049">
        <f ca="1">'DCF Valuation'!$D$3</f>
        <v>2310</v>
      </c>
      <c r="E3" s="1028">
        <v>0.66</v>
      </c>
      <c r="F3" s="800">
        <v>9.7185434983388275E-2</v>
      </c>
      <c r="G3" s="1051" t="s">
        <v>605</v>
      </c>
      <c r="H3" s="508">
        <f ca="1">IF(ISBLANK(user_eps),IF(G3="Forecast",B19,B20),user_eps)</f>
        <v>2.8558181818181652</v>
      </c>
      <c r="I3" s="507">
        <v>4.93</v>
      </c>
      <c r="J3" s="482"/>
      <c r="K3" s="482"/>
    </row>
    <row r="4" spans="1:12" ht="18" customHeight="1">
      <c r="A4" s="822">
        <f ca="1">Statements!$A$4</f>
        <v>40369</v>
      </c>
      <c r="B4" s="582"/>
      <c r="C4" s="465"/>
      <c r="D4" s="1050"/>
      <c r="E4" s="1029"/>
      <c r="F4" s="506"/>
      <c r="G4" s="1052"/>
      <c r="H4" s="509"/>
      <c r="I4" s="507"/>
      <c r="J4" s="483"/>
      <c r="K4" s="484"/>
    </row>
    <row r="5" spans="1:12">
      <c r="A5" s="485"/>
      <c r="B5" s="486"/>
      <c r="F5" s="221"/>
      <c r="G5" s="221"/>
      <c r="H5" s="487"/>
      <c r="I5" s="504"/>
      <c r="J5" s="486"/>
      <c r="K5" s="486"/>
    </row>
    <row r="6" spans="1:12" ht="15">
      <c r="D6" s="468" t="s">
        <v>4</v>
      </c>
      <c r="E6" s="468" t="s">
        <v>557</v>
      </c>
      <c r="F6" s="468" t="s">
        <v>544</v>
      </c>
      <c r="G6" s="468" t="s">
        <v>555</v>
      </c>
      <c r="H6" s="468" t="s">
        <v>545</v>
      </c>
      <c r="I6" s="468" t="s">
        <v>549</v>
      </c>
    </row>
    <row r="7" spans="1:12" ht="15.75">
      <c r="D7" s="998">
        <f ca="1">DCFData!B2</f>
        <v>52.4</v>
      </c>
      <c r="E7" s="416">
        <f ca="1">B26</f>
        <v>54.997605532269375</v>
      </c>
      <c r="F7" s="999">
        <f ca="1">B28</f>
        <v>18.699185880971587</v>
      </c>
      <c r="G7" s="417">
        <f ca="1">B30</f>
        <v>4.7231247744872307E-2</v>
      </c>
      <c r="H7" s="1000">
        <f ca="1">DCFData!B4</f>
        <v>59.45</v>
      </c>
      <c r="I7" s="1001">
        <f ca="1">DCFData!B5</f>
        <v>47.42</v>
      </c>
    </row>
    <row r="8" spans="1:12">
      <c r="A8" s="308"/>
      <c r="K8" s="486"/>
    </row>
    <row r="9" spans="1:12">
      <c r="A9" s="308"/>
      <c r="J9" s="504"/>
      <c r="K9" s="486"/>
    </row>
    <row r="10" spans="1:12">
      <c r="A10" s="312"/>
      <c r="B10" s="519" t="str">
        <f ca="1">GrahamData!B10</f>
        <v>2004-2008</v>
      </c>
      <c r="C10" s="519" t="str">
        <f ca="1">GrahamData!C10</f>
        <v>2005-2009</v>
      </c>
      <c r="D10" s="519" t="str">
        <f ca="1">GrahamData!D10</f>
        <v>2004-2007</v>
      </c>
      <c r="E10" s="519" t="str">
        <f ca="1">GrahamData!E10</f>
        <v>2005-2008</v>
      </c>
      <c r="F10" s="519" t="str">
        <f ca="1">GrahamData!F10</f>
        <v>2006-2009</v>
      </c>
      <c r="G10" s="519" t="str">
        <f ca="1">GrahamData!G10</f>
        <v>2004-2006</v>
      </c>
      <c r="H10" s="519" t="str">
        <f ca="1">GrahamData!H10</f>
        <v>2005-2007</v>
      </c>
      <c r="I10" s="519" t="str">
        <f ca="1">GrahamData!I10</f>
        <v>2006-2008</v>
      </c>
      <c r="J10" s="519" t="str">
        <f ca="1">GrahamData!J10</f>
        <v>2007-2009</v>
      </c>
      <c r="K10" s="519" t="str">
        <f ca="1">GrahamData!K10</f>
        <v>Median</v>
      </c>
    </row>
    <row r="11" spans="1:12" ht="13.5" thickBot="1">
      <c r="A11" s="318" t="s">
        <v>587</v>
      </c>
      <c r="B11" s="520">
        <f ca="1">GrahamData!B11</f>
        <v>5.6312302409221138E-2</v>
      </c>
      <c r="C11" s="520">
        <f ca="1">GrahamData!C11</f>
        <v>9.4735907476689585E-2</v>
      </c>
      <c r="D11" s="520">
        <f ca="1">GrahamData!D11</f>
        <v>8.7178968965500925E-2</v>
      </c>
      <c r="E11" s="520">
        <f ca="1">GrahamData!E11</f>
        <v>6.8701436680861372E-2</v>
      </c>
      <c r="F11" s="520">
        <f ca="1">GrahamData!F11</f>
        <v>0.10697536589070156</v>
      </c>
      <c r="G11" s="520">
        <f ca="1">GrahamData!G11</f>
        <v>3.9230484541326494E-2</v>
      </c>
      <c r="H11" s="520">
        <f ca="1">GrahamData!H11</f>
        <v>0.12240987235885781</v>
      </c>
      <c r="I11" s="520">
        <f ca="1">GrahamData!I11</f>
        <v>7.3674893893760585E-2</v>
      </c>
      <c r="J11" s="520">
        <f ca="1">GrahamData!J11</f>
        <v>6.7744267608903286E-2</v>
      </c>
      <c r="K11" s="520">
        <f ca="1">GrahamData!K11</f>
        <v>7.3674893893760585E-2</v>
      </c>
    </row>
    <row r="12" spans="1:12" ht="13.5" thickTop="1">
      <c r="B12" s="501"/>
      <c r="C12" s="501"/>
      <c r="D12" s="501"/>
      <c r="E12" s="501"/>
      <c r="F12" s="501"/>
      <c r="G12" s="501"/>
      <c r="H12" s="501"/>
      <c r="I12" s="501"/>
      <c r="J12" s="501"/>
      <c r="K12" s="501"/>
    </row>
    <row r="13" spans="1:12">
      <c r="A13" s="312"/>
      <c r="B13" s="519" t="str">
        <f ca="1">GrahamData!B13</f>
        <v>2000-2007</v>
      </c>
      <c r="C13" s="519" t="str">
        <f ca="1">GrahamData!C13</f>
        <v>2001-2008</v>
      </c>
      <c r="D13" s="519" t="str">
        <f ca="1">GrahamData!D13</f>
        <v>2002-2009</v>
      </c>
      <c r="E13" s="519" t="str">
        <f ca="1">GrahamData!E13</f>
        <v>2000-2005</v>
      </c>
      <c r="F13" s="519" t="str">
        <f ca="1">GrahamData!F13</f>
        <v>2001-2006</v>
      </c>
      <c r="G13" s="519" t="str">
        <f ca="1">GrahamData!G13</f>
        <v>2002-2007</v>
      </c>
      <c r="H13" s="519" t="str">
        <f ca="1">GrahamData!H13</f>
        <v>2003-2008</v>
      </c>
      <c r="I13" s="519" t="str">
        <f ca="1">GrahamData!I13</f>
        <v>2004-2009</v>
      </c>
      <c r="J13" s="1042" t="str">
        <f ca="1">GrahamData!J13</f>
        <v>Median</v>
      </c>
      <c r="K13" s="1043"/>
    </row>
    <row r="14" spans="1:12" ht="13.5" thickBot="1">
      <c r="A14" s="318" t="s">
        <v>586</v>
      </c>
      <c r="B14" s="520">
        <f ca="1">GrahamData!B14</f>
        <v>0.16544805548213226</v>
      </c>
      <c r="C14" s="520">
        <f ca="1">GrahamData!C14</f>
        <v>6.5221464989552835E-2</v>
      </c>
      <c r="D14" s="520">
        <f ca="1">GrahamData!D14</f>
        <v>0.13201397142067139</v>
      </c>
      <c r="E14" s="520">
        <f ca="1">GrahamData!E14</f>
        <v>0.18312191546907464</v>
      </c>
      <c r="F14" s="520">
        <f ca="1">GrahamData!F14</f>
        <v>6.1858758794934632E-2</v>
      </c>
      <c r="G14" s="520">
        <f ca="1">GrahamData!G14</f>
        <v>0.15879230442490599</v>
      </c>
      <c r="H14" s="520">
        <f ca="1">GrahamData!H14</f>
        <v>7.0644317120605482E-2</v>
      </c>
      <c r="I14" s="520">
        <f ca="1">GrahamData!I14</f>
        <v>7.9362995878642373E-2</v>
      </c>
      <c r="J14" s="1044">
        <f ca="1">GrahamData!J14</f>
        <v>0.10568848364965688</v>
      </c>
      <c r="K14" s="1045"/>
    </row>
    <row r="15" spans="1:12" ht="13.5" thickTop="1"/>
    <row r="16" spans="1:12">
      <c r="A16" s="514"/>
      <c r="B16" s="521">
        <f ca="1">GrahamData!B7</f>
        <v>2000</v>
      </c>
      <c r="C16" s="521">
        <f ca="1">GrahamData!C7</f>
        <v>2001</v>
      </c>
      <c r="D16" s="521">
        <f ca="1">GrahamData!D7</f>
        <v>2002</v>
      </c>
      <c r="E16" s="521">
        <f ca="1">GrahamData!E7</f>
        <v>2003</v>
      </c>
      <c r="F16" s="521">
        <f ca="1">GrahamData!F7</f>
        <v>2004</v>
      </c>
      <c r="G16" s="521">
        <f ca="1">GrahamData!G7</f>
        <v>2005</v>
      </c>
      <c r="H16" s="521">
        <f ca="1">GrahamData!H7</f>
        <v>2006</v>
      </c>
      <c r="I16" s="521">
        <f ca="1">GrahamData!I7</f>
        <v>2007</v>
      </c>
      <c r="J16" s="521">
        <f ca="1">GrahamData!J7</f>
        <v>2008</v>
      </c>
      <c r="K16" s="521">
        <f ca="1">GrahamData!K7</f>
        <v>2009</v>
      </c>
      <c r="L16" s="521" t="str">
        <f ca="1">GrahamData!L7</f>
        <v>TTM</v>
      </c>
    </row>
    <row r="17" spans="1:12">
      <c r="A17" s="515" t="s">
        <v>585</v>
      </c>
      <c r="B17" s="522">
        <f ca="1">GrahamData!B8</f>
        <v>0.88</v>
      </c>
      <c r="C17" s="522">
        <f ca="1">GrahamData!C8</f>
        <v>1.6</v>
      </c>
      <c r="D17" s="522">
        <f ca="1">GrahamData!D8</f>
        <v>1.23</v>
      </c>
      <c r="E17" s="522">
        <f ca="1">GrahamData!E8</f>
        <v>1.77</v>
      </c>
      <c r="F17" s="522">
        <f ca="1">GrahamData!F8</f>
        <v>2</v>
      </c>
      <c r="G17" s="522">
        <f ca="1">GrahamData!G8</f>
        <v>2.04</v>
      </c>
      <c r="H17" s="522">
        <f ca="1">GrahamData!H8</f>
        <v>2.16</v>
      </c>
      <c r="I17" s="522">
        <f ca="1">GrahamData!I8</f>
        <v>2.57</v>
      </c>
      <c r="J17" s="522">
        <f ca="1">GrahamData!J8</f>
        <v>2.4900000000000002</v>
      </c>
      <c r="K17" s="522">
        <f ca="1">GrahamData!K8</f>
        <v>2.93</v>
      </c>
      <c r="L17" s="522">
        <f ca="1">GrahamData!L8</f>
        <v>3.04</v>
      </c>
    </row>
    <row r="18" spans="1:12">
      <c r="A18" s="516"/>
      <c r="B18" s="523" t="str">
        <f ca="1">K16+1&amp;"E"</f>
        <v>2010E</v>
      </c>
      <c r="C18" s="523" t="str">
        <f ca="1">K16+2&amp;"E"</f>
        <v>2011E</v>
      </c>
      <c r="D18" s="512"/>
      <c r="E18" s="512"/>
      <c r="F18" s="512"/>
      <c r="G18" s="512"/>
      <c r="H18" s="512"/>
      <c r="I18" s="512"/>
      <c r="J18" s="512"/>
      <c r="K18" s="512"/>
      <c r="L18" s="524"/>
    </row>
    <row r="19" spans="1:12">
      <c r="A19" s="517" t="s">
        <v>591</v>
      </c>
      <c r="B19" s="540">
        <f ca="1">GrahamData!B17</f>
        <v>2.8558181818181652</v>
      </c>
      <c r="C19" s="540">
        <f ca="1">GrahamData!C17</f>
        <v>3.1333621140516326</v>
      </c>
      <c r="D19" s="366"/>
      <c r="E19" s="366"/>
      <c r="F19" s="366"/>
      <c r="G19" s="366"/>
      <c r="H19" s="366"/>
      <c r="I19" s="366"/>
      <c r="J19" s="366"/>
      <c r="K19" s="366"/>
      <c r="L19" s="312"/>
    </row>
    <row r="20" spans="1:12" ht="13.5" thickBot="1">
      <c r="A20" s="518" t="s">
        <v>592</v>
      </c>
      <c r="B20" s="541">
        <f ca="1">MEDIAN(G17:K17)*(1+$F$3)+GrahamData!$B$20</f>
        <v>2.9295068846237888</v>
      </c>
      <c r="C20" s="541">
        <f ca="1">GrahamData!C18</f>
        <v>3.5081288808049362</v>
      </c>
      <c r="D20" s="513"/>
      <c r="E20" s="513"/>
      <c r="F20" s="513"/>
      <c r="G20" s="513"/>
      <c r="H20" s="513"/>
      <c r="I20" s="513"/>
      <c r="J20" s="513"/>
      <c r="K20" s="513"/>
      <c r="L20" s="326"/>
    </row>
    <row r="21" spans="1:12" ht="13.5" thickTop="1">
      <c r="A21" s="488"/>
      <c r="B21" s="503"/>
      <c r="C21" s="489"/>
      <c r="D21" s="489"/>
      <c r="E21" s="489"/>
      <c r="F21" s="489"/>
      <c r="G21" s="489"/>
      <c r="H21" s="489"/>
      <c r="I21" s="489"/>
      <c r="J21" s="489"/>
      <c r="K21" s="489"/>
    </row>
    <row r="22" spans="1:12" ht="15.75">
      <c r="A22" s="1046" t="s">
        <v>761</v>
      </c>
      <c r="B22" s="1046"/>
      <c r="C22" s="321"/>
      <c r="E22" s="490"/>
      <c r="F22" s="490"/>
      <c r="G22" s="490"/>
    </row>
    <row r="23" spans="1:12">
      <c r="A23" s="312" t="s">
        <v>89</v>
      </c>
      <c r="B23" s="528">
        <f ca="1">IF(ISBLANK(user_eps),H3,user_eps)</f>
        <v>2.8558181818181652</v>
      </c>
      <c r="E23" s="491"/>
      <c r="F23" s="491"/>
      <c r="G23" s="492"/>
    </row>
    <row r="24" spans="1:12">
      <c r="A24" s="315" t="s">
        <v>314</v>
      </c>
      <c r="B24" s="529">
        <f ca="1">IF(ISBLANK(user_graham_growth),F3,user_graham_growth)</f>
        <v>9.7185434983388275E-2</v>
      </c>
      <c r="E24" s="493"/>
      <c r="F24" s="493"/>
      <c r="G24" s="494"/>
    </row>
    <row r="25" spans="1:12">
      <c r="A25" s="312" t="s">
        <v>595</v>
      </c>
      <c r="B25" s="525">
        <f>I3</f>
        <v>4.93</v>
      </c>
      <c r="E25" s="493"/>
      <c r="F25" s="493"/>
      <c r="G25" s="495"/>
      <c r="I25" s="496"/>
    </row>
    <row r="26" spans="1:12">
      <c r="A26" s="315" t="s">
        <v>10</v>
      </c>
      <c r="B26" s="530">
        <f ca="1">(B23*(7+1.5*B24*100)*4.4)/B25</f>
        <v>54.997605532269375</v>
      </c>
      <c r="E26" s="493"/>
      <c r="F26" s="493"/>
      <c r="G26" s="495"/>
    </row>
    <row r="27" spans="1:12">
      <c r="A27" s="312" t="s">
        <v>61</v>
      </c>
      <c r="B27" s="526">
        <f>E3</f>
        <v>0.66</v>
      </c>
      <c r="E27" s="493"/>
      <c r="F27" s="493"/>
      <c r="G27" s="497"/>
    </row>
    <row r="28" spans="1:12">
      <c r="A28" s="315" t="s">
        <v>11</v>
      </c>
      <c r="B28" s="531">
        <f ca="1">B26*(1-B27)</f>
        <v>18.699185880971587</v>
      </c>
      <c r="E28" s="493"/>
      <c r="F28" s="493"/>
      <c r="G28" s="497"/>
    </row>
    <row r="29" spans="1:12">
      <c r="A29" s="312" t="s">
        <v>4</v>
      </c>
      <c r="B29" s="527">
        <f ca="1">D7</f>
        <v>52.4</v>
      </c>
      <c r="E29" s="493"/>
      <c r="F29" s="493"/>
      <c r="G29" s="497"/>
    </row>
    <row r="30" spans="1:12" ht="13.5" thickBot="1">
      <c r="A30" s="318" t="s">
        <v>12</v>
      </c>
      <c r="B30" s="532">
        <f ca="1">IF(B26&gt;0,1-(B29/B26),(B29/B26)-1)</f>
        <v>4.7231247744872307E-2</v>
      </c>
      <c r="E30" s="423"/>
      <c r="F30" s="423"/>
      <c r="G30" s="423"/>
    </row>
    <row r="31" spans="1:12" ht="13.5" thickTop="1"/>
    <row r="36" spans="2:3">
      <c r="B36" s="878"/>
      <c r="C36" s="496"/>
    </row>
  </sheetData>
  <mergeCells count="9">
    <mergeCell ref="J13:K13"/>
    <mergeCell ref="J14:K14"/>
    <mergeCell ref="A22:B22"/>
    <mergeCell ref="J1:K1"/>
    <mergeCell ref="J2:K2"/>
    <mergeCell ref="E3:E4"/>
    <mergeCell ref="D3:D4"/>
    <mergeCell ref="G3:G4"/>
    <mergeCell ref="A2:B2"/>
  </mergeCells>
  <phoneticPr fontId="8" type="noConversion"/>
  <conditionalFormatting sqref="E7">
    <cfRule type="expression" dxfId="76" priority="4" stopIfTrue="1">
      <formula>$E$7&gt;$D$7</formula>
    </cfRule>
    <cfRule type="expression" dxfId="75" priority="5" stopIfTrue="1">
      <formula>$E$7&lt;=$D$7</formula>
    </cfRule>
  </conditionalFormatting>
  <conditionalFormatting sqref="G7">
    <cfRule type="expression" dxfId="74" priority="2" stopIfTrue="1">
      <formula>$G$7&lt;$E$3</formula>
    </cfRule>
    <cfRule type="expression" dxfId="73" priority="3" stopIfTrue="1">
      <formula>$G$7&gt;=$E$3</formula>
    </cfRule>
  </conditionalFormatting>
  <conditionalFormatting sqref="C3">
    <cfRule type="cellIs" dxfId="72" priority="1" stopIfTrue="1" operator="equal">
      <formula>"Check Shares"</formula>
    </cfRule>
  </conditionalFormatting>
  <dataValidations disablePrompts="1" count="4">
    <dataValidation type="list" allowBlank="1" showInputMessage="1" showErrorMessage="1" sqref="I3">
      <formula1>list_bonds</formula1>
    </dataValidation>
    <dataValidation type="list" allowBlank="1" showInputMessage="1" showErrorMessage="1" sqref="F3">
      <formula1>list_graham_growth</formula1>
    </dataValidation>
    <dataValidation type="list" allowBlank="1" showInputMessage="1" showErrorMessage="1" sqref="E3">
      <formula1>list_mos</formula1>
    </dataValidation>
    <dataValidation type="list" allowBlank="1" showInputMessage="1" showErrorMessage="1" sqref="G3">
      <formula1>list_projection</formula1>
    </dataValidation>
  </dataValidations>
  <pageMargins left="0.7" right="0.7" top="0.75" bottom="0.75" header="0.3" footer="0.3"/>
  <pageSetup scale="79" orientation="landscape" r:id="rId1"/>
  <drawing r:id="rId2"/>
  <legacyDrawing r:id="rId3"/>
</worksheet>
</file>

<file path=xl/worksheets/sheet8.xml><?xml version="1.0" encoding="utf-8"?>
<worksheet xmlns="http://schemas.openxmlformats.org/spreadsheetml/2006/main" xmlns:r="http://schemas.openxmlformats.org/officeDocument/2006/relationships">
  <sheetPr codeName="Sheet21"/>
  <dimension ref="A7:M30"/>
  <sheetViews>
    <sheetView topLeftCell="A4" zoomScale="75" zoomScaleNormal="75" workbookViewId="0">
      <selection activeCell="J14" sqref="J14"/>
    </sheetView>
  </sheetViews>
  <sheetFormatPr defaultRowHeight="12.75"/>
  <cols>
    <col min="1" max="1" width="33.28515625" style="173" bestFit="1" customWidth="1"/>
    <col min="2" max="7" width="9.28515625" style="173" bestFit="1" customWidth="1"/>
    <col min="8" max="8" width="11.28515625" style="173" bestFit="1" customWidth="1"/>
    <col min="9" max="9" width="9.28515625" style="173" bestFit="1" customWidth="1"/>
    <col min="10" max="10" width="9.7109375" style="173" bestFit="1" customWidth="1"/>
    <col min="11" max="13" width="9.28515625" style="173" bestFit="1" customWidth="1"/>
    <col min="14" max="16384" width="9.140625" style="173"/>
  </cols>
  <sheetData>
    <row r="7" spans="1:12">
      <c r="A7" s="499" t="s">
        <v>565</v>
      </c>
      <c r="B7" s="500">
        <f ca="1">DCFData!B13</f>
        <v>2000</v>
      </c>
      <c r="C7" s="500">
        <f ca="1">B7+1</f>
        <v>2001</v>
      </c>
      <c r="D7" s="500">
        <f t="shared" ref="D7:I7" ca="1" si="0">C7+1</f>
        <v>2002</v>
      </c>
      <c r="E7" s="500">
        <f t="shared" ca="1" si="0"/>
        <v>2003</v>
      </c>
      <c r="F7" s="500">
        <f t="shared" ca="1" si="0"/>
        <v>2004</v>
      </c>
      <c r="G7" s="500">
        <f t="shared" ca="1" si="0"/>
        <v>2005</v>
      </c>
      <c r="H7" s="500">
        <f t="shared" ca="1" si="0"/>
        <v>2006</v>
      </c>
      <c r="I7" s="500">
        <f t="shared" ca="1" si="0"/>
        <v>2007</v>
      </c>
      <c r="J7" s="500">
        <f ca="1">I7+1</f>
        <v>2008</v>
      </c>
      <c r="K7" s="500">
        <f ca="1">J7+1</f>
        <v>2009</v>
      </c>
      <c r="L7" s="500" t="s">
        <v>98</v>
      </c>
    </row>
    <row r="8" spans="1:12">
      <c r="A8" s="173" t="s">
        <v>539</v>
      </c>
      <c r="B8" s="496">
        <f ca="1">DCFData!B23</f>
        <v>0.88</v>
      </c>
      <c r="C8" s="496">
        <f ca="1">DCFData!C23</f>
        <v>1.6</v>
      </c>
      <c r="D8" s="496">
        <f ca="1">DCFData!D23</f>
        <v>1.23</v>
      </c>
      <c r="E8" s="496">
        <f ca="1">DCFData!E23</f>
        <v>1.77</v>
      </c>
      <c r="F8" s="496">
        <f ca="1">DCFData!F23</f>
        <v>2</v>
      </c>
      <c r="G8" s="496">
        <f ca="1">DCFData!G23</f>
        <v>2.04</v>
      </c>
      <c r="H8" s="496">
        <f ca="1">DCFData!H23</f>
        <v>2.16</v>
      </c>
      <c r="I8" s="496">
        <f ca="1">DCFData!I23</f>
        <v>2.57</v>
      </c>
      <c r="J8" s="496">
        <f ca="1">DCFData!J23</f>
        <v>2.4900000000000002</v>
      </c>
      <c r="K8" s="496">
        <f ca="1">DCFData!K23</f>
        <v>2.93</v>
      </c>
      <c r="L8" s="496">
        <f ca="1">DCFData!L23</f>
        <v>3.04</v>
      </c>
    </row>
    <row r="10" spans="1:12">
      <c r="A10" s="498" t="str">
        <f ca="1">DCFData!A61</f>
        <v>5yr Multi Year Performance</v>
      </c>
      <c r="B10" s="498" t="str">
        <f ca="1">DCFData!B61</f>
        <v>2004-2008</v>
      </c>
      <c r="C10" s="498" t="str">
        <f ca="1">DCFData!C61</f>
        <v>2005-2009</v>
      </c>
      <c r="D10" s="498" t="str">
        <f ca="1">DCFData!D61</f>
        <v>2004-2007</v>
      </c>
      <c r="E10" s="498" t="str">
        <f ca="1">DCFData!E61</f>
        <v>2005-2008</v>
      </c>
      <c r="F10" s="498" t="str">
        <f ca="1">DCFData!F61</f>
        <v>2006-2009</v>
      </c>
      <c r="G10" s="498" t="str">
        <f ca="1">DCFData!G61</f>
        <v>2004-2006</v>
      </c>
      <c r="H10" s="498" t="str">
        <f ca="1">DCFData!H61</f>
        <v>2005-2007</v>
      </c>
      <c r="I10" s="498" t="str">
        <f ca="1">DCFData!I61</f>
        <v>2006-2008</v>
      </c>
      <c r="J10" s="498" t="str">
        <f ca="1">DCFData!J61</f>
        <v>2007-2009</v>
      </c>
      <c r="K10" s="498" t="str">
        <f ca="1">DCFData!K61</f>
        <v>Median</v>
      </c>
    </row>
    <row r="11" spans="1:12">
      <c r="A11" s="173" t="str">
        <f ca="1">DCFData!A72</f>
        <v>Earnings Growth</v>
      </c>
      <c r="B11" s="501">
        <f ca="1">DCFData!B72</f>
        <v>5.6312302409221138E-2</v>
      </c>
      <c r="C11" s="501">
        <f ca="1">DCFData!C72</f>
        <v>9.4735907476689585E-2</v>
      </c>
      <c r="D11" s="501">
        <f ca="1">DCFData!D72</f>
        <v>8.7178968965500925E-2</v>
      </c>
      <c r="E11" s="501">
        <f ca="1">DCFData!E72</f>
        <v>6.8701436680861372E-2</v>
      </c>
      <c r="F11" s="501">
        <f ca="1">DCFData!F72</f>
        <v>0.10697536589070156</v>
      </c>
      <c r="G11" s="501">
        <f ca="1">DCFData!G72</f>
        <v>3.9230484541326494E-2</v>
      </c>
      <c r="H11" s="501">
        <f ca="1">DCFData!H72</f>
        <v>0.12240987235885781</v>
      </c>
      <c r="I11" s="501">
        <f ca="1">DCFData!I72</f>
        <v>7.3674893893760585E-2</v>
      </c>
      <c r="J11" s="501">
        <f ca="1">DCFData!J72</f>
        <v>6.7744267608903286E-2</v>
      </c>
      <c r="K11" s="501">
        <f ca="1">DCFData!K72</f>
        <v>7.3674893893760585E-2</v>
      </c>
    </row>
    <row r="13" spans="1:12">
      <c r="A13" s="498" t="str">
        <f ca="1">DCFData!A75</f>
        <v>10yr Multi Year Performance</v>
      </c>
      <c r="B13" s="498" t="str">
        <f ca="1">DCFData!B75</f>
        <v>2000-2007</v>
      </c>
      <c r="C13" s="498" t="str">
        <f ca="1">DCFData!C75</f>
        <v>2001-2008</v>
      </c>
      <c r="D13" s="498" t="str">
        <f ca="1">DCFData!D75</f>
        <v>2002-2009</v>
      </c>
      <c r="E13" s="498" t="str">
        <f ca="1">DCFData!E75</f>
        <v>2000-2005</v>
      </c>
      <c r="F13" s="498" t="str">
        <f ca="1">DCFData!F75</f>
        <v>2001-2006</v>
      </c>
      <c r="G13" s="498" t="str">
        <f ca="1">DCFData!G75</f>
        <v>2002-2007</v>
      </c>
      <c r="H13" s="498" t="str">
        <f ca="1">DCFData!H75</f>
        <v>2003-2008</v>
      </c>
      <c r="I13" s="498" t="str">
        <f ca="1">DCFData!I75</f>
        <v>2004-2009</v>
      </c>
      <c r="J13" s="498" t="str">
        <f ca="1">DCFData!J75</f>
        <v>Median</v>
      </c>
    </row>
    <row r="14" spans="1:12">
      <c r="A14" s="173" t="str">
        <f ca="1">DCFData!A86</f>
        <v>Earnings Growth</v>
      </c>
      <c r="B14" s="501">
        <f ca="1">DCFData!B86</f>
        <v>0.16544805548213226</v>
      </c>
      <c r="C14" s="501">
        <f ca="1">DCFData!C86</f>
        <v>6.5221464989552835E-2</v>
      </c>
      <c r="D14" s="501">
        <f ca="1">DCFData!D86</f>
        <v>0.13201397142067139</v>
      </c>
      <c r="E14" s="501">
        <f ca="1">DCFData!E86</f>
        <v>0.18312191546907464</v>
      </c>
      <c r="F14" s="501">
        <f ca="1">DCFData!F86</f>
        <v>6.1858758794934632E-2</v>
      </c>
      <c r="G14" s="501">
        <f ca="1">DCFData!G86</f>
        <v>0.15879230442490599</v>
      </c>
      <c r="H14" s="501">
        <f ca="1">DCFData!H86</f>
        <v>7.0644317120605482E-2</v>
      </c>
      <c r="I14" s="501">
        <f ca="1">DCFData!I86</f>
        <v>7.9362995878642373E-2</v>
      </c>
      <c r="J14" s="501">
        <f ca="1">DCFData!J86</f>
        <v>0.10568848364965688</v>
      </c>
    </row>
    <row r="16" spans="1:12">
      <c r="A16" s="498" t="s">
        <v>601</v>
      </c>
      <c r="B16" s="498" t="str">
        <f ca="1">K7+1&amp;"E"</f>
        <v>2010E</v>
      </c>
      <c r="C16" s="498" t="str">
        <f ca="1">K7+2&amp;"E"</f>
        <v>2011E</v>
      </c>
    </row>
    <row r="17" spans="1:13">
      <c r="A17" t="s">
        <v>599</v>
      </c>
      <c r="B17" s="535">
        <f ca="1">FORECAST($K$7,$B$8:$K$8,$B$7:$K$7)</f>
        <v>2.8558181818181652</v>
      </c>
      <c r="C17" s="534">
        <f ca="1">B17*(1+B19)</f>
        <v>3.1333621140516326</v>
      </c>
    </row>
    <row r="18" spans="1:13">
      <c r="A18" t="s">
        <v>598</v>
      </c>
      <c r="B18" s="536">
        <f ca="1">MEDIAN(G8:K8)*(1+B19)+B20</f>
        <v>2.9295068846237888</v>
      </c>
      <c r="C18" s="534">
        <f ca="1">B18*(1+B20)</f>
        <v>3.5081288808049362</v>
      </c>
    </row>
    <row r="19" spans="1:13">
      <c r="A19" t="s">
        <v>86</v>
      </c>
      <c r="B19" s="130">
        <f ca="1">'Graham Valuation'!B24</f>
        <v>9.7185434983388275E-2</v>
      </c>
    </row>
    <row r="20" spans="1:13">
      <c r="A20" s="537" t="s">
        <v>588</v>
      </c>
      <c r="B20" s="538">
        <f ca="1">LINEST(B8:K8,B7:K7)</f>
        <v>0.19751515151515156</v>
      </c>
    </row>
    <row r="21" spans="1:13">
      <c r="A21" s="537" t="s">
        <v>589</v>
      </c>
      <c r="B21" s="538">
        <f ca="1">SLOPE($B$8:$K$8,$B$7:$K$7)</f>
        <v>0.19751515151515153</v>
      </c>
    </row>
    <row r="22" spans="1:13">
      <c r="A22" s="537" t="s">
        <v>590</v>
      </c>
      <c r="B22" s="539">
        <f ca="1">RSQ(B7:K7,B8:K8)</f>
        <v>0.91789305698403645</v>
      </c>
      <c r="C22" s="496"/>
    </row>
    <row r="23" spans="1:13">
      <c r="B23" s="539"/>
      <c r="C23" s="496"/>
    </row>
    <row r="24" spans="1:13">
      <c r="A24" s="498" t="s">
        <v>602</v>
      </c>
      <c r="B24" s="498"/>
      <c r="C24" s="498"/>
    </row>
    <row r="25" spans="1:13">
      <c r="A25" s="173" t="s">
        <v>600</v>
      </c>
      <c r="B25" s="496">
        <f ca="1">'Graham Valuation'!B23</f>
        <v>2.8558181818181652</v>
      </c>
      <c r="C25" s="534">
        <f ca="1">B25*(1+B19)</f>
        <v>3.1333621140516326</v>
      </c>
    </row>
    <row r="26" spans="1:13">
      <c r="B26" s="496"/>
    </row>
    <row r="27" spans="1:13">
      <c r="B27" s="496"/>
    </row>
    <row r="28" spans="1:13">
      <c r="A28" s="33" t="s">
        <v>607</v>
      </c>
      <c r="B28" s="33">
        <f ca="1">B7</f>
        <v>2000</v>
      </c>
      <c r="C28" s="33">
        <f t="shared" ref="C28:K28" ca="1" si="1">C7</f>
        <v>2001</v>
      </c>
      <c r="D28" s="33">
        <f t="shared" ca="1" si="1"/>
        <v>2002</v>
      </c>
      <c r="E28" s="33">
        <f t="shared" ca="1" si="1"/>
        <v>2003</v>
      </c>
      <c r="F28" s="33">
        <f t="shared" ca="1" si="1"/>
        <v>2004</v>
      </c>
      <c r="G28" s="33">
        <f t="shared" ca="1" si="1"/>
        <v>2005</v>
      </c>
      <c r="H28" s="33">
        <f t="shared" ca="1" si="1"/>
        <v>2006</v>
      </c>
      <c r="I28" s="33">
        <f t="shared" ca="1" si="1"/>
        <v>2007</v>
      </c>
      <c r="J28" s="33">
        <f t="shared" ca="1" si="1"/>
        <v>2008</v>
      </c>
      <c r="K28" s="33">
        <f t="shared" ca="1" si="1"/>
        <v>2009</v>
      </c>
      <c r="L28" s="33" t="str">
        <f ca="1">B16</f>
        <v>2010E</v>
      </c>
      <c r="M28" s="33" t="str">
        <f ca="1">C16</f>
        <v>2011E</v>
      </c>
    </row>
    <row r="29" spans="1:13">
      <c r="B29" s="496">
        <f ca="1">B8</f>
        <v>0.88</v>
      </c>
      <c r="C29" s="496">
        <f t="shared" ref="C29:K29" ca="1" si="2">C8</f>
        <v>1.6</v>
      </c>
      <c r="D29" s="496">
        <f t="shared" ca="1" si="2"/>
        <v>1.23</v>
      </c>
      <c r="E29" s="496">
        <f t="shared" ca="1" si="2"/>
        <v>1.77</v>
      </c>
      <c r="F29" s="496">
        <f t="shared" ca="1" si="2"/>
        <v>2</v>
      </c>
      <c r="G29" s="496">
        <f t="shared" ca="1" si="2"/>
        <v>2.04</v>
      </c>
      <c r="H29" s="496">
        <f t="shared" ca="1" si="2"/>
        <v>2.16</v>
      </c>
      <c r="I29" s="496">
        <f t="shared" ca="1" si="2"/>
        <v>2.57</v>
      </c>
      <c r="J29" s="496">
        <f t="shared" ca="1" si="2"/>
        <v>2.4900000000000002</v>
      </c>
      <c r="K29" s="496">
        <f t="shared" ca="1" si="2"/>
        <v>2.93</v>
      </c>
      <c r="L29" s="496">
        <f ca="1">B25</f>
        <v>2.8558181818181652</v>
      </c>
      <c r="M29" s="502">
        <f ca="1">C25</f>
        <v>3.1333621140516326</v>
      </c>
    </row>
    <row r="30" spans="1:13">
      <c r="B30" s="496"/>
      <c r="C30" s="496"/>
      <c r="D30" s="496"/>
      <c r="E30" s="496"/>
      <c r="F30" s="496"/>
      <c r="G30" s="496"/>
      <c r="H30" s="496"/>
      <c r="I30" s="496"/>
      <c r="J30" s="496"/>
      <c r="K30" s="496"/>
      <c r="L30" s="502"/>
      <c r="M30" s="502"/>
    </row>
  </sheetData>
  <pageMargins left="0.7" right="0.7" top="0.75" bottom="0.75" header="0.3" footer="0.3"/>
  <pageSetup orientation="portrait" horizontalDpi="0" verticalDpi="0" r:id="rId1"/>
  <legacyDrawing r:id="rId2"/>
</worksheet>
</file>

<file path=xl/worksheets/sheet9.xml><?xml version="1.0" encoding="utf-8"?>
<worksheet xmlns="http://schemas.openxmlformats.org/spreadsheetml/2006/main" xmlns:r="http://schemas.openxmlformats.org/officeDocument/2006/relationships">
  <sheetPr codeName="Sheet26">
    <pageSetUpPr fitToPage="1"/>
  </sheetPr>
  <dimension ref="A2:K70"/>
  <sheetViews>
    <sheetView showGridLines="0" zoomScale="75" zoomScaleNormal="75" zoomScaleSheetLayoutView="85" workbookViewId="0">
      <pane ySplit="7" topLeftCell="A35" activePane="bottomLeft" state="frozen"/>
      <selection activeCell="L121" sqref="L121"/>
      <selection pane="bottomLeft" activeCell="F45" sqref="F45"/>
    </sheetView>
  </sheetViews>
  <sheetFormatPr defaultColWidth="0" defaultRowHeight="12.75"/>
  <cols>
    <col min="1" max="1" width="35.140625" style="173" bestFit="1" customWidth="1"/>
    <col min="2" max="2" width="11.28515625" style="173" customWidth="1"/>
    <col min="3" max="3" width="10" style="173" customWidth="1"/>
    <col min="4" max="4" width="11.140625" style="173" customWidth="1"/>
    <col min="5" max="5" width="14.42578125" style="173" customWidth="1"/>
    <col min="6" max="6" width="12.5703125" style="173" customWidth="1"/>
    <col min="7" max="7" width="28.28515625" style="173" customWidth="1"/>
    <col min="8" max="8" width="14.140625" style="173" customWidth="1"/>
    <col min="9" max="9" width="11.42578125" style="173" customWidth="1"/>
    <col min="10" max="10" width="14.5703125" style="173" customWidth="1"/>
    <col min="11" max="11" width="14.28515625" style="173" customWidth="1"/>
    <col min="12" max="12" width="9.140625" style="173" customWidth="1"/>
    <col min="13" max="16384" width="0" style="173" hidden="1"/>
  </cols>
  <sheetData>
    <row r="2" spans="1:11" ht="20.25">
      <c r="A2" s="301" t="str">
        <f ca="1">Statements!$A$2</f>
        <v>Coca-Cola Co</v>
      </c>
      <c r="E2" s="418" t="s">
        <v>547</v>
      </c>
      <c r="F2" s="418" t="s">
        <v>737</v>
      </c>
      <c r="G2" s="418" t="s">
        <v>370</v>
      </c>
      <c r="H2" s="791" t="s">
        <v>426</v>
      </c>
      <c r="I2" s="418" t="s">
        <v>740</v>
      </c>
      <c r="J2" s="510" t="s">
        <v>755</v>
      </c>
    </row>
    <row r="3" spans="1:11" ht="25.5">
      <c r="A3" s="304" t="str">
        <f ca="1">Statements!$A$3</f>
        <v>(KO)</v>
      </c>
      <c r="D3" s="466" t="str">
        <f ca="1">DCFData!$B$10</f>
        <v>Check Shares</v>
      </c>
      <c r="E3" s="907">
        <f ca="1">'DCF Valuation'!$D$3</f>
        <v>2310</v>
      </c>
      <c r="F3" s="790" t="s">
        <v>429</v>
      </c>
      <c r="G3" s="787">
        <f ca="1">IF(ISBLANK(G4),H13,G4)</f>
        <v>6965.2766018030352</v>
      </c>
      <c r="H3" s="1028">
        <v>0.12</v>
      </c>
      <c r="I3" s="1055">
        <v>4</v>
      </c>
      <c r="J3" s="786">
        <v>0.1</v>
      </c>
    </row>
    <row r="4" spans="1:11" ht="15">
      <c r="A4" s="475">
        <f ca="1">Statements!$A$4</f>
        <v>40369</v>
      </c>
      <c r="D4" s="784"/>
      <c r="E4" s="784"/>
      <c r="F4" s="784"/>
      <c r="G4" s="788"/>
      <c r="H4" s="1029"/>
      <c r="I4" s="1056"/>
      <c r="J4" s="789"/>
    </row>
    <row r="5" spans="1:11" ht="15">
      <c r="A5" s="815" t="s">
        <v>233</v>
      </c>
    </row>
    <row r="6" spans="1:11" ht="15">
      <c r="A6" s="475"/>
      <c r="E6" s="468" t="s">
        <v>4</v>
      </c>
      <c r="F6" s="468" t="s">
        <v>315</v>
      </c>
      <c r="G6" s="468" t="s">
        <v>758</v>
      </c>
      <c r="H6" s="468" t="s">
        <v>773</v>
      </c>
      <c r="I6" s="468" t="s">
        <v>441</v>
      </c>
      <c r="J6" s="468" t="s">
        <v>545</v>
      </c>
      <c r="K6" s="468" t="s">
        <v>549</v>
      </c>
    </row>
    <row r="7" spans="1:11" ht="15.75">
      <c r="A7" s="475"/>
      <c r="D7" s="784"/>
      <c r="E7" s="1002">
        <f ca="1">DCFData!B2</f>
        <v>52.4</v>
      </c>
      <c r="F7" s="785">
        <f ca="1">K31</f>
        <v>19.669048687248942</v>
      </c>
      <c r="G7" s="785">
        <f ca="1">C33</f>
        <v>17.498122999533503</v>
      </c>
      <c r="H7" s="877">
        <f ca="1">IF(F7&gt;0,1-(E7/F7),(E7/F7)-1)</f>
        <v>-1.6640841066182266</v>
      </c>
      <c r="I7" s="785">
        <f ca="1">C30</f>
        <v>-3.2463203463203465</v>
      </c>
      <c r="J7" s="1003">
        <f ca="1">DCFData!B4</f>
        <v>59.45</v>
      </c>
      <c r="K7" s="1003">
        <f ca="1">DCFData!B5</f>
        <v>47.42</v>
      </c>
    </row>
    <row r="9" spans="1:11" ht="15">
      <c r="A9" s="475"/>
    </row>
    <row r="10" spans="1:11" ht="15">
      <c r="A10" s="475"/>
    </row>
    <row r="11" spans="1:11" ht="15.75">
      <c r="A11" s="781" t="s">
        <v>756</v>
      </c>
      <c r="B11" s="780"/>
      <c r="C11" s="780"/>
      <c r="D11" s="780"/>
      <c r="E11" s="780"/>
      <c r="G11" s="781" t="s">
        <v>757</v>
      </c>
      <c r="H11" s="780"/>
      <c r="I11" s="780"/>
      <c r="J11" s="780"/>
      <c r="K11" s="780"/>
    </row>
    <row r="12" spans="1:11" ht="16.5">
      <c r="A12" s="756" t="s">
        <v>747</v>
      </c>
      <c r="B12" s="756"/>
      <c r="G12" s="756" t="s">
        <v>750</v>
      </c>
      <c r="H12" s="756"/>
    </row>
    <row r="13" spans="1:11" ht="15" customHeight="1">
      <c r="A13" s="719" t="s">
        <v>741</v>
      </c>
      <c r="B13" s="735">
        <f ca="1">E3</f>
        <v>2310</v>
      </c>
      <c r="G13" s="517" t="s">
        <v>370</v>
      </c>
      <c r="H13" s="736">
        <f ca="1">MEDIAN(EPVData!C160:G160,EPVData!C164:F164,EPVData!C168:E168,EPVData!C172:D172)</f>
        <v>6965.2766018030352</v>
      </c>
      <c r="I13"/>
      <c r="J13"/>
    </row>
    <row r="14" spans="1:11">
      <c r="A14" s="517" t="s">
        <v>303</v>
      </c>
      <c r="B14" s="736">
        <f ca="1">B60</f>
        <v>47609</v>
      </c>
      <c r="G14" s="719" t="s">
        <v>402</v>
      </c>
      <c r="H14" s="698">
        <f ca="1">AVERAGE(EPVData!C146:G146)</f>
        <v>6555.413913257672</v>
      </c>
      <c r="I14"/>
      <c r="J14"/>
    </row>
    <row r="15" spans="1:11" ht="13.5" thickBot="1">
      <c r="A15" s="719" t="s">
        <v>313</v>
      </c>
      <c r="B15" s="698">
        <f ca="1">E60</f>
        <v>47609</v>
      </c>
      <c r="G15" s="720" t="s">
        <v>371</v>
      </c>
      <c r="H15" s="738">
        <f ca="1">EPVData!L146</f>
        <v>7726.3696284106818</v>
      </c>
      <c r="I15"/>
      <c r="J15"/>
    </row>
    <row r="16" spans="1:11" ht="13.5" thickTop="1">
      <c r="A16" s="517" t="s">
        <v>304</v>
      </c>
      <c r="B16" s="736">
        <f ca="1">K50</f>
        <v>22531</v>
      </c>
      <c r="G16" s="131"/>
      <c r="H16"/>
      <c r="I16"/>
      <c r="J16"/>
    </row>
    <row r="17" spans="1:11" ht="16.5">
      <c r="A17" s="719" t="s">
        <v>305</v>
      </c>
      <c r="B17" s="698">
        <f ca="1">K54</f>
        <v>25078</v>
      </c>
      <c r="G17" s="756" t="s">
        <v>751</v>
      </c>
      <c r="H17" s="756"/>
      <c r="I17"/>
      <c r="J17"/>
    </row>
    <row r="18" spans="1:11">
      <c r="A18" s="517" t="s">
        <v>745</v>
      </c>
      <c r="B18" s="737">
        <f ca="1">AVERAGE(Statements!J15:N15)</f>
        <v>0.38086041074289745</v>
      </c>
      <c r="G18" s="719" t="s">
        <v>388</v>
      </c>
      <c r="H18" s="747">
        <f>H3</f>
        <v>0.12</v>
      </c>
      <c r="I18"/>
      <c r="J18"/>
    </row>
    <row r="19" spans="1:11">
      <c r="A19" s="719" t="s">
        <v>306</v>
      </c>
      <c r="B19" s="698">
        <f ca="1">B18*EPVData!I58</f>
        <v>11802.864128922392</v>
      </c>
      <c r="G19" s="517" t="s">
        <v>368</v>
      </c>
      <c r="H19" s="736">
        <f ca="1">G3</f>
        <v>6965.2766018030352</v>
      </c>
      <c r="I19"/>
      <c r="J19"/>
    </row>
    <row r="20" spans="1:11" ht="15.75">
      <c r="A20" s="517" t="s">
        <v>307</v>
      </c>
      <c r="B20" s="736">
        <f ca="1">IF(ISNUMBER(I3),SUM(OFFSET(EPVData!F59,0,0,,I3))*0.8,SUM(OFFSET(EPVData!F59,0,0,,3))*0.8)</f>
        <v>0</v>
      </c>
      <c r="C20" s="716"/>
      <c r="G20" s="719" t="s">
        <v>385</v>
      </c>
      <c r="H20" s="698">
        <f ca="1">EPVData!I155</f>
        <v>1159.2011056976289</v>
      </c>
    </row>
    <row r="21" spans="1:11">
      <c r="A21" s="719" t="s">
        <v>308</v>
      </c>
      <c r="B21" s="698">
        <f ca="1">EPVData!J58*1%</f>
        <v>313.45999999999998</v>
      </c>
      <c r="C21" s="174"/>
      <c r="G21" s="517" t="str">
        <f>A22</f>
        <v xml:space="preserve">Interest Bearing Debt  </v>
      </c>
      <c r="H21" s="736">
        <f ca="1">B22</f>
        <v>11635</v>
      </c>
    </row>
    <row r="22" spans="1:11">
      <c r="A22" s="517" t="s">
        <v>309</v>
      </c>
      <c r="B22" s="736">
        <f ca="1">SUM(K41:K42,K45:K46)</f>
        <v>11635</v>
      </c>
      <c r="C22" s="174"/>
      <c r="G22" s="719" t="s">
        <v>367</v>
      </c>
      <c r="H22" s="698">
        <f ca="1">1%*EPVData!L124</f>
        <v>313.45999999999998</v>
      </c>
    </row>
    <row r="23" spans="1:11">
      <c r="A23" s="719" t="s">
        <v>310</v>
      </c>
      <c r="B23" s="698">
        <f ca="1">SUM(K38:K40,K43,K47:K49)</f>
        <v>10611</v>
      </c>
      <c r="C23" s="174"/>
      <c r="G23" s="517" t="s">
        <v>383</v>
      </c>
      <c r="H23" s="736">
        <f ca="1">E38+E39</f>
        <v>9000</v>
      </c>
    </row>
    <row r="24" spans="1:11" ht="13.5" thickBot="1">
      <c r="A24" s="720" t="s">
        <v>311</v>
      </c>
      <c r="B24" s="738">
        <f ca="1">(E38+E39)-2%*EPVData!I58</f>
        <v>8380.2000000000007</v>
      </c>
      <c r="C24" s="174"/>
      <c r="G24" s="719" t="s">
        <v>386</v>
      </c>
      <c r="H24" s="698">
        <f ca="1">(H23-H22)-H21</f>
        <v>-2948.4599999999991</v>
      </c>
    </row>
    <row r="25" spans="1:11" ht="14.25" thickTop="1" thickBot="1">
      <c r="C25" s="174"/>
      <c r="G25" s="783" t="s">
        <v>23</v>
      </c>
      <c r="H25" s="782">
        <f ca="1">E3</f>
        <v>2310</v>
      </c>
    </row>
    <row r="26" spans="1:11" ht="17.25" thickTop="1">
      <c r="A26" s="756" t="s">
        <v>748</v>
      </c>
      <c r="B26" s="756"/>
      <c r="C26" s="756"/>
    </row>
    <row r="27" spans="1:11" ht="16.5">
      <c r="A27" s="429"/>
      <c r="B27" s="743" t="s">
        <v>295</v>
      </c>
      <c r="C27" s="743" t="s">
        <v>296</v>
      </c>
      <c r="G27" s="756" t="s">
        <v>754</v>
      </c>
    </row>
    <row r="28" spans="1:11">
      <c r="A28" s="734" t="s">
        <v>300</v>
      </c>
      <c r="B28" s="739">
        <f ca="1">(B14-B55-B16)</f>
        <v>12763</v>
      </c>
      <c r="C28" s="740">
        <f ca="1">B28/B13</f>
        <v>5.5251082251082249</v>
      </c>
      <c r="G28" s="757" t="s">
        <v>387</v>
      </c>
      <c r="H28" s="759" t="s">
        <v>315</v>
      </c>
      <c r="I28" s="759" t="s">
        <v>296</v>
      </c>
      <c r="J28" s="759" t="s">
        <v>752</v>
      </c>
      <c r="K28" s="759" t="s">
        <v>296</v>
      </c>
    </row>
    <row r="29" spans="1:11">
      <c r="A29" s="774" t="s">
        <v>312</v>
      </c>
      <c r="B29" s="775">
        <f ca="1">B15-B16</f>
        <v>25078</v>
      </c>
      <c r="C29" s="522">
        <f ca="1">B29/$B$13</f>
        <v>10.856277056277056</v>
      </c>
      <c r="G29" s="758">
        <f>H18-4%</f>
        <v>7.9999999999999988E-2</v>
      </c>
      <c r="H29" s="707">
        <f ca="1">IF($H$20&lt;0,$H$19/G29,($H$19-$H$20)/G29)</f>
        <v>72575.943701317592</v>
      </c>
      <c r="I29" s="760">
        <f ca="1">H29/$H$25</f>
        <v>31.418157446457833</v>
      </c>
      <c r="J29" s="761">
        <f ca="1">H29+$H$24</f>
        <v>69627.4837013176</v>
      </c>
      <c r="K29" s="760">
        <f ca="1">J29/$H$25</f>
        <v>30.141767836068226</v>
      </c>
    </row>
    <row r="30" spans="1:11">
      <c r="A30" s="690" t="s">
        <v>441</v>
      </c>
      <c r="B30" s="741">
        <f ca="1">(E38+E39+E42+E48-B16)</f>
        <v>-7499</v>
      </c>
      <c r="C30" s="742">
        <f ca="1">B30/$B$13</f>
        <v>-3.2463203463203465</v>
      </c>
      <c r="G30" s="766">
        <f>H18-2%</f>
        <v>9.9999999999999992E-2</v>
      </c>
      <c r="H30" s="767">
        <f ca="1">IF($H$20&lt;0,$H$19/G30,($H$19-$H$20)/G30)</f>
        <v>58060.754961054066</v>
      </c>
      <c r="I30" s="768">
        <f ca="1">H30/$H$25</f>
        <v>25.134525957166261</v>
      </c>
      <c r="J30" s="769">
        <f ca="1">H30+$H$24</f>
        <v>55112.294961054067</v>
      </c>
      <c r="K30" s="768">
        <f ca="1">J30/$H$25</f>
        <v>23.858136346776654</v>
      </c>
    </row>
    <row r="31" spans="1:11" ht="15">
      <c r="A31" s="774" t="s">
        <v>301</v>
      </c>
      <c r="B31" s="775">
        <f ca="1">B15+B19+B20</f>
        <v>59411.864128922389</v>
      </c>
      <c r="C31" s="522">
        <f ca="1">B31/B13</f>
        <v>25.719421700832203</v>
      </c>
      <c r="G31" s="750">
        <f>H18</f>
        <v>0.12</v>
      </c>
      <c r="H31" s="751">
        <f ca="1">IF($H$20&lt;0,$H$19/G31,($H$19-$H$20)/G31)</f>
        <v>48383.962467545054</v>
      </c>
      <c r="I31" s="752">
        <f ca="1">H31/$H$25</f>
        <v>20.945438297638553</v>
      </c>
      <c r="J31" s="753">
        <f ca="1">H31+$H$24</f>
        <v>45435.502467545055</v>
      </c>
      <c r="K31" s="754">
        <f ca="1">J31/$H$25</f>
        <v>19.669048687248942</v>
      </c>
    </row>
    <row r="32" spans="1:11">
      <c r="A32" s="721" t="s">
        <v>425</v>
      </c>
      <c r="B32" s="741">
        <f ca="1">B31-B16</f>
        <v>36880.864128922389</v>
      </c>
      <c r="C32" s="742">
        <f ca="1">B32/B13</f>
        <v>15.965742047152549</v>
      </c>
      <c r="G32" s="770">
        <f>H18+2%</f>
        <v>0.13999999999999999</v>
      </c>
      <c r="H32" s="771">
        <f ca="1">IF($H$20&lt;0,$H$19/G32,($H$19-$H$20)/G32)</f>
        <v>41471.967829324334</v>
      </c>
      <c r="I32" s="772">
        <f ca="1">H32/$H$25</f>
        <v>17.953232826547332</v>
      </c>
      <c r="J32" s="773">
        <f ca="1">H32+$H$24</f>
        <v>38523.507829324335</v>
      </c>
      <c r="K32" s="772">
        <f ca="1">J32/$H$25</f>
        <v>16.676843216157721</v>
      </c>
    </row>
    <row r="33" spans="1:11" ht="13.5" thickBot="1">
      <c r="A33" s="776" t="s">
        <v>302</v>
      </c>
      <c r="B33" s="777">
        <f ca="1">B31-B23-B24</f>
        <v>40420.664128922392</v>
      </c>
      <c r="C33" s="778">
        <f ca="1">B33/B13</f>
        <v>17.498122999533503</v>
      </c>
      <c r="G33" s="762">
        <f>H18+4%</f>
        <v>0.16</v>
      </c>
      <c r="H33" s="763">
        <f ca="1">IF($H$20&lt;0,$H$19/G33,($H$19-$H$20)/G33)</f>
        <v>36287.971850658789</v>
      </c>
      <c r="I33" s="764">
        <f ca="1">H33/$H$25</f>
        <v>15.709078723228913</v>
      </c>
      <c r="J33" s="765">
        <f ca="1">H33+$H$24</f>
        <v>33339.51185065879</v>
      </c>
      <c r="K33" s="764">
        <f ca="1">J33/$H$25</f>
        <v>14.432689112839302</v>
      </c>
    </row>
    <row r="34" spans="1:11" ht="15.75" thickTop="1">
      <c r="A34" s="475"/>
    </row>
    <row r="36" spans="1:11">
      <c r="A36" s="792" t="s">
        <v>266</v>
      </c>
      <c r="B36" s="793" t="str">
        <f ca="1">[1]!RCHGetTableCell("http://moneycentral.msn.com/investor/invsub/results/statemnt.aspx?lstStatement=Income&amp;stmtView=Qtr&amp;Symbol="&amp;Ticker, 2,"per share items",,,1)</f>
        <v>2010 Q1</v>
      </c>
      <c r="C36" s="794" t="s">
        <v>282</v>
      </c>
      <c r="D36" s="795"/>
      <c r="E36" s="796">
        <f ca="1">DATEVALUE([1]!RCHGetTableCell("http://moneycentral.msn.com/investor/invsub/results/statemnt.aspx?lstStatement=Income&amp;stmtView=Qtr&amp;Symbol="&amp;Ticker, 1,"Stmt Source Date"))</f>
        <v>40297</v>
      </c>
    </row>
    <row r="37" spans="1:11" ht="30" customHeight="1">
      <c r="A37" s="779" t="s">
        <v>759</v>
      </c>
      <c r="B37" s="683" t="s">
        <v>264</v>
      </c>
      <c r="C37" s="706" t="s">
        <v>739</v>
      </c>
      <c r="D37" s="683" t="s">
        <v>389</v>
      </c>
      <c r="E37" s="685" t="s">
        <v>265</v>
      </c>
      <c r="G37" s="779" t="s">
        <v>760</v>
      </c>
      <c r="H37" s="683" t="s">
        <v>264</v>
      </c>
      <c r="I37" s="683" t="s">
        <v>738</v>
      </c>
      <c r="J37" s="683" t="s">
        <v>389</v>
      </c>
      <c r="K37" s="685" t="s">
        <v>736</v>
      </c>
    </row>
    <row r="38" spans="1:11">
      <c r="A38" s="723" t="s">
        <v>234</v>
      </c>
      <c r="B38" s="691">
        <f ca="1">IF(ISNUMBER(C38),C38,EPVData!D65)</f>
        <v>9000</v>
      </c>
      <c r="C38" s="702">
        <v>9000</v>
      </c>
      <c r="D38" s="703">
        <v>1</v>
      </c>
      <c r="E38" s="724">
        <f ca="1">IF(ISBLANK(D38),B38,B38*D38)</f>
        <v>9000</v>
      </c>
      <c r="G38" s="721" t="s">
        <v>252</v>
      </c>
      <c r="H38" s="707">
        <f ca="1">IF(ISNUMBER(I38),I38,EPVData!D90)</f>
        <v>0</v>
      </c>
      <c r="I38" s="714"/>
      <c r="J38" s="703"/>
      <c r="K38" s="707">
        <f t="shared" ref="K38:K43" ca="1" si="0">IF(ISBLANK(J38),H38,H38*J38)</f>
        <v>0</v>
      </c>
    </row>
    <row r="39" spans="1:11">
      <c r="A39" s="722" t="s">
        <v>235</v>
      </c>
      <c r="B39" s="692">
        <f ca="1">IF(ISNUMBER(C39),C39+EPVData!D66,EPVData!D66)</f>
        <v>0</v>
      </c>
      <c r="C39" s="704"/>
      <c r="D39" s="705"/>
      <c r="E39" s="697">
        <f ca="1">IF(ISBLANK(D39),B39,B39*D39)</f>
        <v>0</v>
      </c>
      <c r="G39" s="721" t="s">
        <v>253</v>
      </c>
      <c r="H39" s="707">
        <f ca="1">IF(ISNUMBER(I39),I39,EPVData!D91)</f>
        <v>0</v>
      </c>
      <c r="I39" s="714"/>
      <c r="J39" s="703"/>
      <c r="K39" s="707">
        <f t="shared" ca="1" si="0"/>
        <v>0</v>
      </c>
    </row>
    <row r="40" spans="1:11">
      <c r="A40" s="721" t="s">
        <v>283</v>
      </c>
      <c r="B40" s="691">
        <f ca="1">IF(ISNUMBER(C40),C40+EPVData!D67,EPVData!D67)</f>
        <v>3705</v>
      </c>
      <c r="C40" s="702"/>
      <c r="D40" s="703"/>
      <c r="E40" s="698">
        <f ca="1">IF(ISBLANK(D40),B40,B40*D40)</f>
        <v>3705</v>
      </c>
      <c r="G40" s="721" t="s">
        <v>254</v>
      </c>
      <c r="H40" s="707">
        <f ca="1">IF(ISNUMBER(I40),I40,EPVData!D92)</f>
        <v>5963</v>
      </c>
      <c r="I40" s="714"/>
      <c r="J40" s="703"/>
      <c r="K40" s="707">
        <f t="shared" ca="1" si="0"/>
        <v>5963</v>
      </c>
    </row>
    <row r="41" spans="1:11" ht="12.75" customHeight="1">
      <c r="A41" s="721" t="s">
        <v>236</v>
      </c>
      <c r="B41" s="691">
        <f ca="1">IF(ISNUMBER(C41),C41+EPVData!D68,EPVData!D68)</f>
        <v>0</v>
      </c>
      <c r="C41" s="702"/>
      <c r="D41" s="703"/>
      <c r="E41" s="698">
        <f ca="1">IF(ISBLANK(D41),B41,B41*D41)</f>
        <v>0</v>
      </c>
      <c r="G41" s="721" t="s">
        <v>290</v>
      </c>
      <c r="H41" s="707">
        <f ca="1">IF(ISNUMBER(I41),I41,EPVData!D93)</f>
        <v>6670</v>
      </c>
      <c r="I41" s="714"/>
      <c r="J41" s="703"/>
      <c r="K41" s="707">
        <f t="shared" ca="1" si="0"/>
        <v>6670</v>
      </c>
    </row>
    <row r="42" spans="1:11" ht="25.5">
      <c r="A42" s="725" t="s">
        <v>237</v>
      </c>
      <c r="B42" s="692">
        <f ca="1">SUM(B40:B41)</f>
        <v>3705</v>
      </c>
      <c r="C42" s="688"/>
      <c r="D42" s="694"/>
      <c r="E42" s="726">
        <f ca="1">SUM(E40:E41)</f>
        <v>3705</v>
      </c>
      <c r="G42" s="721" t="s">
        <v>291</v>
      </c>
      <c r="H42" s="707">
        <f ca="1">IF(ISNUMBER(I42),I42,EPVData!D94)</f>
        <v>546</v>
      </c>
      <c r="I42" s="714"/>
      <c r="J42" s="703"/>
      <c r="K42" s="707">
        <f t="shared" ca="1" si="0"/>
        <v>546</v>
      </c>
    </row>
    <row r="43" spans="1:11">
      <c r="A43" s="727" t="s">
        <v>238</v>
      </c>
      <c r="B43" s="691">
        <f ca="1">EPVData!D70</f>
        <v>1402</v>
      </c>
      <c r="C43" s="1054"/>
      <c r="D43" s="695"/>
      <c r="E43" s="698"/>
      <c r="G43" s="721" t="s">
        <v>255</v>
      </c>
      <c r="H43" s="707">
        <f ca="1">IF(ISNUMBER(I43),I43,EPVData!D95)</f>
        <v>404</v>
      </c>
      <c r="I43" s="714"/>
      <c r="J43" s="703"/>
      <c r="K43" s="707">
        <f t="shared" ca="1" si="0"/>
        <v>404</v>
      </c>
    </row>
    <row r="44" spans="1:11" ht="15">
      <c r="A44" s="727" t="s">
        <v>239</v>
      </c>
      <c r="B44" s="691">
        <f ca="1">EPVData!D71</f>
        <v>0</v>
      </c>
      <c r="C44" s="1054"/>
      <c r="D44" s="695"/>
      <c r="E44" s="698"/>
      <c r="G44" s="725" t="s">
        <v>256</v>
      </c>
      <c r="H44" s="697">
        <f ca="1">IF(ISBLANK(I44),SUM(H38:H43),I44)</f>
        <v>13583</v>
      </c>
      <c r="I44" s="687"/>
      <c r="J44" s="694"/>
      <c r="K44" s="699">
        <f ca="1">IF(SUM(K38:K43)=0,H44,SUM(K38:K43))</f>
        <v>13583</v>
      </c>
    </row>
    <row r="45" spans="1:11">
      <c r="A45" s="727" t="s">
        <v>240</v>
      </c>
      <c r="B45" s="691">
        <f ca="1">EPVData!D72</f>
        <v>0</v>
      </c>
      <c r="C45" s="1054"/>
      <c r="D45" s="695"/>
      <c r="E45" s="698"/>
      <c r="G45" s="721" t="s">
        <v>257</v>
      </c>
      <c r="H45" s="707">
        <f ca="1">IF(ISNUMBER(I45),I45,EPVData!D97)</f>
        <v>4419</v>
      </c>
      <c r="I45" s="714"/>
      <c r="J45" s="703"/>
      <c r="K45" s="707">
        <f t="shared" ref="K45:K53" ca="1" si="1">IF(ISBLANK(J45),H45,H45*J45)</f>
        <v>4419</v>
      </c>
    </row>
    <row r="46" spans="1:11">
      <c r="A46" s="727" t="s">
        <v>241</v>
      </c>
      <c r="B46" s="691">
        <f ca="1">EPVData!D73</f>
        <v>643</v>
      </c>
      <c r="C46" s="1054"/>
      <c r="D46" s="695"/>
      <c r="E46" s="698"/>
      <c r="G46" s="721" t="s">
        <v>258</v>
      </c>
      <c r="H46" s="707">
        <f ca="1">IF(ISNUMBER(I46),I46,EPVData!D98)</f>
        <v>0</v>
      </c>
      <c r="I46" s="714"/>
      <c r="J46" s="703"/>
      <c r="K46" s="707">
        <f t="shared" ca="1" si="1"/>
        <v>0</v>
      </c>
    </row>
    <row r="47" spans="1:11">
      <c r="A47" s="727" t="s">
        <v>242</v>
      </c>
      <c r="B47" s="691">
        <f ca="1">EPVData!D74</f>
        <v>282</v>
      </c>
      <c r="C47" s="1054"/>
      <c r="D47" s="695"/>
      <c r="E47" s="698"/>
      <c r="G47" s="721" t="s">
        <v>259</v>
      </c>
      <c r="H47" s="707">
        <f ca="1">IF(ISNUMBER(I47),I47,EPVData!D99)</f>
        <v>1481</v>
      </c>
      <c r="I47" s="714"/>
      <c r="J47" s="703"/>
      <c r="K47" s="707">
        <f t="shared" ca="1" si="1"/>
        <v>1481</v>
      </c>
    </row>
    <row r="48" spans="1:11">
      <c r="A48" s="725" t="s">
        <v>243</v>
      </c>
      <c r="B48" s="692">
        <f ca="1">IF(ISNUMBER(C48),C48+EPVData!D75,EPVData!D75)</f>
        <v>2327</v>
      </c>
      <c r="C48" s="704"/>
      <c r="D48" s="705"/>
      <c r="E48" s="726">
        <f ca="1">IF(ISBLANK(D48),B48,B48*D48)</f>
        <v>2327</v>
      </c>
      <c r="G48" s="721" t="s">
        <v>292</v>
      </c>
      <c r="H48" s="707">
        <f ca="1">IF(ISNUMBER(I48),I48,EPVData!D100)</f>
        <v>0</v>
      </c>
      <c r="I48" s="714"/>
      <c r="J48" s="703"/>
      <c r="K48" s="707">
        <f t="shared" ca="1" si="1"/>
        <v>0</v>
      </c>
    </row>
    <row r="49" spans="1:11">
      <c r="A49" s="721" t="s">
        <v>245</v>
      </c>
      <c r="B49" s="691">
        <f ca="1">IF(ISNUMBER(C49),C49+EPVData!D76,EPVData!D76)</f>
        <v>2382</v>
      </c>
      <c r="C49" s="702"/>
      <c r="D49" s="703"/>
      <c r="E49" s="698">
        <f ca="1">IF(ISBLANK(D49),B49,B49*D49)</f>
        <v>2382</v>
      </c>
      <c r="G49" s="721" t="s">
        <v>293</v>
      </c>
      <c r="H49" s="707">
        <f ca="1">IF(ISNUMBER(I49),I49,EPVData!D101)</f>
        <v>2763</v>
      </c>
      <c r="I49" s="714"/>
      <c r="J49" s="703"/>
      <c r="K49" s="707">
        <f t="shared" ca="1" si="1"/>
        <v>2763</v>
      </c>
    </row>
    <row r="50" spans="1:11" ht="15">
      <c r="A50" s="721" t="s">
        <v>246</v>
      </c>
      <c r="B50" s="691">
        <f ca="1">IF(ISNUMBER(C50),C50+EPVData!D77,EPVData!D77)</f>
        <v>0</v>
      </c>
      <c r="C50" s="702"/>
      <c r="D50" s="703"/>
      <c r="E50" s="698">
        <f ca="1">IF(ISBLANK(D50),B50,B50*D50)</f>
        <v>0</v>
      </c>
      <c r="G50" s="725" t="s">
        <v>244</v>
      </c>
      <c r="H50" s="697">
        <f ca="1">IF(ISNUMBER(I50),I50,[1]!RCHGetTableCell("http://moneycentral.msn.com/investor/invsub/results/statemnt.aspx?lstStatement=Balance&amp;stmtView=Qtr&amp;Symbol="&amp;Ticker, 1,"Total Liabilities"))</f>
        <v>22531</v>
      </c>
      <c r="I50" s="687"/>
      <c r="J50" s="694"/>
      <c r="K50" s="699">
        <f t="shared" ca="1" si="1"/>
        <v>22531</v>
      </c>
    </row>
    <row r="51" spans="1:11">
      <c r="A51" s="721" t="s">
        <v>247</v>
      </c>
      <c r="B51" s="691">
        <f ca="1">IF(ISNUMBER(C51),C51+EPVData!D78,EPVData!D78)</f>
        <v>0</v>
      </c>
      <c r="C51" s="702"/>
      <c r="D51" s="703"/>
      <c r="E51" s="698">
        <f ca="1">IF(ISBLANK(D51),B51,B51*D51)</f>
        <v>0</v>
      </c>
      <c r="G51" s="721" t="s">
        <v>260</v>
      </c>
      <c r="H51" s="707">
        <f ca="1">IF(ISNUMBER(I51),I51,EPVData!D103)</f>
        <v>24872</v>
      </c>
      <c r="I51" s="714"/>
      <c r="J51" s="703"/>
      <c r="K51" s="707">
        <f t="shared" ca="1" si="1"/>
        <v>24872</v>
      </c>
    </row>
    <row r="52" spans="1:11">
      <c r="A52" s="725" t="s">
        <v>248</v>
      </c>
      <c r="B52" s="692">
        <f ca="1">IF(ISBLANK(C52),SUM(B38,B39,B42,B48,B49:B51),C52)</f>
        <v>17414</v>
      </c>
      <c r="C52" s="688"/>
      <c r="D52" s="694"/>
      <c r="E52" s="726">
        <f ca="1">IF(ISBLANK(D52),SUM(E38,E39,E42,E48,E49:E51),SUM(E38,E39,E42,E48,E49:E51)*D52)</f>
        <v>17414</v>
      </c>
      <c r="G52" s="721" t="s">
        <v>261</v>
      </c>
      <c r="H52" s="707">
        <f ca="1">IF(ISNUMBER(I52),I52,EPVData!D104)</f>
        <v>42136</v>
      </c>
      <c r="I52" s="714"/>
      <c r="J52" s="703"/>
      <c r="K52" s="707">
        <f t="shared" ca="1" si="1"/>
        <v>42136</v>
      </c>
    </row>
    <row r="53" spans="1:11">
      <c r="A53" s="721" t="s">
        <v>285</v>
      </c>
      <c r="B53" s="691">
        <f ca="1">IF(ISNUMBER(C53),C53+EPVData!D80,EPVData!D80)</f>
        <v>3905</v>
      </c>
      <c r="C53" s="702"/>
      <c r="D53" s="703"/>
      <c r="E53" s="698">
        <f ca="1">IF(ISBLANK(D53),B53,B53*D53)</f>
        <v>3905</v>
      </c>
      <c r="G53" s="725" t="s">
        <v>294</v>
      </c>
      <c r="H53" s="710">
        <f ca="1">IF(ISNUMBER(I53),I53,EPVData!D105)</f>
        <v>29291</v>
      </c>
      <c r="I53" s="715"/>
      <c r="J53" s="705"/>
      <c r="K53" s="710">
        <f t="shared" ca="1" si="1"/>
        <v>29291</v>
      </c>
    </row>
    <row r="54" spans="1:11" ht="14.25">
      <c r="A54" s="429" t="s">
        <v>286</v>
      </c>
      <c r="B54" s="691">
        <f ca="1">IF(ISNUMBER(C54),C54+EPVData!D81,EPVData!D81)</f>
        <v>8410</v>
      </c>
      <c r="C54" s="702"/>
      <c r="D54" s="703"/>
      <c r="E54" s="698">
        <f ca="1">IF(ISBLANK(D54),B54,B54*D54)</f>
        <v>8410</v>
      </c>
      <c r="G54" s="723" t="s">
        <v>262</v>
      </c>
      <c r="H54" s="698">
        <f ca="1">EPVData!D106</f>
        <v>24872</v>
      </c>
      <c r="I54" s="684"/>
      <c r="J54" s="708"/>
      <c r="K54" s="709">
        <f ca="1">B60-K50</f>
        <v>25078</v>
      </c>
    </row>
    <row r="55" spans="1:11" ht="15" thickBot="1">
      <c r="A55" s="725" t="s">
        <v>249</v>
      </c>
      <c r="B55" s="692">
        <f ca="1">IF(ISBLANK(C55),SUM(B53:B54),C55)</f>
        <v>12315</v>
      </c>
      <c r="C55" s="688"/>
      <c r="D55" s="694"/>
      <c r="E55" s="728">
        <f ca="1">SUM(E53:E54)</f>
        <v>12315</v>
      </c>
      <c r="G55" s="729" t="s">
        <v>746</v>
      </c>
      <c r="H55" s="711">
        <f ca="1">EPVData!D107</f>
        <v>47403</v>
      </c>
      <c r="I55" s="712"/>
      <c r="J55" s="713"/>
      <c r="K55" s="701">
        <f ca="1">IF(ISBLANK(J55),H55,H55*J55)</f>
        <v>47403</v>
      </c>
    </row>
    <row r="56" spans="1:11" ht="13.5" thickTop="1">
      <c r="A56" s="721" t="s">
        <v>284</v>
      </c>
      <c r="B56" s="691">
        <f ca="1">IF(ISNUMBER(C56),C56+EPVData!D83,EPVData!D83)</f>
        <v>9036</v>
      </c>
      <c r="C56" s="702"/>
      <c r="D56" s="703"/>
      <c r="E56" s="700">
        <f ca="1">IF(ISBLANK(D56),B56,B56*D56)</f>
        <v>9036</v>
      </c>
    </row>
    <row r="57" spans="1:11">
      <c r="A57" s="429" t="s">
        <v>287</v>
      </c>
      <c r="B57" s="691">
        <f ca="1">IF(ISNUMBER(C57),C57+EPVData!D84,EPVData!D84)</f>
        <v>6749</v>
      </c>
      <c r="C57" s="702"/>
      <c r="D57" s="703"/>
      <c r="E57" s="700">
        <f ca="1">IF(ISBLANK(D57),B57,B57*D57)</f>
        <v>6749</v>
      </c>
    </row>
    <row r="58" spans="1:11">
      <c r="A58" s="429" t="s">
        <v>288</v>
      </c>
      <c r="B58" s="691">
        <f ca="1">IF(ISNUMBER(C58),C58+EPVData!D85,EPVData!D85)</f>
        <v>0</v>
      </c>
      <c r="C58" s="702"/>
      <c r="D58" s="703"/>
      <c r="E58" s="700">
        <f ca="1">IF(ISBLANK(D58),B58,B58*D58)</f>
        <v>0</v>
      </c>
    </row>
    <row r="59" spans="1:11">
      <c r="A59" s="429" t="s">
        <v>289</v>
      </c>
      <c r="B59" s="691">
        <f ca="1">IF(ISNUMBER(C59),C59+EPVData!D86,EPVData!D86)</f>
        <v>2095</v>
      </c>
      <c r="C59" s="702"/>
      <c r="D59" s="703"/>
      <c r="E59" s="700">
        <f ca="1">IF(ISBLANK(D59),B59,B59*D59)</f>
        <v>2095</v>
      </c>
    </row>
    <row r="60" spans="1:11" ht="13.5" thickBot="1">
      <c r="A60" s="729" t="s">
        <v>250</v>
      </c>
      <c r="B60" s="693">
        <f ca="1">IF(ISBLANK(C60),SUM(B52,B55,B56:B59),C60)</f>
        <v>47609</v>
      </c>
      <c r="C60" s="689"/>
      <c r="D60" s="696"/>
      <c r="E60" s="730">
        <f ca="1">IF(ISERR(E52+E55+E56+E57+E58+E59),B60,E52+E55+E56+E57+E58+E59)</f>
        <v>47609</v>
      </c>
    </row>
    <row r="61" spans="1:11" ht="13.5" thickTop="1"/>
    <row r="70" spans="4:4" ht="15.75">
      <c r="D70" s="716"/>
    </row>
  </sheetData>
  <mergeCells count="3">
    <mergeCell ref="C43:C47"/>
    <mergeCell ref="H3:H4"/>
    <mergeCell ref="I3:I4"/>
  </mergeCells>
  <conditionalFormatting sqref="D3">
    <cfRule type="cellIs" dxfId="71" priority="9" stopIfTrue="1" operator="equal">
      <formula>"Check Shares"</formula>
    </cfRule>
  </conditionalFormatting>
  <conditionalFormatting sqref="F7:G7 I7">
    <cfRule type="expression" dxfId="70" priority="7" stopIfTrue="1">
      <formula>F7&gt;$E$7</formula>
    </cfRule>
    <cfRule type="expression" dxfId="69" priority="8" stopIfTrue="1">
      <formula>F7&lt;$E$7</formula>
    </cfRule>
  </conditionalFormatting>
  <conditionalFormatting sqref="H7">
    <cfRule type="expression" dxfId="68" priority="1" stopIfTrue="1">
      <formula>$H$7&lt;0</formula>
    </cfRule>
    <cfRule type="expression" dxfId="67" priority="2" stopIfTrue="1">
      <formula>$H$7&gt;0</formula>
    </cfRule>
  </conditionalFormatting>
  <dataValidations count="6">
    <dataValidation type="list" allowBlank="1" showInputMessage="1" showErrorMessage="1" sqref="J54:J55">
      <formula1>$Q$41:$Q$61</formula1>
    </dataValidation>
    <dataValidation type="list" allowBlank="1" showInputMessage="1" showErrorMessage="1" sqref="D38:D60 J38:J53">
      <formula1>list_epv_multiplier</formula1>
    </dataValidation>
    <dataValidation type="list" allowBlank="1" showInputMessage="1" showErrorMessage="1" sqref="I3">
      <formula1>list_epv_rd</formula1>
    </dataValidation>
    <dataValidation type="list" allowBlank="1" showInputMessage="1" showErrorMessage="1" sqref="F3">
      <formula1>list_epv_source</formula1>
    </dataValidation>
    <dataValidation type="list" allowBlank="1" showInputMessage="1" showErrorMessage="1" sqref="J3">
      <formula1>list_epv_sga</formula1>
    </dataValidation>
    <dataValidation type="list" allowBlank="1" showInputMessage="1" showErrorMessage="1" sqref="H3">
      <formula1>list_discount</formula1>
    </dataValidation>
  </dataValidations>
  <printOptions horizontalCentered="1"/>
  <pageMargins left="0.2" right="0.2" top="0.25" bottom="0.25" header="0.3" footer="0.3"/>
  <pageSetup scale="66" orientation="landscape" horizontalDpi="0" verticalDpi="0" r:id="rId1"/>
  <drawing r:id="rId2"/>
  <legacyDrawing r:id="rId3"/>
</worksheet>
</file>

<file path=xl/worksheets/sheet10.xml><?xml version="1.0" encoding="utf-8"?>
<worksheet xmlns="http://schemas.openxmlformats.org/spreadsheetml/2006/main" xmlns:r="http://schemas.openxmlformats.org/officeDocument/2006/relationships">
  <sheetPr codeName="Sheet12"/>
  <dimension ref="A2:N172"/>
  <sheetViews>
    <sheetView topLeftCell="A61" zoomScale="75" zoomScaleNormal="75" workbookViewId="0">
      <selection activeCell="L121" sqref="L121"/>
    </sheetView>
  </sheetViews>
  <sheetFormatPr defaultRowHeight="12.75"/>
  <cols>
    <col min="2" max="2" width="41.5703125" customWidth="1"/>
    <col min="3" max="3" width="18.28515625" style="131" customWidth="1"/>
    <col min="4" max="7" width="13" style="131" customWidth="1"/>
    <col min="8" max="8" width="34" style="131" customWidth="1"/>
    <col min="9" max="9" width="12.85546875" style="131" bestFit="1" customWidth="1"/>
    <col min="10" max="10" width="13.42578125" style="131" customWidth="1"/>
    <col min="11" max="11" width="14.28515625" style="131" customWidth="1"/>
    <col min="12" max="12" width="11.28515625" customWidth="1"/>
    <col min="13" max="13" width="11" customWidth="1"/>
  </cols>
  <sheetData>
    <row r="2" spans="2:12" ht="15.75">
      <c r="B2" s="680" t="s">
        <v>424</v>
      </c>
      <c r="C2" s="680"/>
      <c r="D2" s="680"/>
      <c r="E2" s="680"/>
      <c r="F2" s="680"/>
      <c r="G2" s="680"/>
      <c r="H2" s="680"/>
      <c r="I2" s="680"/>
      <c r="J2" s="680"/>
      <c r="K2" s="680"/>
      <c r="L2" s="680"/>
    </row>
    <row r="3" spans="2:12" ht="25.5">
      <c r="B3" s="164" t="str">
        <f ca="1">TRIM([1]!RCHGetTableCell("http://moneycentral.msn.com/investor/invsub/results/statemnt.aspx?lstStatement=Income&amp;stmtView=Ann&amp;Symbol="&amp;Ticker, 0,"per share items"))</f>
        <v>Financial data in U.S. Dollars
 Values in Millions (Except for per share items)</v>
      </c>
      <c r="C3" s="31">
        <f ca="1">[1]!RCHGetTableCell("http://moneycentral.msn.com/investor/invsub/results/statemnt.aspx?lstStatement=Income&amp;stmtView=Ann&amp;Symbol="&amp;Ticker, 6,"per share items",,,1)</f>
        <v>2005</v>
      </c>
      <c r="D3" s="31">
        <f ca="1">[1]!RCHGetTableCell("http://moneycentral.msn.com/investor/invsub/results/statemnt.aspx?lstStatement=Income&amp;stmtView=Ann&amp;Symbol="&amp;Ticker, 5,"per share items",,,1)</f>
        <v>2006</v>
      </c>
      <c r="E3" s="31">
        <f ca="1">[1]!RCHGetTableCell("http://moneycentral.msn.com/investor/invsub/results/statemnt.aspx?lstStatement=Income&amp;stmtView=Ann&amp;Symbol="&amp;Ticker, 4,"per share items",,,1)</f>
        <v>2007</v>
      </c>
      <c r="F3" s="31">
        <f ca="1">[1]!RCHGetTableCell("http://moneycentral.msn.com/investor/invsub/results/statemnt.aspx?lstStatement=Income&amp;stmtView=Ann&amp;Symbol="&amp;Ticker, 3,"per share items",,,1)</f>
        <v>2008</v>
      </c>
      <c r="G3" s="165">
        <f ca="1">[1]!RCHGetTableCell("http://moneycentral.msn.com/investor/invsub/results/statemnt.aspx?lstStatement=Income&amp;stmtView=Ann&amp;Symbol="&amp;Ticker, 2,"per share items",,,1)</f>
        <v>2009</v>
      </c>
      <c r="H3" s="31" t="str">
        <f ca="1">[1]!RCHGetTableCell("http://moneycentral.msn.com/investor/invsub/results/statemnt.aspx?lstStatement=Income&amp;stmtView=Qtr&amp;Symbol="&amp;Ticker, 5,"per share items",,,1)</f>
        <v>2009 Q2</v>
      </c>
      <c r="I3" s="31" t="str">
        <f ca="1">[1]!RCHGetTableCell("http://moneycentral.msn.com/investor/invsub/results/statemnt.aspx?lstStatement=Income&amp;stmtView=Qtr&amp;Symbol="&amp;Ticker, 4,"per share items",,,1)</f>
        <v>2009 Q3</v>
      </c>
      <c r="J3" s="31" t="str">
        <f ca="1">[1]!RCHGetTableCell("http://moneycentral.msn.com/investor/invsub/results/statemnt.aspx?lstStatement=Income&amp;stmtView=Qtr&amp;Symbol="&amp;Ticker, 3,"per share items",,,1)</f>
        <v>2009 Q4</v>
      </c>
      <c r="K3" s="31" t="str">
        <f ca="1">[1]!RCHGetTableCell("http://moneycentral.msn.com/investor/invsub/results/statemnt.aspx?lstStatement=Income&amp;stmtView=Qtr&amp;Symbol="&amp;Ticker, 2,"per share items",,,1)</f>
        <v>2010 Q1</v>
      </c>
      <c r="L3" s="31" t="s">
        <v>98</v>
      </c>
    </row>
    <row r="4" spans="2:12">
      <c r="B4" s="164" t="s">
        <v>329</v>
      </c>
      <c r="C4" s="157">
        <f ca="1">DATEVALUE([1]!RCHGetTableCell("http://moneycentral.msn.com/investor/invsub/results/statemnt.aspx?lstStatement=Income&amp;stmtView=Ann&amp;Symbol="&amp;Ticker, 5,"Period End Date"))</f>
        <v>38717</v>
      </c>
      <c r="D4" s="157">
        <f ca="1">DATEVALUE([1]!RCHGetTableCell("http://moneycentral.msn.com/investor/invsub/results/statemnt.aspx?lstStatement=Income&amp;stmtView=Ann&amp;Symbol="&amp;Ticker, 4,"Period End Date"))</f>
        <v>39082</v>
      </c>
      <c r="E4" s="157">
        <f ca="1">DATEVALUE([1]!RCHGetTableCell("http://moneycentral.msn.com/investor/invsub/results/statemnt.aspx?lstStatement=Income&amp;stmtView=Ann&amp;Symbol="&amp;Ticker, 3,"Period End Date"))</f>
        <v>39447</v>
      </c>
      <c r="F4" s="157">
        <f ca="1">DATEVALUE([1]!RCHGetTableCell("http://moneycentral.msn.com/investor/invsub/results/statemnt.aspx?lstStatement=Income&amp;stmtView=Ann&amp;Symbol="&amp;Ticker, 2,"Period End Date"))</f>
        <v>39813</v>
      </c>
      <c r="G4" s="220">
        <f ca="1">DATEVALUE([1]!RCHGetTableCell("http://moneycentral.msn.com/investor/invsub/results/statemnt.aspx?lstStatement=Income&amp;stmtView=Ann&amp;Symbol="&amp;Ticker, 1,"Period End Date"))</f>
        <v>40178</v>
      </c>
      <c r="H4" s="157">
        <f ca="1">DATEVALUE([1]!RCHGetTableCell("http://moneycentral.msn.com/investor/invsub/results/statemnt.aspx?lstStatement=Income&amp;stmtView=Qtr&amp;Symbol="&amp;Ticker, 4,"Period End Date"))</f>
        <v>39997</v>
      </c>
      <c r="I4" s="157">
        <f ca="1">DATEVALUE([1]!RCHGetTableCell("http://moneycentral.msn.com/investor/invsub/results/statemnt.aspx?lstStatement=Income&amp;stmtView=Qtr&amp;Symbol="&amp;Ticker, 3,"Period End Date"))</f>
        <v>40088</v>
      </c>
      <c r="J4" s="157">
        <f ca="1">DATEVALUE([1]!RCHGetTableCell("http://moneycentral.msn.com/investor/invsub/results/statemnt.aspx?lstStatement=Income&amp;stmtView=Qtr&amp;Symbol="&amp;Ticker, 2,"Period End Date"))</f>
        <v>40178</v>
      </c>
      <c r="K4" s="157">
        <f ca="1">DATEVALUE([1]!RCHGetTableCell("http://moneycentral.msn.com/investor/invsub/results/statemnt.aspx?lstStatement=Income&amp;stmtView=Qtr&amp;Symbol="&amp;Ticker, 1,"Period End Date"))</f>
        <v>40270</v>
      </c>
      <c r="L4" s="148"/>
    </row>
    <row r="5" spans="2:12">
      <c r="B5" s="164" t="s">
        <v>330</v>
      </c>
      <c r="C5" s="148" t="str">
        <f ca="1">[1]!RCHGetTableCell("http://moneycentral.msn.com/investor/invsub/results/statemnt.aspx?lstStatement=Income&amp;stmtView=Ann&amp;Symbol="&amp;Ticker, 5,"Period Length")</f>
        <v>12 Months</v>
      </c>
      <c r="D5" s="148" t="str">
        <f ca="1">[1]!RCHGetTableCell("http://moneycentral.msn.com/investor/invsub/results/statemnt.aspx?lstStatement=Income&amp;stmtView=Ann&amp;Symbol="&amp;Ticker, 4,"Period Length")</f>
        <v>12 Months</v>
      </c>
      <c r="E5" s="148" t="str">
        <f ca="1">[1]!RCHGetTableCell("http://moneycentral.msn.com/investor/invsub/results/statemnt.aspx?lstStatement=Income&amp;stmtView=Ann&amp;Symbol="&amp;Ticker, 3,"Period Length")</f>
        <v>12 Months</v>
      </c>
      <c r="F5" s="148" t="str">
        <f ca="1">[1]!RCHGetTableCell("http://moneycentral.msn.com/investor/invsub/results/statemnt.aspx?lstStatement=Income&amp;stmtView=Ann&amp;Symbol="&amp;Ticker, 2,"Period Length")</f>
        <v>12 Months</v>
      </c>
      <c r="G5" s="166" t="str">
        <f ca="1">[1]!RCHGetTableCell("http://moneycentral.msn.com/investor/invsub/results/statemnt.aspx?lstStatement=Income&amp;stmtView=Ann&amp;Symbol="&amp;Ticker, 1,"Period Length")</f>
        <v>12 Months</v>
      </c>
      <c r="H5" s="148" t="str">
        <f ca="1">[1]!RCHGetTableCell("http://moneycentral.msn.com/investor/invsub/results/statemnt.aspx?lstStatement=Income&amp;stmtView=Qtr&amp;Symbol="&amp;Ticker, 4,"Period Length")</f>
        <v>3 Months</v>
      </c>
      <c r="I5" s="148" t="str">
        <f ca="1">[1]!RCHGetTableCell("http://moneycentral.msn.com/investor/invsub/results/statemnt.aspx?lstStatement=Income&amp;stmtView=Qtr&amp;Symbol="&amp;Ticker, 3,"Period Length")</f>
        <v>3 Months</v>
      </c>
      <c r="J5" s="148" t="str">
        <f ca="1">[1]!RCHGetTableCell("http://moneycentral.msn.com/investor/invsub/results/statemnt.aspx?lstStatement=Income&amp;stmtView=Qtr&amp;Symbol="&amp;Ticker, 2,"Period Length")</f>
        <v>3 Months</v>
      </c>
      <c r="K5" s="148" t="str">
        <f ca="1">[1]!RCHGetTableCell("http://moneycentral.msn.com/investor/invsub/results/statemnt.aspx?lstStatement=Income&amp;stmtView=Qtr&amp;Symbol="&amp;Ticker, 1,"Period Length")</f>
        <v>3 Months</v>
      </c>
      <c r="L5" s="148"/>
    </row>
    <row r="6" spans="2:12">
      <c r="B6" s="164" t="s">
        <v>331</v>
      </c>
      <c r="C6" s="148" t="str">
        <f ca="1">[1]!RCHGetTableCell("http://moneycentral.msn.com/investor/invsub/results/statemnt.aspx?lstStatement=Income&amp;stmtView=Ann&amp;Symbol="&amp;Ticker, 5,"Stmt Source")</f>
        <v>10-K</v>
      </c>
      <c r="D6" s="148" t="str">
        <f ca="1">[1]!RCHGetTableCell("http://moneycentral.msn.com/investor/invsub/results/statemnt.aspx?lstStatement=Income&amp;stmtView=Ann&amp;Symbol="&amp;Ticker, 4,"Stmt Source")</f>
        <v>10-K</v>
      </c>
      <c r="E6" s="148" t="str">
        <f ca="1">[1]!RCHGetTableCell("http://moneycentral.msn.com/investor/invsub/results/statemnt.aspx?lstStatement=Income&amp;stmtView=Ann&amp;Symbol="&amp;Ticker, 3,"Stmt Source")</f>
        <v>10-K</v>
      </c>
      <c r="F6" s="148" t="str">
        <f ca="1">[1]!RCHGetTableCell("http://moneycentral.msn.com/investor/invsub/results/statemnt.aspx?lstStatement=Income&amp;stmtView=Ann&amp;Symbol="&amp;Ticker, 2,"Stmt Source")</f>
        <v>10-K</v>
      </c>
      <c r="G6" s="166" t="str">
        <f ca="1">[1]!RCHGetTableCell("http://moneycentral.msn.com/investor/invsub/results/statemnt.aspx?lstStatement=Income&amp;stmtView=Ann&amp;Symbol="&amp;Ticker, 1,"Stmt Source")</f>
        <v>10-K</v>
      </c>
      <c r="H6" s="148" t="str">
        <f ca="1">[1]!RCHGetTableCell("http://moneycentral.msn.com/investor/invsub/results/statemnt.aspx?lstStatement=Income&amp;stmtView=Qtr&amp;Symbol="&amp;Ticker, 4,"Stmt Source")</f>
        <v>10-Q</v>
      </c>
      <c r="I6" s="148" t="str">
        <f ca="1">[1]!RCHGetTableCell("http://moneycentral.msn.com/investor/invsub/results/statemnt.aspx?lstStatement=Income&amp;stmtView=Qtr&amp;Symbol="&amp;Ticker, 3,"Stmt Source")</f>
        <v>10-Q</v>
      </c>
      <c r="J6" s="148" t="str">
        <f ca="1">[1]!RCHGetTableCell("http://moneycentral.msn.com/investor/invsub/results/statemnt.aspx?lstStatement=Income&amp;stmtView=Qtr&amp;Symbol="&amp;Ticker, 2,"Stmt Source")</f>
        <v>10-K</v>
      </c>
      <c r="K6" s="148" t="str">
        <f ca="1">[1]!RCHGetTableCell("http://moneycentral.msn.com/investor/invsub/results/statemnt.aspx?lstStatement=Income&amp;stmtView=Qtr&amp;Symbol="&amp;Ticker, 1,"Stmt Source")</f>
        <v>10-Q</v>
      </c>
      <c r="L6" s="148"/>
    </row>
    <row r="7" spans="2:12">
      <c r="B7" s="164" t="s">
        <v>332</v>
      </c>
      <c r="C7" s="157">
        <f ca="1">DATEVALUE([1]!RCHGetTableCell("http://moneycentral.msn.com/investor/invsub/results/statemnt.aspx?lstStatement=Income&amp;stmtView=Ann&amp;Symbol="&amp;Ticker, 5,"Stmt Source Date"))</f>
        <v>38776</v>
      </c>
      <c r="D7" s="157">
        <f ca="1">DATEVALUE([1]!RCHGetTableCell("http://moneycentral.msn.com/investor/invsub/results/statemnt.aspx?lstStatement=Income&amp;stmtView=Ann&amp;Symbol="&amp;Ticker, 4,"Stmt Source Date"))</f>
        <v>39134</v>
      </c>
      <c r="E7" s="157">
        <f ca="1">DATEVALUE([1]!RCHGetTableCell("http://moneycentral.msn.com/investor/invsub/results/statemnt.aspx?lstStatement=Income&amp;stmtView=Ann&amp;Symbol="&amp;Ticker, 3,"Stmt Source Date"))</f>
        <v>40235</v>
      </c>
      <c r="F7" s="157">
        <f ca="1">DATEVALUE([1]!RCHGetTableCell("http://moneycentral.msn.com/investor/invsub/results/statemnt.aspx?lstStatement=Income&amp;stmtView=Ann&amp;Symbol="&amp;Ticker, 2,"Stmt Source Date"))</f>
        <v>40235</v>
      </c>
      <c r="G7" s="220">
        <f ca="1">DATEVALUE([1]!RCHGetTableCell("http://moneycentral.msn.com/investor/invsub/results/statemnt.aspx?lstStatement=Income&amp;stmtView=Ann&amp;Symbol="&amp;Ticker, 1,"Stmt Source Date"))</f>
        <v>40235</v>
      </c>
      <c r="H7" s="157">
        <f ca="1">DATEVALUE([1]!RCHGetTableCell("http://moneycentral.msn.com/investor/invsub/results/statemnt.aspx?lstStatement=Income&amp;stmtView=Qtr&amp;Symbol="&amp;Ticker, 4,"Stmt Source Date"))</f>
        <v>40024</v>
      </c>
      <c r="I7" s="157">
        <f ca="1">DATEVALUE([1]!RCHGetTableCell("http://moneycentral.msn.com/investor/invsub/results/statemnt.aspx?lstStatement=Income&amp;stmtView=Qtr&amp;Symbol="&amp;Ticker, 3,"Stmt Source Date"))</f>
        <v>40115</v>
      </c>
      <c r="J7" s="157">
        <f ca="1">DATEVALUE([1]!RCHGetTableCell("http://moneycentral.msn.com/investor/invsub/results/statemnt.aspx?lstStatement=Income&amp;stmtView=Qtr&amp;Symbol="&amp;Ticker, 2,"Stmt Source Date"))</f>
        <v>40235</v>
      </c>
      <c r="K7" s="157">
        <f ca="1">DATEVALUE([1]!RCHGetTableCell("http://moneycentral.msn.com/investor/invsub/results/statemnt.aspx?lstStatement=Income&amp;stmtView=Qtr&amp;Symbol="&amp;Ticker, 1,"Stmt Source Date"))</f>
        <v>40297</v>
      </c>
      <c r="L7" s="157"/>
    </row>
    <row r="8" spans="2:12">
      <c r="B8" s="164" t="s">
        <v>333</v>
      </c>
      <c r="C8" s="148" t="str">
        <f ca="1">[1]!RCHGetTableCell("http://moneycentral.msn.com/investor/invsub/results/statemnt.aspx?lstStatement=Income&amp;stmtView=Ann&amp;Symbol="&amp;Ticker, 5,"Stmt Update Type")</f>
        <v>Updated</v>
      </c>
      <c r="D8" s="148" t="str">
        <f ca="1">[1]!RCHGetTableCell("http://moneycentral.msn.com/investor/invsub/results/statemnt.aspx?lstStatement=Income&amp;stmtView=Ann&amp;Symbol="&amp;Ticker, 4,"Stmt Update Type")</f>
        <v>Updated</v>
      </c>
      <c r="E8" s="148" t="str">
        <f ca="1">[1]!RCHGetTableCell("http://moneycentral.msn.com/investor/invsub/results/statemnt.aspx?lstStatement=Income&amp;stmtView=Ann&amp;Symbol="&amp;Ticker, 3,"Stmt Update Type")</f>
        <v>Reclassified</v>
      </c>
      <c r="F8" s="148" t="str">
        <f ca="1">[1]!RCHGetTableCell("http://moneycentral.msn.com/investor/invsub/results/statemnt.aspx?lstStatement=Income&amp;stmtView=Ann&amp;Symbol="&amp;Ticker, 2,"Stmt Update Type")</f>
        <v>Reclassified</v>
      </c>
      <c r="G8" s="166" t="str">
        <f ca="1">[1]!RCHGetTableCell("http://moneycentral.msn.com/investor/invsub/results/statemnt.aspx?lstStatement=Income&amp;stmtView=Ann&amp;Symbol="&amp;Ticker, 1,"Stmt Update Type")</f>
        <v>Updated</v>
      </c>
      <c r="H8" s="148" t="str">
        <f ca="1">[1]!RCHGetTableCell("http://moneycentral.msn.com/investor/invsub/results/statemnt.aspx?lstStatement=Income&amp;stmtView=Qtr&amp;Symbol="&amp;Ticker, 4,"Stmt Update Type")</f>
        <v>Updated</v>
      </c>
      <c r="I8" s="148" t="str">
        <f ca="1">[1]!RCHGetTableCell("http://moneycentral.msn.com/investor/invsub/results/statemnt.aspx?lstStatement=Income&amp;stmtView=Qtr&amp;Symbol="&amp;Ticker, 3,"Stmt Update Type")</f>
        <v>Updated</v>
      </c>
      <c r="J8" s="148" t="str">
        <f ca="1">[1]!RCHGetTableCell("http://moneycentral.msn.com/investor/invsub/results/statemnt.aspx?lstStatement=Income&amp;stmtView=Qtr&amp;Symbol="&amp;Ticker, 2,"Stmt Update Type")</f>
        <v>Updated</v>
      </c>
      <c r="K8" s="148" t="str">
        <f ca="1">[1]!RCHGetTableCell("http://moneycentral.msn.com/investor/invsub/results/statemnt.aspx?lstStatement=Income&amp;stmtView=Qtr&amp;Symbol="&amp;Ticker, 1,"Stmt Update Type")</f>
        <v>Updated</v>
      </c>
      <c r="L8" s="148"/>
    </row>
    <row r="9" spans="2:12">
      <c r="B9" s="169" t="s">
        <v>14</v>
      </c>
      <c r="C9" s="170">
        <f ca="1">[1]!RCHGetTableCell("http://moneycentral.msn.com/investor/invsub/results/statemnt.aspx?lstStatement=Income&amp;stmtView=Ann&amp;Symbol="&amp;Ticker, 5,"Revenue")</f>
        <v>23104</v>
      </c>
      <c r="D9" s="170">
        <f ca="1">[1]!RCHGetTableCell("http://moneycentral.msn.com/investor/invsub/results/statemnt.aspx?lstStatement=Income&amp;stmtView=Ann&amp;Symbol="&amp;Ticker, 4,"Revenue")</f>
        <v>24088</v>
      </c>
      <c r="E9" s="170">
        <f ca="1">[1]!RCHGetTableCell("http://moneycentral.msn.com/investor/invsub/results/statemnt.aspx?lstStatement=Income&amp;stmtView=Ann&amp;Symbol="&amp;Ticker, 3,"Revenue")</f>
        <v>28857</v>
      </c>
      <c r="F9" s="170">
        <f ca="1">[1]!RCHGetTableCell("http://moneycentral.msn.com/investor/invsub/results/statemnt.aspx?lstStatement=Income&amp;stmtView=Ann&amp;Symbol="&amp;Ticker, 2,"Revenue")</f>
        <v>31944</v>
      </c>
      <c r="G9" s="171">
        <f ca="1">[1]!RCHGetTableCell("http://moneycentral.msn.com/investor/invsub/results/statemnt.aspx?lstStatement=Income&amp;stmtView=Ann&amp;Symbol="&amp;Ticker, 1,"Revenue")</f>
        <v>30990</v>
      </c>
      <c r="H9" s="170">
        <f ca="1">[1]!RCHGetTableCell("http://moneycentral.msn.com/investor/invsub/results/statemnt.aspx?lstStatement=Income&amp;stmtView=Qtr&amp;Symbol="&amp;Ticker, 4,"Revenue")</f>
        <v>8267</v>
      </c>
      <c r="I9" s="170">
        <f ca="1">[1]!RCHGetTableCell("http://moneycentral.msn.com/investor/invsub/results/statemnt.aspx?lstStatement=Income&amp;stmtView=Qtr&amp;Symbol="&amp;Ticker, 3,"Revenue")</f>
        <v>8044</v>
      </c>
      <c r="J9" s="170">
        <f ca="1">[1]!RCHGetTableCell("http://moneycentral.msn.com/investor/invsub/results/statemnt.aspx?lstStatement=Income&amp;stmtView=Qtr&amp;Symbol="&amp;Ticker, 2,"Revenue")</f>
        <v>7510</v>
      </c>
      <c r="K9" s="170">
        <f ca="1">[1]!RCHGetTableCell("http://moneycentral.msn.com/investor/invsub/results/statemnt.aspx?lstStatement=Income&amp;stmtView=Qtr&amp;Symbol="&amp;Ticker, 1,"Revenue")</f>
        <v>7525</v>
      </c>
      <c r="L9" s="170"/>
    </row>
    <row r="10" spans="2:12">
      <c r="B10" s="168" t="s">
        <v>372</v>
      </c>
      <c r="C10" s="151">
        <f ca="1">[1]!RCHGetTableCell("http://moneycentral.msn.com/investor/invsub/results/statemnt.aspx?lstStatement=Income&amp;stmtView=Ann&amp;Symbol="&amp;Ticker, 5,"Total Revenue")</f>
        <v>23104</v>
      </c>
      <c r="D10" s="151">
        <f ca="1">[1]!RCHGetTableCell("http://moneycentral.msn.com/investor/invsub/results/statemnt.aspx?lstStatement=Income&amp;stmtView=Ann&amp;Symbol="&amp;Ticker, 4,"Total Revenue")</f>
        <v>24088</v>
      </c>
      <c r="E10" s="151">
        <f ca="1">[1]!RCHGetTableCell("http://moneycentral.msn.com/investor/invsub/results/statemnt.aspx?lstStatement=Income&amp;stmtView=Ann&amp;Symbol="&amp;Ticker, 3,"Total Revenue")</f>
        <v>28857</v>
      </c>
      <c r="F10" s="151">
        <f ca="1">[1]!RCHGetTableCell("http://moneycentral.msn.com/investor/invsub/results/statemnt.aspx?lstStatement=Income&amp;stmtView=Ann&amp;Symbol="&amp;Ticker, 2,"Total Revenue")</f>
        <v>31944</v>
      </c>
      <c r="G10" s="167">
        <f ca="1">[1]!RCHGetTableCell("http://moneycentral.msn.com/investor/invsub/results/statemnt.aspx?lstStatement=Income&amp;stmtView=Ann&amp;Symbol="&amp;Ticker, 1,"Total Revenue")</f>
        <v>30990</v>
      </c>
      <c r="H10" s="151">
        <f ca="1">[1]!RCHGetTableCell("http://moneycentral.msn.com/investor/invsub/results/statemnt.aspx?lstStatement=Income&amp;stmtView=Qtr&amp;Symbol="&amp;Ticker, 4,"Total Revenue")</f>
        <v>8267</v>
      </c>
      <c r="I10" s="151">
        <f ca="1">[1]!RCHGetTableCell("http://moneycentral.msn.com/investor/invsub/results/statemnt.aspx?lstStatement=Income&amp;stmtView=Qtr&amp;Symbol="&amp;Ticker, 3,"Total Revenue")</f>
        <v>8044</v>
      </c>
      <c r="J10" s="151">
        <f ca="1">[1]!RCHGetTableCell("http://moneycentral.msn.com/investor/invsub/results/statemnt.aspx?lstStatement=Income&amp;stmtView=Qtr&amp;Symbol="&amp;Ticker, 2,"Total Revenue")</f>
        <v>7510</v>
      </c>
      <c r="K10" s="151">
        <f ca="1">[1]!RCHGetTableCell("http://moneycentral.msn.com/investor/invsub/results/statemnt.aspx?lstStatement=Income&amp;stmtView=Qtr&amp;Symbol="&amp;Ticker, 1,"Total Revenue")</f>
        <v>7525</v>
      </c>
      <c r="L10" s="151">
        <f t="shared" ref="L10:L54" ca="1" si="0">SUM(H10:K10)</f>
        <v>31346</v>
      </c>
    </row>
    <row r="11" spans="2:12">
      <c r="B11" s="169" t="s">
        <v>373</v>
      </c>
      <c r="C11" s="170">
        <f ca="1">[1]!RCHGetTableCell("http://moneycentral.msn.com/investor/invsub/results/statemnt.aspx?lstStatement=Income&amp;stmtView=Ann&amp;Symbol="&amp;Ticker, 5,"Cost of Revenue, Total")</f>
        <v>8195</v>
      </c>
      <c r="D11" s="170">
        <f ca="1">[1]!RCHGetTableCell("http://moneycentral.msn.com/investor/invsub/results/statemnt.aspx?lstStatement=Income&amp;stmtView=Ann&amp;Symbol="&amp;Ticker, 4,"Cost of Revenue, Total")</f>
        <v>8164</v>
      </c>
      <c r="E11" s="170">
        <f ca="1">[1]!RCHGetTableCell("http://moneycentral.msn.com/investor/invsub/results/statemnt.aspx?lstStatement=Income&amp;stmtView=Ann&amp;Symbol="&amp;Ticker, 3,"Cost of Revenue, Total")</f>
        <v>10406</v>
      </c>
      <c r="F11" s="170">
        <f ca="1">[1]!RCHGetTableCell("http://moneycentral.msn.com/investor/invsub/results/statemnt.aspx?lstStatement=Income&amp;stmtView=Ann&amp;Symbol="&amp;Ticker, 2,"Cost of Revenue, Total")</f>
        <v>11374</v>
      </c>
      <c r="G11" s="171">
        <f ca="1">[1]!RCHGetTableCell("http://moneycentral.msn.com/investor/invsub/results/statemnt.aspx?lstStatement=Income&amp;stmtView=Ann&amp;Symbol="&amp;Ticker, 1,"Cost of Revenue, Total")</f>
        <v>11088</v>
      </c>
      <c r="H11" s="170">
        <f ca="1">[1]!RCHGetTableCell("http://moneycentral.msn.com/investor/invsub/results/statemnt.aspx?lstStatement=Income&amp;stmtView=Qtr&amp;Symbol="&amp;Ticker, 4,"Cost of Revenue, Total")</f>
        <v>2913</v>
      </c>
      <c r="I11" s="170">
        <f ca="1">[1]!RCHGetTableCell("http://moneycentral.msn.com/investor/invsub/results/statemnt.aspx?lstStatement=Income&amp;stmtView=Qtr&amp;Symbol="&amp;Ticker, 3,"Cost of Revenue, Total")</f>
        <v>2934</v>
      </c>
      <c r="J11" s="170">
        <f ca="1">[1]!RCHGetTableCell("http://moneycentral.msn.com/investor/invsub/results/statemnt.aspx?lstStatement=Income&amp;stmtView=Qtr&amp;Symbol="&amp;Ticker, 2,"Cost of Revenue, Total")</f>
        <v>2651</v>
      </c>
      <c r="K11" s="170">
        <f ca="1">[1]!RCHGetTableCell("http://moneycentral.msn.com/investor/invsub/results/statemnt.aspx?lstStatement=Income&amp;stmtView=Qtr&amp;Symbol="&amp;Ticker, 1,"Cost of Revenue, Total")</f>
        <v>2541</v>
      </c>
      <c r="L11" s="170">
        <f t="shared" ca="1" si="0"/>
        <v>11039</v>
      </c>
    </row>
    <row r="12" spans="2:12">
      <c r="B12" s="168" t="s">
        <v>374</v>
      </c>
      <c r="C12" s="151">
        <f ca="1">[1]!RCHGetTableCell("http://moneycentral.msn.com/investor/invsub/results/statemnt.aspx?lstStatement=Income&amp;stmtView=Ann&amp;Symbol="&amp;Ticker, 5,"Gross Profit")</f>
        <v>14909</v>
      </c>
      <c r="D12" s="151">
        <f ca="1">[1]!RCHGetTableCell("http://moneycentral.msn.com/investor/invsub/results/statemnt.aspx?lstStatement=Income&amp;stmtView=Ann&amp;Symbol="&amp;Ticker, 4,"Gross Profit")</f>
        <v>15924</v>
      </c>
      <c r="E12" s="151">
        <f ca="1">[1]!RCHGetTableCell("http://moneycentral.msn.com/investor/invsub/results/statemnt.aspx?lstStatement=Income&amp;stmtView=Ann&amp;Symbol="&amp;Ticker, 3,"Gross Profit")</f>
        <v>18451</v>
      </c>
      <c r="F12" s="151">
        <f ca="1">[1]!RCHGetTableCell("http://moneycentral.msn.com/investor/invsub/results/statemnt.aspx?lstStatement=Income&amp;stmtView=Ann&amp;Symbol="&amp;Ticker, 2,"Gross Profit")</f>
        <v>20570</v>
      </c>
      <c r="G12" s="167">
        <f ca="1">[1]!RCHGetTableCell("http://moneycentral.msn.com/investor/invsub/results/statemnt.aspx?lstStatement=Income&amp;stmtView=Ann&amp;Symbol="&amp;Ticker, 1,"Gross Profit")</f>
        <v>19902</v>
      </c>
      <c r="H12" s="151">
        <f ca="1">[1]!RCHGetTableCell("http://moneycentral.msn.com/investor/invsub/results/statemnt.aspx?lstStatement=Income&amp;stmtView=Qtr&amp;Symbol="&amp;Ticker, 4,"Gross Profit")</f>
        <v>5354</v>
      </c>
      <c r="I12" s="151">
        <f ca="1">[1]!RCHGetTableCell("http://moneycentral.msn.com/investor/invsub/results/statemnt.aspx?lstStatement=Income&amp;stmtView=Qtr&amp;Symbol="&amp;Ticker, 3,"Gross Profit")</f>
        <v>5110</v>
      </c>
      <c r="J12" s="151">
        <f ca="1">[1]!RCHGetTableCell("http://moneycentral.msn.com/investor/invsub/results/statemnt.aspx?lstStatement=Income&amp;stmtView=Qtr&amp;Symbol="&amp;Ticker, 2,"Gross Profit")</f>
        <v>4859</v>
      </c>
      <c r="K12" s="151">
        <f ca="1">[1]!RCHGetTableCell("http://moneycentral.msn.com/investor/invsub/results/statemnt.aspx?lstStatement=Income&amp;stmtView=Qtr&amp;Symbol="&amp;Ticker, 1,"Gross Profit")</f>
        <v>4984</v>
      </c>
      <c r="L12" s="151">
        <f t="shared" ca="1" si="0"/>
        <v>20307</v>
      </c>
    </row>
    <row r="13" spans="2:12" ht="25.5">
      <c r="B13" s="169" t="s">
        <v>334</v>
      </c>
      <c r="C13" s="170">
        <f ca="1">[1]!RCHGetTableCell("http://moneycentral.msn.com/investor/invsub/results/statemnt.aspx?lstStatement=Income&amp;stmtView=Ann&amp;Symbol="&amp;Ticker, 5,"Selling/General/Administrative Expenses, Total")</f>
        <v>8739</v>
      </c>
      <c r="D13" s="170">
        <f ca="1">[1]!RCHGetTableCell("http://moneycentral.msn.com/investor/invsub/results/statemnt.aspx?lstStatement=Income&amp;stmtView=Ann&amp;Symbol="&amp;Ticker, 4,"Selling/General/Administrative Expenses, Total")</f>
        <v>9431</v>
      </c>
      <c r="E13" s="170">
        <f ca="1">[1]!RCHGetTableCell("http://moneycentral.msn.com/investor/invsub/results/statemnt.aspx?lstStatement=Income&amp;stmtView=Ann&amp;Symbol="&amp;Ticker, 3,"Selling/General/Administrative Expenses, Total")</f>
        <v>10945</v>
      </c>
      <c r="F13" s="170">
        <f ca="1">[1]!RCHGetTableCell("http://moneycentral.msn.com/investor/invsub/results/statemnt.aspx?lstStatement=Income&amp;stmtView=Ann&amp;Symbol="&amp;Ticker, 2,"Selling/General/Administrative Expenses, Total")</f>
        <v>11774</v>
      </c>
      <c r="G13" s="171">
        <f ca="1">[1]!RCHGetTableCell("http://moneycentral.msn.com/investor/invsub/results/statemnt.aspx?lstStatement=Income&amp;stmtView=Ann&amp;Symbol="&amp;Ticker, 1,"Selling/General/Administrative Expenses, Total")</f>
        <v>11358</v>
      </c>
      <c r="H13" s="170">
        <f ca="1">[1]!RCHGetTableCell("http://moneycentral.msn.com/investor/invsub/results/statemnt.aspx?lstStatement=Income&amp;stmtView=Qtr&amp;Symbol="&amp;Ticker, 4,"Selling/General/Administrative Expenses, Total")</f>
        <v>2844</v>
      </c>
      <c r="I13" s="170">
        <f ca="1">[1]!RCHGetTableCell("http://moneycentral.msn.com/investor/invsub/results/statemnt.aspx?lstStatement=Income&amp;stmtView=Qtr&amp;Symbol="&amp;Ticker, 3,"Selling/General/Administrative Expenses, Total")</f>
        <v>2912</v>
      </c>
      <c r="J13" s="170">
        <f ca="1">[1]!RCHGetTableCell("http://moneycentral.msn.com/investor/invsub/results/statemnt.aspx?lstStatement=Income&amp;stmtView=Qtr&amp;Symbol="&amp;Ticker, 2,"Selling/General/Administrative Expenses, Total")</f>
        <v>2978</v>
      </c>
      <c r="K13" s="170">
        <f ca="1">[1]!RCHGetTableCell("http://moneycentral.msn.com/investor/invsub/results/statemnt.aspx?lstStatement=Income&amp;stmtView=Qtr&amp;Symbol="&amp;Ticker, 1,"Selling/General/Administrative Expenses, Total")</f>
        <v>2755</v>
      </c>
      <c r="L13" s="170">
        <f t="shared" ca="1" si="0"/>
        <v>11489</v>
      </c>
    </row>
    <row r="14" spans="2:12">
      <c r="B14" s="168" t="s">
        <v>335</v>
      </c>
      <c r="C14" s="151">
        <f ca="1">[1]!RCHGetTableCell("http://moneycentral.msn.com/investor/invsub/results/statemnt.aspx?lstStatement=Income&amp;stmtView=Ann&amp;Symbol="&amp;Ticker, 5,"Research &amp; Development")</f>
        <v>0</v>
      </c>
      <c r="D14" s="151">
        <f ca="1">[1]!RCHGetTableCell("http://moneycentral.msn.com/investor/invsub/results/statemnt.aspx?lstStatement=Income&amp;stmtView=Ann&amp;Symbol="&amp;Ticker, 4,"Research &amp; Development")</f>
        <v>0</v>
      </c>
      <c r="E14" s="151">
        <f ca="1">[1]!RCHGetTableCell("http://moneycentral.msn.com/investor/invsub/results/statemnt.aspx?lstStatement=Income&amp;stmtView=Ann&amp;Symbol="&amp;Ticker, 3,"Research &amp; Development")</f>
        <v>0</v>
      </c>
      <c r="F14" s="151">
        <f ca="1">[1]!RCHGetTableCell("http://moneycentral.msn.com/investor/invsub/results/statemnt.aspx?lstStatement=Income&amp;stmtView=Ann&amp;Symbol="&amp;Ticker, 2,"Research &amp; Development")</f>
        <v>0</v>
      </c>
      <c r="G14" s="167">
        <f ca="1">[1]!RCHGetTableCell("http://moneycentral.msn.com/investor/invsub/results/statemnt.aspx?lstStatement=Income&amp;stmtView=Ann&amp;Symbol="&amp;Ticker, 1,"Research &amp; Development")</f>
        <v>0</v>
      </c>
      <c r="H14" s="151">
        <f ca="1">[1]!RCHGetTableCell("http://moneycentral.msn.com/investor/invsub/results/statemnt.aspx?lstStatement=Income&amp;stmtView=Qtr&amp;Symbol="&amp;Ticker, 4,"Research &amp; Development")</f>
        <v>0</v>
      </c>
      <c r="I14" s="151">
        <f ca="1">[1]!RCHGetTableCell("http://moneycentral.msn.com/investor/invsub/results/statemnt.aspx?lstStatement=Income&amp;stmtView=Qtr&amp;Symbol="&amp;Ticker, 3,"Research &amp; Development")</f>
        <v>0</v>
      </c>
      <c r="J14" s="151">
        <f ca="1">[1]!RCHGetTableCell("http://moneycentral.msn.com/investor/invsub/results/statemnt.aspx?lstStatement=Income&amp;stmtView=Qtr&amp;Symbol="&amp;Ticker, 2,"Research &amp; Development")</f>
        <v>0</v>
      </c>
      <c r="K14" s="151">
        <f ca="1">[1]!RCHGetTableCell("http://moneycentral.msn.com/investor/invsub/results/statemnt.aspx?lstStatement=Income&amp;stmtView=Qtr&amp;Symbol="&amp;Ticker, 1,"Research &amp; Development")</f>
        <v>0</v>
      </c>
      <c r="L14" s="151">
        <f t="shared" ca="1" si="0"/>
        <v>0</v>
      </c>
    </row>
    <row r="15" spans="2:12">
      <c r="B15" s="169" t="s">
        <v>336</v>
      </c>
      <c r="C15" s="170">
        <f ca="1">[1]!RCHGetTableCell("http://moneycentral.msn.com/investor/invsub/results/statemnt.aspx?lstStatement=Income&amp;stmtView=Ann&amp;Symbol="&amp;Ticker, 5,"Depreciation/Amortization")</f>
        <v>0</v>
      </c>
      <c r="D15" s="170">
        <f ca="1">[1]!RCHGetTableCell("http://moneycentral.msn.com/investor/invsub/results/statemnt.aspx?lstStatement=Income&amp;stmtView=Ann&amp;Symbol="&amp;Ticker, 4,"Depreciation/Amortization")</f>
        <v>0</v>
      </c>
      <c r="E15" s="170">
        <f ca="1">[1]!RCHGetTableCell("http://moneycentral.msn.com/investor/invsub/results/statemnt.aspx?lstStatement=Income&amp;stmtView=Ann&amp;Symbol="&amp;Ticker, 3,"Depreciation/Amortization")</f>
        <v>0</v>
      </c>
      <c r="F15" s="170">
        <f ca="1">[1]!RCHGetTableCell("http://moneycentral.msn.com/investor/invsub/results/statemnt.aspx?lstStatement=Income&amp;stmtView=Ann&amp;Symbol="&amp;Ticker, 2,"Depreciation/Amortization")</f>
        <v>0</v>
      </c>
      <c r="G15" s="171">
        <f ca="1">[1]!RCHGetTableCell("http://moneycentral.msn.com/investor/invsub/results/statemnt.aspx?lstStatement=Income&amp;stmtView=Ann&amp;Symbol="&amp;Ticker, 1,"Depreciation/Amortization")</f>
        <v>0</v>
      </c>
      <c r="H15" s="170">
        <f ca="1">[1]!RCHGetTableCell("http://moneycentral.msn.com/investor/invsub/results/statemnt.aspx?lstStatement=Income&amp;stmtView=Qtr&amp;Symbol="&amp;Ticker, 4,"Depreciation/Amortization")</f>
        <v>0</v>
      </c>
      <c r="I15" s="170">
        <f ca="1">[1]!RCHGetTableCell("http://moneycentral.msn.com/investor/invsub/results/statemnt.aspx?lstStatement=Income&amp;stmtView=Qtr&amp;Symbol="&amp;Ticker, 3,"Depreciation/Amortization")</f>
        <v>0</v>
      </c>
      <c r="J15" s="170">
        <f ca="1">[1]!RCHGetTableCell("http://moneycentral.msn.com/investor/invsub/results/statemnt.aspx?lstStatement=Income&amp;stmtView=Qtr&amp;Symbol="&amp;Ticker, 2,"Depreciation/Amortization")</f>
        <v>0</v>
      </c>
      <c r="K15" s="170">
        <f ca="1">[1]!RCHGetTableCell("http://moneycentral.msn.com/investor/invsub/results/statemnt.aspx?lstStatement=Income&amp;stmtView=Qtr&amp;Symbol="&amp;Ticker, 1,"Depreciation/Amortization")</f>
        <v>0</v>
      </c>
      <c r="L15" s="170">
        <f t="shared" ca="1" si="0"/>
        <v>0</v>
      </c>
    </row>
    <row r="16" spans="2:12">
      <c r="B16" s="168" t="s">
        <v>377</v>
      </c>
      <c r="C16" s="151">
        <f ca="1">[1]!RCHGetTableCell("http://moneycentral.msn.com/investor/invsub/results/statemnt.aspx?lstStatement=Income&amp;stmtView=Ann&amp;Symbol="&amp;Ticker, 5,"Interest Expense (Income), Net Operating")</f>
        <v>0</v>
      </c>
      <c r="D16" s="151">
        <f ca="1">[1]!RCHGetTableCell("http://moneycentral.msn.com/investor/invsub/results/statemnt.aspx?lstStatement=Income&amp;stmtView=Ann&amp;Symbol="&amp;Ticker, 4,"Interest Expense (Income), Net Operating")</f>
        <v>0</v>
      </c>
      <c r="E16" s="151">
        <f ca="1">[1]!RCHGetTableCell("http://moneycentral.msn.com/investor/invsub/results/statemnt.aspx?lstStatement=Income&amp;stmtView=Ann&amp;Symbol="&amp;Ticker, 3,"Interest Expense (Income), Net Operating")</f>
        <v>0</v>
      </c>
      <c r="F16" s="151">
        <f ca="1">[1]!RCHGetTableCell("http://moneycentral.msn.com/investor/invsub/results/statemnt.aspx?lstStatement=Income&amp;stmtView=Ann&amp;Symbol="&amp;Ticker, 2,"Interest Expense (Income), Net Operating")</f>
        <v>0</v>
      </c>
      <c r="G16" s="167">
        <f ca="1">[1]!RCHGetTableCell("http://moneycentral.msn.com/investor/invsub/results/statemnt.aspx?lstStatement=Income&amp;stmtView=Ann&amp;Symbol="&amp;Ticker, 1,"Interest Expense (Income), Net Operating")</f>
        <v>0</v>
      </c>
      <c r="H16" s="151">
        <f ca="1">[1]!RCHGetTableCell("http://moneycentral.msn.com/investor/invsub/results/statemnt.aspx?lstStatement=Income&amp;stmtView=Qtr&amp;Symbol="&amp;Ticker, 4,"Interest Expense (Income), Net Operating")</f>
        <v>0</v>
      </c>
      <c r="I16" s="151">
        <f ca="1">[1]!RCHGetTableCell("http://moneycentral.msn.com/investor/invsub/results/statemnt.aspx?lstStatement=Income&amp;stmtView=Qtr&amp;Symbol="&amp;Ticker, 3,"Interest Expense (Income), Net Operating")</f>
        <v>0</v>
      </c>
      <c r="J16" s="151">
        <f ca="1">[1]!RCHGetTableCell("http://moneycentral.msn.com/investor/invsub/results/statemnt.aspx?lstStatement=Income&amp;stmtView=Qtr&amp;Symbol="&amp;Ticker, 2,"Interest Expense (Income), Net Operating")</f>
        <v>0</v>
      </c>
      <c r="K16" s="151">
        <f ca="1">[1]!RCHGetTableCell("http://moneycentral.msn.com/investor/invsub/results/statemnt.aspx?lstStatement=Income&amp;stmtView=Qtr&amp;Symbol="&amp;Ticker, 1,"Interest Expense (Income), Net Operating")</f>
        <v>0</v>
      </c>
      <c r="L16" s="151">
        <f t="shared" ca="1" si="0"/>
        <v>0</v>
      </c>
    </row>
    <row r="17" spans="2:12">
      <c r="B17" s="169" t="s">
        <v>376</v>
      </c>
      <c r="C17" s="170">
        <f ca="1">[1]!RCHGetTableCell("http://moneycentral.msn.com/investor/invsub/results/statemnt.aspx?lstStatement=Income&amp;stmtView=Ann&amp;Symbol="&amp;Ticker, 5,"Unusual Expense (Income)")</f>
        <v>85</v>
      </c>
      <c r="D17" s="170">
        <f ca="1">[1]!RCHGetTableCell("http://moneycentral.msn.com/investor/invsub/results/statemnt.aspx?lstStatement=Income&amp;stmtView=Ann&amp;Symbol="&amp;Ticker, 4,"Unusual Expense (Income)")</f>
        <v>185</v>
      </c>
      <c r="E17" s="170">
        <f ca="1">[1]!RCHGetTableCell("http://moneycentral.msn.com/investor/invsub/results/statemnt.aspx?lstStatement=Income&amp;stmtView=Ann&amp;Symbol="&amp;Ticker, 3,"Unusual Expense (Income)")</f>
        <v>0</v>
      </c>
      <c r="F17" s="170">
        <f ca="1">[1]!RCHGetTableCell("http://moneycentral.msn.com/investor/invsub/results/statemnt.aspx?lstStatement=Income&amp;stmtView=Ann&amp;Symbol="&amp;Ticker, 2,"Unusual Expense (Income)")</f>
        <v>350</v>
      </c>
      <c r="G17" s="171">
        <f ca="1">[1]!RCHGetTableCell("http://moneycentral.msn.com/investor/invsub/results/statemnt.aspx?lstStatement=Income&amp;stmtView=Ann&amp;Symbol="&amp;Ticker, 1,"Unusual Expense (Income)")</f>
        <v>313</v>
      </c>
      <c r="H17" s="170">
        <f ca="1">[1]!RCHGetTableCell("http://moneycentral.msn.com/investor/invsub/results/statemnt.aspx?lstStatement=Income&amp;stmtView=Qtr&amp;Symbol="&amp;Ticker, 4,"Unusual Expense (Income)")</f>
        <v>72</v>
      </c>
      <c r="I17" s="170">
        <f ca="1">[1]!RCHGetTableCell("http://moneycentral.msn.com/investor/invsub/results/statemnt.aspx?lstStatement=Income&amp;stmtView=Qtr&amp;Symbol="&amp;Ticker, 3,"Unusual Expense (Income)")</f>
        <v>48</v>
      </c>
      <c r="J17" s="170">
        <f ca="1">[1]!RCHGetTableCell("http://moneycentral.msn.com/investor/invsub/results/statemnt.aspx?lstStatement=Income&amp;stmtView=Qtr&amp;Symbol="&amp;Ticker, 2,"Unusual Expense (Income)")</f>
        <v>101</v>
      </c>
      <c r="K17" s="170">
        <f ca="1">[1]!RCHGetTableCell("http://moneycentral.msn.com/investor/invsub/results/statemnt.aspx?lstStatement=Income&amp;stmtView=Qtr&amp;Symbol="&amp;Ticker, 1,"Unusual Expense (Income)")</f>
        <v>46</v>
      </c>
      <c r="L17" s="170">
        <f t="shared" ca="1" si="0"/>
        <v>267</v>
      </c>
    </row>
    <row r="18" spans="2:12">
      <c r="B18" s="168" t="s">
        <v>375</v>
      </c>
      <c r="C18" s="151">
        <f ca="1">[1]!RCHGetTableCell("http://moneycentral.msn.com/investor/invsub/results/statemnt.aspx?lstStatement=Income&amp;stmtView=Ann&amp;Symbol="&amp;Ticker, 5,"Other Operating Expenses, Total")</f>
        <v>0</v>
      </c>
      <c r="D18" s="151">
        <f ca="1">[1]!RCHGetTableCell("http://moneycentral.msn.com/investor/invsub/results/statemnt.aspx?lstStatement=Income&amp;stmtView=Ann&amp;Symbol="&amp;Ticker, 4,"Other Operating Expenses, Total")</f>
        <v>0</v>
      </c>
      <c r="E18" s="151">
        <f ca="1">[1]!RCHGetTableCell("http://moneycentral.msn.com/investor/invsub/results/statemnt.aspx?lstStatement=Income&amp;stmtView=Ann&amp;Symbol="&amp;Ticker, 3,"Other Operating Expenses, Total")</f>
        <v>254</v>
      </c>
      <c r="F18" s="151">
        <f ca="1">[1]!RCHGetTableCell("http://moneycentral.msn.com/investor/invsub/results/statemnt.aspx?lstStatement=Income&amp;stmtView=Ann&amp;Symbol="&amp;Ticker, 2,"Other Operating Expenses, Total")</f>
        <v>0</v>
      </c>
      <c r="G18" s="167">
        <f ca="1">[1]!RCHGetTableCell("http://moneycentral.msn.com/investor/invsub/results/statemnt.aspx?lstStatement=Income&amp;stmtView=Ann&amp;Symbol="&amp;Ticker, 1,"Other Operating Expenses, Total")</f>
        <v>0</v>
      </c>
      <c r="H18" s="151">
        <f ca="1">[1]!RCHGetTableCell("http://moneycentral.msn.com/investor/invsub/results/statemnt.aspx?lstStatement=Income&amp;stmtView=Qtr&amp;Symbol="&amp;Ticker, 4,"Other Operating Expenses, Total")</f>
        <v>0</v>
      </c>
      <c r="I18" s="151">
        <f ca="1">[1]!RCHGetTableCell("http://moneycentral.msn.com/investor/invsub/results/statemnt.aspx?lstStatement=Income&amp;stmtView=Qtr&amp;Symbol="&amp;Ticker, 3,"Other Operating Expenses, Total")</f>
        <v>0</v>
      </c>
      <c r="J18" s="151">
        <f ca="1">[1]!RCHGetTableCell("http://moneycentral.msn.com/investor/invsub/results/statemnt.aspx?lstStatement=Income&amp;stmtView=Qtr&amp;Symbol="&amp;Ticker, 2,"Other Operating Expenses, Total")</f>
        <v>0</v>
      </c>
      <c r="K18" s="151">
        <f ca="1">[1]!RCHGetTableCell("http://moneycentral.msn.com/investor/invsub/results/statemnt.aspx?lstStatement=Income&amp;stmtView=Qtr&amp;Symbol="&amp;Ticker, 1,"Other Operating Expenses, Total")</f>
        <v>0</v>
      </c>
      <c r="L18" s="151">
        <f t="shared" ca="1" si="0"/>
        <v>0</v>
      </c>
    </row>
    <row r="19" spans="2:12">
      <c r="B19" s="169" t="s">
        <v>20</v>
      </c>
      <c r="C19" s="170">
        <f ca="1">[1]!RCHGetTableCell("http://moneycentral.msn.com/investor/invsub/results/statemnt.aspx?lstStatement=Income&amp;stmtView=Ann&amp;Symbol="&amp;Ticker, 5,"Operating Income")</f>
        <v>6085</v>
      </c>
      <c r="D19" s="170">
        <f ca="1">[1]!RCHGetTableCell("http://moneycentral.msn.com/investor/invsub/results/statemnt.aspx?lstStatement=Income&amp;stmtView=Ann&amp;Symbol="&amp;Ticker, 4,"Operating Income")</f>
        <v>6308</v>
      </c>
      <c r="E19" s="170">
        <f ca="1">[1]!RCHGetTableCell("http://moneycentral.msn.com/investor/invsub/results/statemnt.aspx?lstStatement=Income&amp;stmtView=Ann&amp;Symbol="&amp;Ticker, 3,"Operating Income")</f>
        <v>7252</v>
      </c>
      <c r="F19" s="170">
        <f ca="1">[1]!RCHGetTableCell("http://moneycentral.msn.com/investor/invsub/results/statemnt.aspx?lstStatement=Income&amp;stmtView=Ann&amp;Symbol="&amp;Ticker, 2,"Operating Income")</f>
        <v>8446</v>
      </c>
      <c r="G19" s="171">
        <f ca="1">[1]!RCHGetTableCell("http://moneycentral.msn.com/investor/invsub/results/statemnt.aspx?lstStatement=Income&amp;stmtView=Ann&amp;Symbol="&amp;Ticker, 1,"Operating Income")</f>
        <v>8231</v>
      </c>
      <c r="H19" s="170">
        <f ca="1">[1]!RCHGetTableCell("http://moneycentral.msn.com/investor/invsub/results/statemnt.aspx?lstStatement=Income&amp;stmtView=Qtr&amp;Symbol="&amp;Ticker, 4,"Operating Income")</f>
        <v>2438</v>
      </c>
      <c r="I19" s="170">
        <f ca="1">[1]!RCHGetTableCell("http://moneycentral.msn.com/investor/invsub/results/statemnt.aspx?lstStatement=Income&amp;stmtView=Qtr&amp;Symbol="&amp;Ticker, 3,"Operating Income")</f>
        <v>2150</v>
      </c>
      <c r="J19" s="170">
        <f ca="1">[1]!RCHGetTableCell("http://moneycentral.msn.com/investor/invsub/results/statemnt.aspx?lstStatement=Income&amp;stmtView=Qtr&amp;Symbol="&amp;Ticker, 2,"Operating Income")</f>
        <v>1780</v>
      </c>
      <c r="K19" s="170">
        <f ca="1">[1]!RCHGetTableCell("http://moneycentral.msn.com/investor/invsub/results/statemnt.aspx?lstStatement=Income&amp;stmtView=Qtr&amp;Symbol="&amp;Ticker, 1,"Operating Income")</f>
        <v>2183</v>
      </c>
      <c r="L19" s="170">
        <f t="shared" ca="1" si="0"/>
        <v>8551</v>
      </c>
    </row>
    <row r="20" spans="2:12" ht="25.5">
      <c r="B20" s="168" t="s">
        <v>378</v>
      </c>
      <c r="C20" s="151">
        <f ca="1">[1]!RCHGetTableCell("http://moneycentral.msn.com/investor/invsub/results/statemnt.aspx?lstStatement=Income&amp;stmtView=Ann&amp;Symbol="&amp;Ticker, 5,"Interest Income (Expense), Net Non-Operating")</f>
        <v>0</v>
      </c>
      <c r="D20" s="151">
        <f ca="1">[1]!RCHGetTableCell("http://moneycentral.msn.com/investor/invsub/results/statemnt.aspx?lstStatement=Income&amp;stmtView=Ann&amp;Symbol="&amp;Ticker, 4,"Interest Income (Expense), Net Non-Operating")</f>
        <v>0</v>
      </c>
      <c r="E20" s="151">
        <f ca="1">[1]!RCHGetTableCell("http://moneycentral.msn.com/investor/invsub/results/statemnt.aspx?lstStatement=Income&amp;stmtView=Ann&amp;Symbol="&amp;Ticker, 3,"Interest Income (Expense), Net Non-Operating")</f>
        <v>0</v>
      </c>
      <c r="F20" s="151">
        <f ca="1">[1]!RCHGetTableCell("http://moneycentral.msn.com/investor/invsub/results/statemnt.aspx?lstStatement=Income&amp;stmtView=Ann&amp;Symbol="&amp;Ticker, 2,"Interest Income (Expense), Net Non-Operating")</f>
        <v>0</v>
      </c>
      <c r="G20" s="167">
        <f ca="1">[1]!RCHGetTableCell("http://moneycentral.msn.com/investor/invsub/results/statemnt.aspx?lstStatement=Income&amp;stmtView=Ann&amp;Symbol="&amp;Ticker, 1,"Interest Income (Expense), Net Non-Operating")</f>
        <v>0</v>
      </c>
      <c r="H20" s="151">
        <f ca="1">[1]!RCHGetTableCell("http://moneycentral.msn.com/investor/invsub/results/statemnt.aspx?lstStatement=Income&amp;stmtView=Qtr&amp;Symbol="&amp;Ticker, 4,"Interest Income (Expense), Net Non-Operating")</f>
        <v>0</v>
      </c>
      <c r="I20" s="151">
        <f ca="1">[1]!RCHGetTableCell("http://moneycentral.msn.com/investor/invsub/results/statemnt.aspx?lstStatement=Income&amp;stmtView=Qtr&amp;Symbol="&amp;Ticker, 3,"Interest Income (Expense), Net Non-Operating")</f>
        <v>0</v>
      </c>
      <c r="J20" s="151">
        <f ca="1">[1]!RCHGetTableCell("http://moneycentral.msn.com/investor/invsub/results/statemnt.aspx?lstStatement=Income&amp;stmtView=Qtr&amp;Symbol="&amp;Ticker, 2,"Interest Income (Expense), Net Non-Operating")</f>
        <v>0</v>
      </c>
      <c r="K20" s="151">
        <f ca="1">[1]!RCHGetTableCell("http://moneycentral.msn.com/investor/invsub/results/statemnt.aspx?lstStatement=Income&amp;stmtView=Qtr&amp;Symbol="&amp;Ticker, 1,"Interest Income (Expense), Net Non-Operating")</f>
        <v>0</v>
      </c>
      <c r="L20" s="151">
        <f t="shared" ca="1" si="0"/>
        <v>0</v>
      </c>
    </row>
    <row r="21" spans="2:12">
      <c r="B21" s="169" t="s">
        <v>379</v>
      </c>
      <c r="C21" s="170">
        <f ca="1">[1]!RCHGetTableCell("http://moneycentral.msn.com/investor/invsub/results/statemnt.aspx?lstStatement=Income&amp;stmtView=Ann&amp;Symbol="&amp;Ticker, 5,"Gain (Loss) on Sale of Assets")</f>
        <v>0</v>
      </c>
      <c r="D21" s="170">
        <f ca="1">[1]!RCHGetTableCell("http://moneycentral.msn.com/investor/invsub/results/statemnt.aspx?lstStatement=Income&amp;stmtView=Ann&amp;Symbol="&amp;Ticker, 4,"Gain (Loss) on Sale of Assets")</f>
        <v>0</v>
      </c>
      <c r="E21" s="170">
        <f ca="1">[1]!RCHGetTableCell("http://moneycentral.msn.com/investor/invsub/results/statemnt.aspx?lstStatement=Income&amp;stmtView=Ann&amp;Symbol="&amp;Ticker, 3,"Gain (Loss) on Sale of Assets")</f>
        <v>0</v>
      </c>
      <c r="F21" s="170">
        <f ca="1">[1]!RCHGetTableCell("http://moneycentral.msn.com/investor/invsub/results/statemnt.aspx?lstStatement=Income&amp;stmtView=Ann&amp;Symbol="&amp;Ticker, 2,"Gain (Loss) on Sale of Assets")</f>
        <v>0</v>
      </c>
      <c r="G21" s="171">
        <f ca="1">[1]!RCHGetTableCell("http://moneycentral.msn.com/investor/invsub/results/statemnt.aspx?lstStatement=Income&amp;stmtView=Ann&amp;Symbol="&amp;Ticker, 1,"Gain (Loss) on Sale of Assets")</f>
        <v>0</v>
      </c>
      <c r="H21" s="170">
        <f ca="1">[1]!RCHGetTableCell("http://moneycentral.msn.com/investor/invsub/results/statemnt.aspx?lstStatement=Income&amp;stmtView=Qtr&amp;Symbol="&amp;Ticker, 4,"Gain (Loss) on Sale of Assets")</f>
        <v>0</v>
      </c>
      <c r="I21" s="170">
        <f ca="1">[1]!RCHGetTableCell("http://moneycentral.msn.com/investor/invsub/results/statemnt.aspx?lstStatement=Income&amp;stmtView=Qtr&amp;Symbol="&amp;Ticker, 3,"Gain (Loss) on Sale of Assets")</f>
        <v>0</v>
      </c>
      <c r="J21" s="170">
        <f ca="1">[1]!RCHGetTableCell("http://moneycentral.msn.com/investor/invsub/results/statemnt.aspx?lstStatement=Income&amp;stmtView=Qtr&amp;Symbol="&amp;Ticker, 2,"Gain (Loss) on Sale of Assets")</f>
        <v>0</v>
      </c>
      <c r="K21" s="170">
        <f ca="1">[1]!RCHGetTableCell("http://moneycentral.msn.com/investor/invsub/results/statemnt.aspx?lstStatement=Income&amp;stmtView=Qtr&amp;Symbol="&amp;Ticker, 1,"Gain (Loss) on Sale of Assets")</f>
        <v>0</v>
      </c>
      <c r="L21" s="170">
        <f t="shared" ca="1" si="0"/>
        <v>0</v>
      </c>
    </row>
    <row r="22" spans="2:12">
      <c r="B22" s="168" t="s">
        <v>380</v>
      </c>
      <c r="C22" s="151">
        <f ca="1">[1]!RCHGetTableCell("http://moneycentral.msn.com/investor/invsub/results/statemnt.aspx?lstStatement=Income&amp;stmtView=Ann&amp;Symbol="&amp;Ticker, 5,"Other, Net")</f>
        <v>-93</v>
      </c>
      <c r="D22" s="151">
        <f ca="1">[1]!RCHGetTableCell("http://moneycentral.msn.com/investor/invsub/results/statemnt.aspx?lstStatement=Income&amp;stmtView=Ann&amp;Symbol="&amp;Ticker, 4,"Other, Net")</f>
        <v>195</v>
      </c>
      <c r="E22" s="151">
        <f ca="1">[1]!RCHGetTableCell("http://moneycentral.msn.com/investor/invsub/results/statemnt.aspx?lstStatement=Income&amp;stmtView=Ann&amp;Symbol="&amp;Ticker, 3,"Other, Net")</f>
        <v>219</v>
      </c>
      <c r="F22" s="151">
        <f ca="1">[1]!RCHGetTableCell("http://moneycentral.msn.com/investor/invsub/results/statemnt.aspx?lstStatement=Income&amp;stmtView=Ann&amp;Symbol="&amp;Ticker, 2,"Other, Net")</f>
        <v>39</v>
      </c>
      <c r="G22" s="167">
        <f ca="1">[1]!RCHGetTableCell("http://moneycentral.msn.com/investor/invsub/results/statemnt.aspx?lstStatement=Income&amp;stmtView=Ann&amp;Symbol="&amp;Ticker, 1,"Other, Net")</f>
        <v>40</v>
      </c>
      <c r="H22" s="151">
        <f ca="1">[1]!RCHGetTableCell("http://moneycentral.msn.com/investor/invsub/results/statemnt.aspx?lstStatement=Income&amp;stmtView=Qtr&amp;Symbol="&amp;Ticker, 4,"Other, Net")</f>
        <v>20</v>
      </c>
      <c r="I22" s="151">
        <f ca="1">[1]!RCHGetTableCell("http://moneycentral.msn.com/investor/invsub/results/statemnt.aspx?lstStatement=Income&amp;stmtView=Qtr&amp;Symbol="&amp;Ticker, 3,"Other, Net")</f>
        <v>33</v>
      </c>
      <c r="J22" s="151">
        <f ca="1">[1]!RCHGetTableCell("http://moneycentral.msn.com/investor/invsub/results/statemnt.aspx?lstStatement=Income&amp;stmtView=Qtr&amp;Symbol="&amp;Ticker, 2,"Other, Net")</f>
        <v>27</v>
      </c>
      <c r="K22" s="151">
        <f ca="1">[1]!RCHGetTableCell("http://moneycentral.msn.com/investor/invsub/results/statemnt.aspx?lstStatement=Income&amp;stmtView=Qtr&amp;Symbol="&amp;Ticker, 1,"Other, Net")</f>
        <v>-115</v>
      </c>
      <c r="L22" s="151">
        <f t="shared" ca="1" si="0"/>
        <v>-35</v>
      </c>
    </row>
    <row r="23" spans="2:12">
      <c r="B23" s="169" t="s">
        <v>322</v>
      </c>
      <c r="C23" s="170">
        <f ca="1">[1]!RCHGetTableCell("http://moneycentral.msn.com/investor/invsub/results/statemnt.aspx?lstStatement=Income&amp;stmtView=Ann&amp;Symbol="&amp;Ticker, 5,"Income Before Tax")</f>
        <v>6690</v>
      </c>
      <c r="D23" s="170">
        <f ca="1">[1]!RCHGetTableCell("http://moneycentral.msn.com/investor/invsub/results/statemnt.aspx?lstStatement=Income&amp;stmtView=Ann&amp;Symbol="&amp;Ticker, 4,"Income Before Tax")</f>
        <v>6578</v>
      </c>
      <c r="E23" s="170">
        <f ca="1">[1]!RCHGetTableCell("http://moneycentral.msn.com/investor/invsub/results/statemnt.aspx?lstStatement=Income&amp;stmtView=Ann&amp;Symbol="&amp;Ticker, 3,"Income Before Tax")</f>
        <v>7919</v>
      </c>
      <c r="F23" s="170">
        <f ca="1">[1]!RCHGetTableCell("http://moneycentral.msn.com/investor/invsub/results/statemnt.aspx?lstStatement=Income&amp;stmtView=Ann&amp;Symbol="&amp;Ticker, 2,"Income Before Tax")</f>
        <v>7506</v>
      </c>
      <c r="G23" s="171">
        <f ca="1">[1]!RCHGetTableCell("http://moneycentral.msn.com/investor/invsub/results/statemnt.aspx?lstStatement=Income&amp;stmtView=Ann&amp;Symbol="&amp;Ticker, 1,"Income Before Tax")</f>
        <v>8946</v>
      </c>
      <c r="H23" s="170">
        <f ca="1">[1]!RCHGetTableCell("http://moneycentral.msn.com/investor/invsub/results/statemnt.aspx?lstStatement=Income&amp;stmtView=Qtr&amp;Symbol="&amp;Ticker, 4,"Income Before Tax")</f>
        <v>2728</v>
      </c>
      <c r="I23" s="170">
        <f ca="1">[1]!RCHGetTableCell("http://moneycentral.msn.com/investor/invsub/results/statemnt.aspx?lstStatement=Income&amp;stmtView=Qtr&amp;Symbol="&amp;Ticker, 3,"Income Before Tax")</f>
        <v>2443</v>
      </c>
      <c r="J23" s="170">
        <f ca="1">[1]!RCHGetTableCell("http://moneycentral.msn.com/investor/invsub/results/statemnt.aspx?lstStatement=Income&amp;stmtView=Qtr&amp;Symbol="&amp;Ticker, 2,"Income Before Tax")</f>
        <v>1960</v>
      </c>
      <c r="K23" s="170">
        <f ca="1">[1]!RCHGetTableCell("http://moneycentral.msn.com/investor/invsub/results/statemnt.aspx?lstStatement=Income&amp;stmtView=Qtr&amp;Symbol="&amp;Ticker, 1,"Income Before Tax")</f>
        <v>2179</v>
      </c>
      <c r="L23" s="170">
        <f t="shared" ca="1" si="0"/>
        <v>9310</v>
      </c>
    </row>
    <row r="24" spans="2:12">
      <c r="B24" s="168" t="s">
        <v>381</v>
      </c>
      <c r="C24" s="151">
        <f ca="1">[1]!RCHGetTableCell("http://moneycentral.msn.com/investor/invsub/results/statemnt.aspx?lstStatement=Income&amp;stmtView=Ann&amp;Symbol="&amp;Ticker, 5,"Income Tax - Total")</f>
        <v>1818</v>
      </c>
      <c r="D24" s="151">
        <f ca="1">[1]!RCHGetTableCell("http://moneycentral.msn.com/investor/invsub/results/statemnt.aspx?lstStatement=Income&amp;stmtView=Ann&amp;Symbol="&amp;Ticker, 4,"Income Tax - Total")</f>
        <v>1498</v>
      </c>
      <c r="E24" s="153">
        <f ca="1">[1]!RCHGetTableCell("http://moneycentral.msn.com/investor/invsub/results/statemnt.aspx?lstStatement=Income&amp;stmtView=Ann&amp;Symbol="&amp;Ticker, 3,"Income Tax - Total")</f>
        <v>1892</v>
      </c>
      <c r="F24" s="151">
        <f ca="1">[1]!RCHGetTableCell("http://moneycentral.msn.com/investor/invsub/results/statemnt.aspx?lstStatement=Income&amp;stmtView=Ann&amp;Symbol="&amp;Ticker, 2,"Income Tax - Total")</f>
        <v>1632</v>
      </c>
      <c r="G24" s="167">
        <f ca="1">[1]!RCHGetTableCell("http://moneycentral.msn.com/investor/invsub/results/statemnt.aspx?lstStatement=Income&amp;stmtView=Ann&amp;Symbol="&amp;Ticker, 1,"Income Tax - Total")</f>
        <v>2040</v>
      </c>
      <c r="H24" s="151">
        <f ca="1">[1]!RCHGetTableCell("http://moneycentral.msn.com/investor/invsub/results/statemnt.aspx?lstStatement=Income&amp;stmtView=Qtr&amp;Symbol="&amp;Ticker, 4,"Income Tax - Total")</f>
        <v>679</v>
      </c>
      <c r="I24" s="151">
        <f ca="1">[1]!RCHGetTableCell("http://moneycentral.msn.com/investor/invsub/results/statemnt.aspx?lstStatement=Income&amp;stmtView=Qtr&amp;Symbol="&amp;Ticker, 3,"Income Tax - Total")</f>
        <v>523</v>
      </c>
      <c r="J24" s="151">
        <f ca="1">[1]!RCHGetTableCell("http://moneycentral.msn.com/investor/invsub/results/statemnt.aspx?lstStatement=Income&amp;stmtView=Qtr&amp;Symbol="&amp;Ticker, 2,"Income Tax - Total")</f>
        <v>382</v>
      </c>
      <c r="K24" s="151">
        <f ca="1">[1]!RCHGetTableCell("http://moneycentral.msn.com/investor/invsub/results/statemnt.aspx?lstStatement=Income&amp;stmtView=Qtr&amp;Symbol="&amp;Ticker, 1,"Income Tax - Total")</f>
        <v>553</v>
      </c>
      <c r="L24" s="151">
        <f t="shared" ca="1" si="0"/>
        <v>2137</v>
      </c>
    </row>
    <row r="25" spans="2:12">
      <c r="B25" s="169" t="s">
        <v>324</v>
      </c>
      <c r="C25" s="170">
        <f ca="1">[1]!RCHGetTableCell("http://moneycentral.msn.com/investor/invsub/results/statemnt.aspx?lstStatement=Income&amp;stmtView=Ann&amp;Symbol="&amp;Ticker, 5,"Income After Tax")</f>
        <v>4872</v>
      </c>
      <c r="D25" s="170">
        <f ca="1">[1]!RCHGetTableCell("http://moneycentral.msn.com/investor/invsub/results/statemnt.aspx?lstStatement=Income&amp;stmtView=Ann&amp;Symbol="&amp;Ticker, 4,"Income After Tax")</f>
        <v>5080</v>
      </c>
      <c r="E25" s="172">
        <f ca="1">[1]!RCHGetTableCell("http://moneycentral.msn.com/investor/invsub/results/statemnt.aspx?lstStatement=Income&amp;stmtView=Ann&amp;Symbol="&amp;Ticker, 3,"Income After Tax")</f>
        <v>6027</v>
      </c>
      <c r="F25" s="170">
        <f ca="1">[1]!RCHGetTableCell("http://moneycentral.msn.com/investor/invsub/results/statemnt.aspx?lstStatement=Income&amp;stmtView=Ann&amp;Symbol="&amp;Ticker, 2,"Income After Tax")</f>
        <v>5874</v>
      </c>
      <c r="G25" s="171">
        <f ca="1">[1]!RCHGetTableCell("http://moneycentral.msn.com/investor/invsub/results/statemnt.aspx?lstStatement=Income&amp;stmtView=Ann&amp;Symbol="&amp;Ticker, 1,"Income After Tax")</f>
        <v>6906</v>
      </c>
      <c r="H25" s="170">
        <f ca="1">[1]!RCHGetTableCell("http://moneycentral.msn.com/investor/invsub/results/statemnt.aspx?lstStatement=Income&amp;stmtView=Qtr&amp;Symbol="&amp;Ticker, 4,"Income After Tax")</f>
        <v>2049</v>
      </c>
      <c r="I25" s="170">
        <f ca="1">[1]!RCHGetTableCell("http://moneycentral.msn.com/investor/invsub/results/statemnt.aspx?lstStatement=Income&amp;stmtView=Qtr&amp;Symbol="&amp;Ticker, 3,"Income After Tax")</f>
        <v>1920</v>
      </c>
      <c r="J25" s="170">
        <f ca="1">[1]!RCHGetTableCell("http://moneycentral.msn.com/investor/invsub/results/statemnt.aspx?lstStatement=Income&amp;stmtView=Qtr&amp;Symbol="&amp;Ticker, 2,"Income After Tax")</f>
        <v>1578</v>
      </c>
      <c r="K25" s="170">
        <f ca="1">[1]!RCHGetTableCell("http://moneycentral.msn.com/investor/invsub/results/statemnt.aspx?lstStatement=Income&amp;stmtView=Qtr&amp;Symbol="&amp;Ticker, 1,"Income After Tax")</f>
        <v>1626</v>
      </c>
      <c r="L25" s="170">
        <f t="shared" ca="1" si="0"/>
        <v>7173</v>
      </c>
    </row>
    <row r="26" spans="2:12">
      <c r="B26" s="168" t="s">
        <v>337</v>
      </c>
      <c r="C26" s="151">
        <f ca="1">[1]!RCHGetTableCell("http://moneycentral.msn.com/investor/invsub/results/statemnt.aspx?lstStatement=Income&amp;stmtView=Ann&amp;Symbol="&amp;Ticker, 5,"Minority Interest")</f>
        <v>0</v>
      </c>
      <c r="D26" s="151">
        <f ca="1">[1]!RCHGetTableCell("http://moneycentral.msn.com/investor/invsub/results/statemnt.aspx?lstStatement=Income&amp;stmtView=Ann&amp;Symbol="&amp;Ticker, 4,"Minority Interest")</f>
        <v>0</v>
      </c>
      <c r="E26" s="151">
        <f ca="1">[1]!RCHGetTableCell("http://moneycentral.msn.com/investor/invsub/results/statemnt.aspx?lstStatement=Income&amp;stmtView=Ann&amp;Symbol="&amp;Ticker, 3,"Minority Interest")</f>
        <v>-46</v>
      </c>
      <c r="F26" s="151">
        <f ca="1">[1]!RCHGetTableCell("http://moneycentral.msn.com/investor/invsub/results/statemnt.aspx?lstStatement=Income&amp;stmtView=Ann&amp;Symbol="&amp;Ticker, 2,"Minority Interest")</f>
        <v>-67</v>
      </c>
      <c r="G26" s="167">
        <f ca="1">[1]!RCHGetTableCell("http://moneycentral.msn.com/investor/invsub/results/statemnt.aspx?lstStatement=Income&amp;stmtView=Ann&amp;Symbol="&amp;Ticker, 1,"Minority Interest")</f>
        <v>-82</v>
      </c>
      <c r="H26" s="151">
        <f ca="1">[1]!RCHGetTableCell("http://moneycentral.msn.com/investor/invsub/results/statemnt.aspx?lstStatement=Income&amp;stmtView=Qtr&amp;Symbol="&amp;Ticker, 4,"Minority Interest")</f>
        <v>-12</v>
      </c>
      <c r="I26" s="151">
        <f ca="1">[1]!RCHGetTableCell("http://moneycentral.msn.com/investor/invsub/results/statemnt.aspx?lstStatement=Income&amp;stmtView=Qtr&amp;Symbol="&amp;Ticker, 3,"Minority Interest")</f>
        <v>-24</v>
      </c>
      <c r="J26" s="151">
        <f ca="1">[1]!RCHGetTableCell("http://moneycentral.msn.com/investor/invsub/results/statemnt.aspx?lstStatement=Income&amp;stmtView=Qtr&amp;Symbol="&amp;Ticker, 2,"Minority Interest")</f>
        <v>-35</v>
      </c>
      <c r="K26" s="151">
        <f ca="1">[1]!RCHGetTableCell("http://moneycentral.msn.com/investor/invsub/results/statemnt.aspx?lstStatement=Income&amp;stmtView=Qtr&amp;Symbol="&amp;Ticker, 1,"Minority Interest")</f>
        <v>-12</v>
      </c>
      <c r="L26" s="151">
        <f t="shared" ca="1" si="0"/>
        <v>-83</v>
      </c>
    </row>
    <row r="27" spans="2:12">
      <c r="B27" s="169" t="s">
        <v>338</v>
      </c>
      <c r="C27" s="170">
        <f ca="1">[1]!RCHGetTableCell("http://moneycentral.msn.com/investor/invsub/results/statemnt.aspx?lstStatement=Income&amp;stmtView=Ann&amp;Symbol="&amp;Ticker, 5,"Equity In Affiliates")</f>
        <v>0</v>
      </c>
      <c r="D27" s="170">
        <f ca="1">[1]!RCHGetTableCell("http://moneycentral.msn.com/investor/invsub/results/statemnt.aspx?lstStatement=Income&amp;stmtView=Ann&amp;Symbol="&amp;Ticker, 4,"Equity In Affiliates")</f>
        <v>0</v>
      </c>
      <c r="E27" s="170">
        <f ca="1">[1]!RCHGetTableCell("http://moneycentral.msn.com/investor/invsub/results/statemnt.aspx?lstStatement=Income&amp;stmtView=Ann&amp;Symbol="&amp;Ticker, 3,"Equity In Affiliates")</f>
        <v>0</v>
      </c>
      <c r="F27" s="170">
        <f ca="1">[1]!RCHGetTableCell("http://moneycentral.msn.com/investor/invsub/results/statemnt.aspx?lstStatement=Income&amp;stmtView=Ann&amp;Symbol="&amp;Ticker, 2,"Equity In Affiliates")</f>
        <v>0</v>
      </c>
      <c r="G27" s="171">
        <f ca="1">[1]!RCHGetTableCell("http://moneycentral.msn.com/investor/invsub/results/statemnt.aspx?lstStatement=Income&amp;stmtView=Ann&amp;Symbol="&amp;Ticker, 1,"Equity In Affiliates")</f>
        <v>0</v>
      </c>
      <c r="H27" s="170">
        <f ca="1">[1]!RCHGetTableCell("http://moneycentral.msn.com/investor/invsub/results/statemnt.aspx?lstStatement=Income&amp;stmtView=Qtr&amp;Symbol="&amp;Ticker, 4,"Equity In Affiliates")</f>
        <v>0</v>
      </c>
      <c r="I27" s="170">
        <f ca="1">[1]!RCHGetTableCell("http://moneycentral.msn.com/investor/invsub/results/statemnt.aspx?lstStatement=Income&amp;stmtView=Qtr&amp;Symbol="&amp;Ticker, 3,"Equity In Affiliates")</f>
        <v>0</v>
      </c>
      <c r="J27" s="170">
        <f ca="1">[1]!RCHGetTableCell("http://moneycentral.msn.com/investor/invsub/results/statemnt.aspx?lstStatement=Income&amp;stmtView=Qtr&amp;Symbol="&amp;Ticker, 2,"Equity In Affiliates")</f>
        <v>0</v>
      </c>
      <c r="K27" s="170">
        <f ca="1">[1]!RCHGetTableCell("http://moneycentral.msn.com/investor/invsub/results/statemnt.aspx?lstStatement=Income&amp;stmtView=Qtr&amp;Symbol="&amp;Ticker, 1,"Equity In Affiliates")</f>
        <v>0</v>
      </c>
      <c r="L27" s="170">
        <f t="shared" ca="1" si="0"/>
        <v>0</v>
      </c>
    </row>
    <row r="28" spans="2:12">
      <c r="B28" s="168" t="s">
        <v>339</v>
      </c>
      <c r="C28" s="151">
        <f ca="1">[1]!RCHGetTableCell("http://moneycentral.msn.com/investor/invsub/results/statemnt.aspx?lstStatement=Income&amp;stmtView=Ann&amp;Symbol="&amp;Ticker, 5,"U.S. GAAP Adjustment")</f>
        <v>0</v>
      </c>
      <c r="D28" s="151">
        <f ca="1">[1]!RCHGetTableCell("http://moneycentral.msn.com/investor/invsub/results/statemnt.aspx?lstStatement=Income&amp;stmtView=Ann&amp;Symbol="&amp;Ticker, 4,"U.S. GAAP Adjustment")</f>
        <v>0</v>
      </c>
      <c r="E28" s="151">
        <f ca="1">[1]!RCHGetTableCell("http://moneycentral.msn.com/investor/invsub/results/statemnt.aspx?lstStatement=Income&amp;stmtView=Ann&amp;Symbol="&amp;Ticker, 3,"U.S. GAAP Adjustment")</f>
        <v>0</v>
      </c>
      <c r="F28" s="151">
        <f ca="1">[1]!RCHGetTableCell("http://moneycentral.msn.com/investor/invsub/results/statemnt.aspx?lstStatement=Income&amp;stmtView=Ann&amp;Symbol="&amp;Ticker, 2,"U.S. GAAP Adjustment")</f>
        <v>0</v>
      </c>
      <c r="G28" s="167">
        <f ca="1">[1]!RCHGetTableCell("http://moneycentral.msn.com/investor/invsub/results/statemnt.aspx?lstStatement=Income&amp;stmtView=Ann&amp;Symbol="&amp;Ticker, 1,"U.S. GAAP Adjustment")</f>
        <v>0</v>
      </c>
      <c r="H28" s="151">
        <f ca="1">[1]!RCHGetTableCell("http://moneycentral.msn.com/investor/invsub/results/statemnt.aspx?lstStatement=Income&amp;stmtView=Qtr&amp;Symbol="&amp;Ticker, 4,"U.S. GAAP Adjustment")</f>
        <v>0</v>
      </c>
      <c r="I28" s="151">
        <f ca="1">[1]!RCHGetTableCell("http://moneycentral.msn.com/investor/invsub/results/statemnt.aspx?lstStatement=Income&amp;stmtView=Qtr&amp;Symbol="&amp;Ticker, 3,"U.S. GAAP Adjustment")</f>
        <v>0</v>
      </c>
      <c r="J28" s="151">
        <f ca="1">[1]!RCHGetTableCell("http://moneycentral.msn.com/investor/invsub/results/statemnt.aspx?lstStatement=Income&amp;stmtView=Qtr&amp;Symbol="&amp;Ticker, 2,"U.S. GAAP Adjustment")</f>
        <v>0</v>
      </c>
      <c r="K28" s="151">
        <f ca="1">[1]!RCHGetTableCell("http://moneycentral.msn.com/investor/invsub/results/statemnt.aspx?lstStatement=Income&amp;stmtView=Qtr&amp;Symbol="&amp;Ticker, 1,"U.S. GAAP Adjustment")</f>
        <v>0</v>
      </c>
      <c r="L28" s="151">
        <f t="shared" ca="1" si="0"/>
        <v>0</v>
      </c>
    </row>
    <row r="29" spans="2:12">
      <c r="B29" s="169" t="s">
        <v>325</v>
      </c>
      <c r="C29" s="170">
        <f ca="1">[1]!RCHGetTableCell("http://moneycentral.msn.com/investor/invsub/results/statemnt.aspx?lstStatement=Income&amp;stmtView=Ann&amp;Symbol="&amp;Ticker, 5,"Net Income Before Extra. Items")</f>
        <v>4872</v>
      </c>
      <c r="D29" s="170">
        <f ca="1">[1]!RCHGetTableCell("http://moneycentral.msn.com/investor/invsub/results/statemnt.aspx?lstStatement=Income&amp;stmtView=Ann&amp;Symbol="&amp;Ticker, 4,"Net Income Before Extra. Items")</f>
        <v>5080</v>
      </c>
      <c r="E29" s="170">
        <f ca="1">[1]!RCHGetTableCell("http://moneycentral.msn.com/investor/invsub/results/statemnt.aspx?lstStatement=Income&amp;stmtView=Ann&amp;Symbol="&amp;Ticker, 3,"Net Income Before Extra. Items")</f>
        <v>5981</v>
      </c>
      <c r="F29" s="170">
        <f ca="1">[1]!RCHGetTableCell("http://moneycentral.msn.com/investor/invsub/results/statemnt.aspx?lstStatement=Income&amp;stmtView=Ann&amp;Symbol="&amp;Ticker, 2,"Net Income Before Extra. Items")</f>
        <v>5807</v>
      </c>
      <c r="G29" s="171">
        <f ca="1">[1]!RCHGetTableCell("http://moneycentral.msn.com/investor/invsub/results/statemnt.aspx?lstStatement=Income&amp;stmtView=Ann&amp;Symbol="&amp;Ticker, 1,"Net Income Before Extra. Items")</f>
        <v>6824</v>
      </c>
      <c r="H29" s="170">
        <f ca="1">[1]!RCHGetTableCell("http://moneycentral.msn.com/investor/invsub/results/statemnt.aspx?lstStatement=Income&amp;stmtView=Qtr&amp;Symbol="&amp;Ticker, 4,"Net Income Before Extra. Items")</f>
        <v>2037</v>
      </c>
      <c r="I29" s="170">
        <f ca="1">[1]!RCHGetTableCell("http://moneycentral.msn.com/investor/invsub/results/statemnt.aspx?lstStatement=Income&amp;stmtView=Qtr&amp;Symbol="&amp;Ticker, 3,"Net Income Before Extra. Items")</f>
        <v>1896</v>
      </c>
      <c r="J29" s="170">
        <f ca="1">[1]!RCHGetTableCell("http://moneycentral.msn.com/investor/invsub/results/statemnt.aspx?lstStatement=Income&amp;stmtView=Qtr&amp;Symbol="&amp;Ticker, 2,"Net Income Before Extra. Items")</f>
        <v>1543</v>
      </c>
      <c r="K29" s="170">
        <f ca="1">[1]!RCHGetTableCell("http://moneycentral.msn.com/investor/invsub/results/statemnt.aspx?lstStatement=Income&amp;stmtView=Qtr&amp;Symbol="&amp;Ticker, 1,"Net Income Before Extra. Items")</f>
        <v>1614</v>
      </c>
      <c r="L29" s="170">
        <f t="shared" ca="1" si="0"/>
        <v>7090</v>
      </c>
    </row>
    <row r="30" spans="2:12">
      <c r="B30" s="168" t="s">
        <v>340</v>
      </c>
      <c r="C30" s="151">
        <f ca="1">[1]!RCHGetTableCell("http://moneycentral.msn.com/investor/invsub/results/statemnt.aspx?lstStatement=Income&amp;stmtView=Ann&amp;Symbol="&amp;Ticker, 5,"Total Extraordinary Items")</f>
        <v>0</v>
      </c>
      <c r="D30" s="151">
        <f ca="1">[1]!RCHGetTableCell("http://moneycentral.msn.com/investor/invsub/results/statemnt.aspx?lstStatement=Income&amp;stmtView=Ann&amp;Symbol="&amp;Ticker, 4,"Total Extraordinary Items")</f>
        <v>0</v>
      </c>
      <c r="E30" s="151">
        <f ca="1">[1]!RCHGetTableCell("http://moneycentral.msn.com/investor/invsub/results/statemnt.aspx?lstStatement=Income&amp;stmtView=Ann&amp;Symbol="&amp;Ticker, 3,"Total Extraordinary Items")</f>
        <v>0</v>
      </c>
      <c r="F30" s="151">
        <f ca="1">[1]!RCHGetTableCell("http://moneycentral.msn.com/investor/invsub/results/statemnt.aspx?lstStatement=Income&amp;stmtView=Ann&amp;Symbol="&amp;Ticker, 2,"Total Extraordinary Items")</f>
        <v>0</v>
      </c>
      <c r="G30" s="167">
        <f ca="1">[1]!RCHGetTableCell("http://moneycentral.msn.com/investor/invsub/results/statemnt.aspx?lstStatement=Income&amp;stmtView=Ann&amp;Symbol="&amp;Ticker, 1,"Total Extraordinary Items")</f>
        <v>0</v>
      </c>
      <c r="H30" s="151">
        <f ca="1">[1]!RCHGetTableCell("http://moneycentral.msn.com/investor/invsub/results/statemnt.aspx?lstStatement=Income&amp;stmtView=Qtr&amp;Symbol="&amp;Ticker, 4,"Total Extraordinary Items")</f>
        <v>0</v>
      </c>
      <c r="I30" s="151">
        <f ca="1">[1]!RCHGetTableCell("http://moneycentral.msn.com/investor/invsub/results/statemnt.aspx?lstStatement=Income&amp;stmtView=Qtr&amp;Symbol="&amp;Ticker, 3,"Total Extraordinary Items")</f>
        <v>0</v>
      </c>
      <c r="J30" s="151">
        <f ca="1">[1]!RCHGetTableCell("http://moneycentral.msn.com/investor/invsub/results/statemnt.aspx?lstStatement=Income&amp;stmtView=Qtr&amp;Symbol="&amp;Ticker, 2,"Total Extraordinary Items")</f>
        <v>0</v>
      </c>
      <c r="K30" s="151">
        <f ca="1">[1]!RCHGetTableCell("http://moneycentral.msn.com/investor/invsub/results/statemnt.aspx?lstStatement=Income&amp;stmtView=Qtr&amp;Symbol="&amp;Ticker, 1,"Total Extraordinary Items")</f>
        <v>0</v>
      </c>
      <c r="L30" s="151">
        <f t="shared" ca="1" si="0"/>
        <v>0</v>
      </c>
    </row>
    <row r="31" spans="2:12">
      <c r="B31" s="169" t="s">
        <v>326</v>
      </c>
      <c r="C31" s="170" t="str">
        <f ca="1">[1]!RCHGetTableCell("http://moneycentral.msn.com/investor/invsub/results/statemnt.aspx?lstStatement=Income&amp;stmtView=Ann&amp;Symbol="&amp;Ticker, 5,"Accounting Change")</f>
        <v>Error</v>
      </c>
      <c r="D31" s="170" t="str">
        <f ca="1">[1]!RCHGetTableCell("http://moneycentral.msn.com/investor/invsub/results/statemnt.aspx?lstStatement=Income&amp;stmtView=Ann&amp;Symbol="&amp;Ticker, 4,"Accounting Change")</f>
        <v>Error</v>
      </c>
      <c r="E31" s="170" t="str">
        <f ca="1">[1]!RCHGetTableCell("http://moneycentral.msn.com/investor/invsub/results/statemnt.aspx?lstStatement=Income&amp;stmtView=Ann&amp;Symbol="&amp;Ticker, 3,"Accounting Change")</f>
        <v>Error</v>
      </c>
      <c r="F31" s="170" t="str">
        <f ca="1">[1]!RCHGetTableCell("http://moneycentral.msn.com/investor/invsub/results/statemnt.aspx?lstStatement=Income&amp;stmtView=Ann&amp;Symbol="&amp;Ticker, 2,"Accounting Change")</f>
        <v>Error</v>
      </c>
      <c r="G31" s="171" t="str">
        <f ca="1">[1]!RCHGetTableCell("http://moneycentral.msn.com/investor/invsub/results/statemnt.aspx?lstStatement=Income&amp;stmtView=Ann&amp;Symbol="&amp;Ticker, 1,"Accounting Change")</f>
        <v>Error</v>
      </c>
      <c r="H31" s="170" t="str">
        <f ca="1">[1]!RCHGetTableCell("http://moneycentral.msn.com/investor/invsub/results/statemnt.aspx?lstStatement=Income&amp;stmtView=Qtr&amp;Symbol="&amp;Ticker, 4,"Accounting Change")</f>
        <v>Error</v>
      </c>
      <c r="I31" s="170" t="str">
        <f ca="1">[1]!RCHGetTableCell("http://moneycentral.msn.com/investor/invsub/results/statemnt.aspx?lstStatement=Income&amp;stmtView=Qtr&amp;Symbol="&amp;Ticker, 3,"Accounting Change")</f>
        <v>Error</v>
      </c>
      <c r="J31" s="170" t="str">
        <f ca="1">[1]!RCHGetTableCell("http://moneycentral.msn.com/investor/invsub/results/statemnt.aspx?lstStatement=Income&amp;stmtView=Qtr&amp;Symbol="&amp;Ticker, 2,"Accounting Change")</f>
        <v>Error</v>
      </c>
      <c r="K31" s="170" t="str">
        <f ca="1">[1]!RCHGetTableCell("http://moneycentral.msn.com/investor/invsub/results/statemnt.aspx?lstStatement=Income&amp;stmtView=Qtr&amp;Symbol="&amp;Ticker, 1,"Accounting Change")</f>
        <v>Error</v>
      </c>
      <c r="L31" s="170">
        <f t="shared" ca="1" si="0"/>
        <v>0</v>
      </c>
    </row>
    <row r="32" spans="2:12">
      <c r="B32" s="168" t="s">
        <v>327</v>
      </c>
      <c r="C32" s="151">
        <f ca="1">[1]!RCHGetTableCell("http://moneycentral.msn.com/investor/invsub/results/statemnt.aspx?lstStatement=Income&amp;stmtView=Ann&amp;Symbol="&amp;Ticker, 5,"Discontinued Operations",,,,,,,0)</f>
        <v>0</v>
      </c>
      <c r="D32" s="151">
        <f ca="1">[1]!RCHGetTableCell("http://moneycentral.msn.com/investor/invsub/results/statemnt.aspx?lstStatement=Income&amp;stmtView=Ann&amp;Symbol="&amp;Ticker, 4,"Discontinued Operations",,,,,,,0)</f>
        <v>0</v>
      </c>
      <c r="E32" s="151">
        <f ca="1">[1]!RCHGetTableCell("http://moneycentral.msn.com/investor/invsub/results/statemnt.aspx?lstStatement=Income&amp;stmtView=Ann&amp;Symbol="&amp;Ticker, 3,"Discontinued Operations",,,,,,,0)</f>
        <v>0</v>
      </c>
      <c r="F32" s="151" t="str">
        <f ca="1">[1]!RCHGetTableCell("http://moneycentral.msn.com/investor/invsub/results/statemnt.aspx?lstStatement=Income&amp;stmtView=Ann&amp;Symbol="&amp;Ticker, 2,"Discontinued Operations")</f>
        <v>Error</v>
      </c>
      <c r="G32" s="167" t="str">
        <f ca="1">[1]!RCHGetTableCell("http://moneycentral.msn.com/investor/invsub/results/statemnt.aspx?lstStatement=Income&amp;stmtView=Ann&amp;Symbol="&amp;Ticker, 1,"Discontinued Operations")</f>
        <v>Error</v>
      </c>
      <c r="H32" s="151" t="str">
        <f ca="1">[1]!RCHGetTableCell("http://moneycentral.msn.com/investor/invsub/results/statemnt.aspx?lstStatement=Income&amp;stmtView=Qtr&amp;Symbol="&amp;Ticker, 4,"Discontinued Operations")</f>
        <v>Error</v>
      </c>
      <c r="I32" s="151" t="str">
        <f ca="1">[1]!RCHGetTableCell("http://moneycentral.msn.com/investor/invsub/results/statemnt.aspx?lstStatement=Income&amp;stmtView=Qtr&amp;Symbol="&amp;Ticker, 3,"Discontinued Operations")</f>
        <v>Error</v>
      </c>
      <c r="J32" s="151" t="str">
        <f ca="1">[1]!RCHGetTableCell("http://moneycentral.msn.com/investor/invsub/results/statemnt.aspx?lstStatement=Income&amp;stmtView=Qtr&amp;Symbol="&amp;Ticker, 2,"Discontinued Operations")</f>
        <v>Error</v>
      </c>
      <c r="K32" s="151" t="str">
        <f ca="1">[1]!RCHGetTableCell("http://moneycentral.msn.com/investor/invsub/results/statemnt.aspx?lstStatement=Income&amp;stmtView=Qtr&amp;Symbol="&amp;Ticker, 1,"Discontinued Operations")</f>
        <v>Error</v>
      </c>
      <c r="L32" s="151">
        <f t="shared" ca="1" si="0"/>
        <v>0</v>
      </c>
    </row>
    <row r="33" spans="2:12">
      <c r="B33" s="169" t="s">
        <v>22</v>
      </c>
      <c r="C33" s="170">
        <f ca="1">[1]!RCHGetTableCell("http://moneycentral.msn.com/investor/invsub/results/statemnt.aspx?lstStatement=Income&amp;stmtView=Ann&amp;Symbol="&amp;Ticker, 5,"Net Income&lt;")</f>
        <v>4872</v>
      </c>
      <c r="D33" s="170">
        <f ca="1">[1]!RCHGetTableCell("http://moneycentral.msn.com/investor/invsub/results/statemnt.aspx?lstStatement=Income&amp;stmtView=Ann&amp;Symbol="&amp;Ticker, 4,"Net Income&lt;")</f>
        <v>5080</v>
      </c>
      <c r="E33" s="170">
        <f ca="1">[1]!RCHGetTableCell("http://moneycentral.msn.com/investor/invsub/results/statemnt.aspx?lstStatement=Income&amp;stmtView=Ann&amp;Symbol="&amp;Ticker, 3,"Net Income&lt;")</f>
        <v>5981</v>
      </c>
      <c r="F33" s="170">
        <f ca="1">[1]!RCHGetTableCell("http://moneycentral.msn.com/investor/invsub/results/statemnt.aspx?lstStatement=Income&amp;stmtView=Ann&amp;Symbol="&amp;Ticker, 2,"Net Income&lt;")</f>
        <v>5807</v>
      </c>
      <c r="G33" s="171">
        <f ca="1">[1]!RCHGetTableCell("http://moneycentral.msn.com/investor/invsub/results/statemnt.aspx?lstStatement=Income&amp;stmtView=Ann&amp;Symbol="&amp;Ticker, 1,"Net Income&lt;")</f>
        <v>6824</v>
      </c>
      <c r="H33" s="170">
        <f ca="1">[1]!RCHGetTableCell("http://moneycentral.msn.com/investor/invsub/results/statemnt.aspx?lstStatement=Income&amp;stmtView=Qtr&amp;Symbol="&amp;Ticker, 4,"Net Income&lt;")</f>
        <v>2037</v>
      </c>
      <c r="I33" s="170">
        <f ca="1">[1]!RCHGetTableCell("http://moneycentral.msn.com/investor/invsub/results/statemnt.aspx?lstStatement=Income&amp;stmtView=Qtr&amp;Symbol="&amp;Ticker, 3,"Net Income&lt;")</f>
        <v>1896</v>
      </c>
      <c r="J33" s="170">
        <f ca="1">[1]!RCHGetTableCell("http://moneycentral.msn.com/investor/invsub/results/statemnt.aspx?lstStatement=Income&amp;stmtView=Qtr&amp;Symbol="&amp;Ticker, 2,"Net Income&lt;")</f>
        <v>1543</v>
      </c>
      <c r="K33" s="170">
        <f ca="1">[1]!RCHGetTableCell("http://moneycentral.msn.com/investor/invsub/results/statemnt.aspx?lstStatement=Income&amp;stmtView=Qtr&amp;Symbol="&amp;Ticker, 1,"Net Income&lt;")</f>
        <v>1614</v>
      </c>
      <c r="L33" s="170">
        <f t="shared" ca="1" si="0"/>
        <v>7090</v>
      </c>
    </row>
    <row r="34" spans="2:12">
      <c r="B34" s="168" t="s">
        <v>341</v>
      </c>
      <c r="C34" s="151">
        <f ca="1">[1]!RCHGetTableCell("http://moneycentral.msn.com/investor/invsub/results/statemnt.aspx?lstStatement=Income&amp;stmtView=Ann&amp;Symbol="&amp;Ticker, 5,"Total Adjustments to Net Income")</f>
        <v>0</v>
      </c>
      <c r="D34" s="151">
        <f ca="1">[1]!RCHGetTableCell("http://moneycentral.msn.com/investor/invsub/results/statemnt.aspx?lstStatement=Income&amp;stmtView=Ann&amp;Symbol="&amp;Ticker, 4,"Total Adjustments to Net Income")</f>
        <v>0</v>
      </c>
      <c r="E34" s="151">
        <f ca="1">[1]!RCHGetTableCell("http://moneycentral.msn.com/investor/invsub/results/statemnt.aspx?lstStatement=Income&amp;stmtView=Ann&amp;Symbol="&amp;Ticker, 3,"Total Adjustments to Net Income")</f>
        <v>0</v>
      </c>
      <c r="F34" s="151">
        <f ca="1">[1]!RCHGetTableCell("http://moneycentral.msn.com/investor/invsub/results/statemnt.aspx?lstStatement=Income&amp;stmtView=Ann&amp;Symbol="&amp;Ticker, 2,"Total Adjustments to Net Income")</f>
        <v>0</v>
      </c>
      <c r="G34" s="167">
        <f ca="1">[1]!RCHGetTableCell("http://moneycentral.msn.com/investor/invsub/results/statemnt.aspx?lstStatement=Income&amp;stmtView=Ann&amp;Symbol="&amp;Ticker, 1,"Total Adjustments to Net Income")</f>
        <v>0</v>
      </c>
      <c r="H34" s="151">
        <f ca="1">[1]!RCHGetTableCell("http://moneycentral.msn.com/investor/invsub/results/statemnt.aspx?lstStatement=Income&amp;stmtView=Qtr&amp;Symbol="&amp;Ticker, 4,"Total Adjustments to Net Income")</f>
        <v>0</v>
      </c>
      <c r="I34" s="151">
        <f ca="1">[1]!RCHGetTableCell("http://moneycentral.msn.com/investor/invsub/results/statemnt.aspx?lstStatement=Income&amp;stmtView=Qtr&amp;Symbol="&amp;Ticker, 3,"Total Adjustments to Net Income")</f>
        <v>0</v>
      </c>
      <c r="J34" s="151">
        <f ca="1">[1]!RCHGetTableCell("http://moneycentral.msn.com/investor/invsub/results/statemnt.aspx?lstStatement=Income&amp;stmtView=Qtr&amp;Symbol="&amp;Ticker, 2,"Total Adjustments to Net Income")</f>
        <v>0</v>
      </c>
      <c r="K34" s="151">
        <f ca="1">[1]!RCHGetTableCell("http://moneycentral.msn.com/investor/invsub/results/statemnt.aspx?lstStatement=Income&amp;stmtView=Qtr&amp;Symbol="&amp;Ticker, 1,"Total Adjustments to Net Income")</f>
        <v>0</v>
      </c>
      <c r="L34" s="151">
        <f t="shared" ca="1" si="0"/>
        <v>0</v>
      </c>
    </row>
    <row r="35" spans="2:12">
      <c r="B35" s="169" t="s">
        <v>342</v>
      </c>
      <c r="C35" s="170">
        <f ca="1">[1]!RCHGetTableCell("http://moneycentral.msn.com/investor/invsub/results/statemnt.aspx?lstStatement=Income&amp;stmtView=Ann&amp;Symbol="&amp;Ticker, 5,"Preferred Dividends")</f>
        <v>0</v>
      </c>
      <c r="D35" s="170">
        <f ca="1">[1]!RCHGetTableCell("http://moneycentral.msn.com/investor/invsub/results/statemnt.aspx?lstStatement=Income&amp;stmtView=Ann&amp;Symbol="&amp;Ticker, 4,"Preferred Dividends")</f>
        <v>0</v>
      </c>
      <c r="E35" s="170">
        <f ca="1">[1]!RCHGetTableCell("http://moneycentral.msn.com/investor/invsub/results/statemnt.aspx?lstStatement=Income&amp;stmtView=Ann&amp;Symbol="&amp;Ticker, 3,"Preferred Dividends")</f>
        <v>0</v>
      </c>
      <c r="F35" s="170">
        <f ca="1">[1]!RCHGetTableCell("http://moneycentral.msn.com/investor/invsub/results/statemnt.aspx?lstStatement=Income&amp;stmtView=Ann&amp;Symbol="&amp;Ticker, 2,"Preferred Dividends")</f>
        <v>0</v>
      </c>
      <c r="G35" s="171">
        <f ca="1">[1]!RCHGetTableCell("http://moneycentral.msn.com/investor/invsub/results/statemnt.aspx?lstStatement=Income&amp;stmtView=Ann&amp;Symbol="&amp;Ticker, 1,"Preferred Dividends")</f>
        <v>0</v>
      </c>
      <c r="H35" s="170">
        <f ca="1">[1]!RCHGetTableCell("http://moneycentral.msn.com/investor/invsub/results/statemnt.aspx?lstStatement=Income&amp;stmtView=Qtr&amp;Symbol="&amp;Ticker, 4,"Preferred Dividends")</f>
        <v>0</v>
      </c>
      <c r="I35" s="170">
        <f ca="1">[1]!RCHGetTableCell("http://moneycentral.msn.com/investor/invsub/results/statemnt.aspx?lstStatement=Income&amp;stmtView=Qtr&amp;Symbol="&amp;Ticker, 3,"Preferred Dividends")</f>
        <v>0</v>
      </c>
      <c r="J35" s="170">
        <f ca="1">[1]!RCHGetTableCell("http://moneycentral.msn.com/investor/invsub/results/statemnt.aspx?lstStatement=Income&amp;stmtView=Qtr&amp;Symbol="&amp;Ticker, 2,"Preferred Dividends")</f>
        <v>0</v>
      </c>
      <c r="K35" s="170">
        <f ca="1">[1]!RCHGetTableCell("http://moneycentral.msn.com/investor/invsub/results/statemnt.aspx?lstStatement=Income&amp;stmtView=Qtr&amp;Symbol="&amp;Ticker, 1,"Preferred Dividends")</f>
        <v>0</v>
      </c>
      <c r="L35" s="170">
        <f t="shared" ca="1" si="0"/>
        <v>0</v>
      </c>
    </row>
    <row r="36" spans="2:12">
      <c r="B36" s="168" t="s">
        <v>343</v>
      </c>
      <c r="C36" s="151">
        <f ca="1">[1]!RCHGetTableCell("http://moneycentral.msn.com/investor/invsub/results/statemnt.aspx?lstStatement=Income&amp;stmtView=Ann&amp;Symbol="&amp;Ticker, 5,"General Partners' Distributions")</f>
        <v>0</v>
      </c>
      <c r="D36" s="151">
        <f ca="1">[1]!RCHGetTableCell("http://moneycentral.msn.com/investor/invsub/results/statemnt.aspx?lstStatement=Income&amp;stmtView=Ann&amp;Symbol="&amp;Ticker, 4,"General Partners' Distributions")</f>
        <v>0</v>
      </c>
      <c r="E36" s="151">
        <f ca="1">[1]!RCHGetTableCell("http://moneycentral.msn.com/investor/invsub/results/statemnt.aspx?lstStatement=Income&amp;stmtView=Ann&amp;Symbol="&amp;Ticker, 3,"General Partners' Distributions")</f>
        <v>0</v>
      </c>
      <c r="F36" s="151">
        <f ca="1">[1]!RCHGetTableCell("http://moneycentral.msn.com/investor/invsub/results/statemnt.aspx?lstStatement=Income&amp;stmtView=Ann&amp;Symbol="&amp;Ticker, 2,"General Partners' Distributions")</f>
        <v>0</v>
      </c>
      <c r="G36" s="167">
        <f ca="1">[1]!RCHGetTableCell("http://moneycentral.msn.com/investor/invsub/results/statemnt.aspx?lstStatement=Income&amp;stmtView=Ann&amp;Symbol="&amp;Ticker, 1,"General Partners' Distributions")</f>
        <v>0</v>
      </c>
      <c r="H36" s="151">
        <f ca="1">[1]!RCHGetTableCell("http://moneycentral.msn.com/investor/invsub/results/statemnt.aspx?lstStatement=Income&amp;stmtView=Qtr&amp;Symbol="&amp;Ticker, 4,"General Partners' Distributions")</f>
        <v>0</v>
      </c>
      <c r="I36" s="151">
        <f ca="1">[1]!RCHGetTableCell("http://moneycentral.msn.com/investor/invsub/results/statemnt.aspx?lstStatement=Income&amp;stmtView=Qtr&amp;Symbol="&amp;Ticker, 3,"General Partners' Distributions")</f>
        <v>0</v>
      </c>
      <c r="J36" s="151">
        <f ca="1">[1]!RCHGetTableCell("http://moneycentral.msn.com/investor/invsub/results/statemnt.aspx?lstStatement=Income&amp;stmtView=Qtr&amp;Symbol="&amp;Ticker, 2,"General Partners' Distributions")</f>
        <v>0</v>
      </c>
      <c r="K36" s="151">
        <f ca="1">[1]!RCHGetTableCell("http://moneycentral.msn.com/investor/invsub/results/statemnt.aspx?lstStatement=Income&amp;stmtView=Qtr&amp;Symbol="&amp;Ticker, 1,"General Partners' Distributions")</f>
        <v>0</v>
      </c>
      <c r="L36" s="151">
        <f t="shared" ca="1" si="0"/>
        <v>0</v>
      </c>
    </row>
    <row r="37" spans="2:12">
      <c r="B37" s="169" t="s">
        <v>344</v>
      </c>
      <c r="C37" s="170">
        <f ca="1">[1]!RCHGetTableCell("http://moneycentral.msn.com/investor/invsub/results/statemnt.aspx?lstStatement=Income&amp;stmtView=Ann&amp;Symbol="&amp;Ticker, 5,"Basic Weighted Average Shares")</f>
        <v>2392</v>
      </c>
      <c r="D37" s="170">
        <f ca="1">[1]!RCHGetTableCell("http://moneycentral.msn.com/investor/invsub/results/statemnt.aspx?lstStatement=Income&amp;stmtView=Ann&amp;Symbol="&amp;Ticker, 4,"Basic Weighted Average Shares")</f>
        <v>2348</v>
      </c>
      <c r="E37" s="170">
        <f ca="1">[1]!RCHGetTableCell("http://moneycentral.msn.com/investor/invsub/results/statemnt.aspx?lstStatement=Income&amp;stmtView=Ann&amp;Symbol="&amp;Ticker, 3,"Basic Weighted Average Shares")</f>
        <v>2313</v>
      </c>
      <c r="F37" s="170">
        <f ca="1">[1]!RCHGetTableCell("http://moneycentral.msn.com/investor/invsub/results/statemnt.aspx?lstStatement=Income&amp;stmtView=Ann&amp;Symbol="&amp;Ticker, 2,"Basic Weighted Average Shares")</f>
        <v>2315</v>
      </c>
      <c r="G37" s="171">
        <f ca="1">[1]!RCHGetTableCell("http://moneycentral.msn.com/investor/invsub/results/statemnt.aspx?lstStatement=Income&amp;stmtView=Ann&amp;Symbol="&amp;Ticker, 1,"Basic Weighted Average Shares")</f>
        <v>2314</v>
      </c>
      <c r="H37" s="170">
        <f ca="1">[1]!RCHGetTableCell("http://moneycentral.msn.com/investor/invsub/results/statemnt.aspx?lstStatement=Income&amp;stmtView=Qtr&amp;Symbol="&amp;Ticker, 4,"Basic Weighted Average Shares")</f>
        <v>2323</v>
      </c>
      <c r="I37" s="170">
        <f ca="1">[1]!RCHGetTableCell("http://moneycentral.msn.com/investor/invsub/results/statemnt.aspx?lstStatement=Income&amp;stmtView=Qtr&amp;Symbol="&amp;Ticker, 3,"Basic Weighted Average Shares")</f>
        <v>2316</v>
      </c>
      <c r="J37" s="170">
        <f ca="1">[1]!RCHGetTableCell("http://moneycentral.msn.com/investor/invsub/results/statemnt.aspx?lstStatement=Income&amp;stmtView=Qtr&amp;Symbol="&amp;Ticker, 2,"Basic Weighted Average Shares")</f>
        <v>2312</v>
      </c>
      <c r="K37" s="170">
        <f ca="1">[1]!RCHGetTableCell("http://moneycentral.msn.com/investor/invsub/results/statemnt.aspx?lstStatement=Income&amp;stmtView=Qtr&amp;Symbol="&amp;Ticker, 1,"Basic Weighted Average Shares")</f>
        <v>2304</v>
      </c>
      <c r="L37" s="170">
        <f t="shared" ca="1" si="0"/>
        <v>9255</v>
      </c>
    </row>
    <row r="38" spans="2:12">
      <c r="B38" s="168" t="s">
        <v>345</v>
      </c>
      <c r="C38" s="151">
        <f ca="1">[1]!RCHGetTableCell("http://moneycentral.msn.com/investor/invsub/results/statemnt.aspx?lstStatement=Income&amp;stmtView=Ann&amp;Symbol="&amp;Ticker, 5,"Basic EPS Excluding Extraordinary Items")</f>
        <v>2.04</v>
      </c>
      <c r="D38" s="151">
        <f ca="1">[1]!RCHGetTableCell("http://moneycentral.msn.com/investor/invsub/results/statemnt.aspx?lstStatement=Income&amp;stmtView=Ann&amp;Symbol="&amp;Ticker, 4,"Basic EPS Excluding Extraordinary Items")</f>
        <v>2.16</v>
      </c>
      <c r="E38" s="151">
        <f ca="1">[1]!RCHGetTableCell("http://moneycentral.msn.com/investor/invsub/results/statemnt.aspx?lstStatement=Income&amp;stmtView=Ann&amp;Symbol="&amp;Ticker, 3,"Basic EPS Excluding Extraordinary Items")</f>
        <v>2.59</v>
      </c>
      <c r="F38" s="151">
        <f ca="1">[1]!RCHGetTableCell("http://moneycentral.msn.com/investor/invsub/results/statemnt.aspx?lstStatement=Income&amp;stmtView=Ann&amp;Symbol="&amp;Ticker, 2,"Basic EPS Excluding Extraordinary Items")</f>
        <v>2.5099999999999998</v>
      </c>
      <c r="G38" s="167">
        <f ca="1">[1]!RCHGetTableCell("http://moneycentral.msn.com/investor/invsub/results/statemnt.aspx?lstStatement=Income&amp;stmtView=Ann&amp;Symbol="&amp;Ticker, 1,"Basic EPS Excluding Extraordinary Items")</f>
        <v>2.95</v>
      </c>
      <c r="H38" s="151">
        <f ca="1">[1]!RCHGetTableCell("http://moneycentral.msn.com/investor/invsub/results/statemnt.aspx?lstStatement=Income&amp;stmtView=Qtr&amp;Symbol="&amp;Ticker, 4,"Basic EPS Excluding Extraordinary Items")</f>
        <v>0.88</v>
      </c>
      <c r="I38" s="151">
        <f ca="1">[1]!RCHGetTableCell("http://moneycentral.msn.com/investor/invsub/results/statemnt.aspx?lstStatement=Income&amp;stmtView=Qtr&amp;Symbol="&amp;Ticker, 3,"Basic EPS Excluding Extraordinary Items")</f>
        <v>0.82</v>
      </c>
      <c r="J38" s="151">
        <f ca="1">[1]!RCHGetTableCell("http://moneycentral.msn.com/investor/invsub/results/statemnt.aspx?lstStatement=Income&amp;stmtView=Qtr&amp;Symbol="&amp;Ticker, 2,"Basic EPS Excluding Extraordinary Items")</f>
        <v>0.67</v>
      </c>
      <c r="K38" s="151">
        <f ca="1">[1]!RCHGetTableCell("http://moneycentral.msn.com/investor/invsub/results/statemnt.aspx?lstStatement=Income&amp;stmtView=Qtr&amp;Symbol="&amp;Ticker, 1,"Basic EPS Excluding Extraordinary Items")</f>
        <v>0.7</v>
      </c>
      <c r="L38" s="151">
        <f t="shared" ca="1" si="0"/>
        <v>3.0700000000000003</v>
      </c>
    </row>
    <row r="39" spans="2:12">
      <c r="B39" s="169" t="s">
        <v>346</v>
      </c>
      <c r="C39" s="170">
        <f ca="1">[1]!RCHGetTableCell("http://moneycentral.msn.com/investor/invsub/results/statemnt.aspx?lstStatement=Income&amp;stmtView=Ann&amp;Symbol="&amp;Ticker, 5,"Basic EPS Including Extraordinary Items")</f>
        <v>2.04</v>
      </c>
      <c r="D39" s="170">
        <f ca="1">[1]!RCHGetTableCell("http://moneycentral.msn.com/investor/invsub/results/statemnt.aspx?lstStatement=Income&amp;stmtView=Ann&amp;Symbol="&amp;Ticker, 4,"Basic EPS Including Extraordinary Items")</f>
        <v>2.16</v>
      </c>
      <c r="E39" s="170">
        <f ca="1">[1]!RCHGetTableCell("http://moneycentral.msn.com/investor/invsub/results/statemnt.aspx?lstStatement=Income&amp;stmtView=Ann&amp;Symbol="&amp;Ticker, 3,"Basic EPS Including Extraordinary Items")</f>
        <v>2.59</v>
      </c>
      <c r="F39" s="170">
        <f ca="1">[1]!RCHGetTableCell("http://moneycentral.msn.com/investor/invsub/results/statemnt.aspx?lstStatement=Income&amp;stmtView=Ann&amp;Symbol="&amp;Ticker, 2,"Basic EPS Including Extraordinary Items")</f>
        <v>2.5099999999999998</v>
      </c>
      <c r="G39" s="171">
        <f ca="1">[1]!RCHGetTableCell("http://moneycentral.msn.com/investor/invsub/results/statemnt.aspx?lstStatement=Income&amp;stmtView=Ann&amp;Symbol="&amp;Ticker, 1,"Basic EPS Including Extraordinary Items")</f>
        <v>2.95</v>
      </c>
      <c r="H39" s="170">
        <f ca="1">[1]!RCHGetTableCell("http://moneycentral.msn.com/investor/invsub/results/statemnt.aspx?lstStatement=Income&amp;stmtView=Qtr&amp;Symbol="&amp;Ticker, 4,"Basic EPS Including Extraordinary Items")</f>
        <v>0.88</v>
      </c>
      <c r="I39" s="170">
        <f ca="1">[1]!RCHGetTableCell("http://moneycentral.msn.com/investor/invsub/results/statemnt.aspx?lstStatement=Income&amp;stmtView=Qtr&amp;Symbol="&amp;Ticker, 3,"Basic EPS Including Extraordinary Items")</f>
        <v>0.82</v>
      </c>
      <c r="J39" s="170">
        <f ca="1">[1]!RCHGetTableCell("http://moneycentral.msn.com/investor/invsub/results/statemnt.aspx?lstStatement=Income&amp;stmtView=Qtr&amp;Symbol="&amp;Ticker, 2,"Basic EPS Including Extraordinary Items")</f>
        <v>0.67</v>
      </c>
      <c r="K39" s="170">
        <f ca="1">[1]!RCHGetTableCell("http://moneycentral.msn.com/investor/invsub/results/statemnt.aspx?lstStatement=Income&amp;stmtView=Qtr&amp;Symbol="&amp;Ticker, 1,"Basic EPS Including Extraordinary Items")</f>
        <v>0.7</v>
      </c>
      <c r="L39" s="170">
        <f t="shared" ca="1" si="0"/>
        <v>3.0700000000000003</v>
      </c>
    </row>
    <row r="40" spans="2:12">
      <c r="B40" s="168" t="s">
        <v>347</v>
      </c>
      <c r="C40" s="151">
        <f ca="1">[1]!RCHGetTableCell("http://moneycentral.msn.com/investor/invsub/results/statemnt.aspx?lstStatement=Income&amp;stmtView=Ann&amp;Symbol="&amp;Ticker, 5,"Diluted Weighted Average Shares")</f>
        <v>2393</v>
      </c>
      <c r="D40" s="151">
        <f ca="1">[1]!RCHGetTableCell("http://moneycentral.msn.com/investor/invsub/results/statemnt.aspx?lstStatement=Income&amp;stmtView=Ann&amp;Symbol="&amp;Ticker, 4,"Diluted Weighted Average Shares")</f>
        <v>2350</v>
      </c>
      <c r="E40" s="151">
        <f ca="1">[1]!RCHGetTableCell("http://moneycentral.msn.com/investor/invsub/results/statemnt.aspx?lstStatement=Income&amp;stmtView=Ann&amp;Symbol="&amp;Ticker, 3,"Diluted Weighted Average Shares")</f>
        <v>2331</v>
      </c>
      <c r="F40" s="151">
        <f ca="1">[1]!RCHGetTableCell("http://moneycentral.msn.com/investor/invsub/results/statemnt.aspx?lstStatement=Income&amp;stmtView=Ann&amp;Symbol="&amp;Ticker, 2,"Diluted Weighted Average Shares")</f>
        <v>2336</v>
      </c>
      <c r="G40" s="167">
        <f ca="1">[1]!RCHGetTableCell("http://moneycentral.msn.com/investor/invsub/results/statemnt.aspx?lstStatement=Income&amp;stmtView=Ann&amp;Symbol="&amp;Ticker, 1,"Diluted Weighted Average Shares")</f>
        <v>2329</v>
      </c>
      <c r="H40" s="151">
        <f ca="1">[1]!RCHGetTableCell("http://moneycentral.msn.com/investor/invsub/results/statemnt.aspx?lstStatement=Income&amp;stmtView=Qtr&amp;Symbol="&amp;Ticker, 4,"Diluted Weighted Average Shares")</f>
        <v>2323</v>
      </c>
      <c r="I40" s="151">
        <f ca="1">[1]!RCHGetTableCell("http://moneycentral.msn.com/investor/invsub/results/statemnt.aspx?lstStatement=Income&amp;stmtView=Qtr&amp;Symbol="&amp;Ticker, 3,"Diluted Weighted Average Shares")</f>
        <v>2332</v>
      </c>
      <c r="J40" s="151">
        <f ca="1">[1]!RCHGetTableCell("http://moneycentral.msn.com/investor/invsub/results/statemnt.aspx?lstStatement=Income&amp;stmtView=Qtr&amp;Symbol="&amp;Ticker, 2,"Diluted Weighted Average Shares")</f>
        <v>2342</v>
      </c>
      <c r="K40" s="151">
        <f ca="1">[1]!RCHGetTableCell("http://moneycentral.msn.com/investor/invsub/results/statemnt.aspx?lstStatement=Income&amp;stmtView=Qtr&amp;Symbol="&amp;Ticker, 1,"Diluted Weighted Average Shares")</f>
        <v>2327</v>
      </c>
      <c r="L40" s="151">
        <f t="shared" ca="1" si="0"/>
        <v>9324</v>
      </c>
    </row>
    <row r="41" spans="2:12">
      <c r="B41" s="169" t="s">
        <v>348</v>
      </c>
      <c r="C41" s="170">
        <f ca="1">[1]!RCHGetTableCell("http://moneycentral.msn.com/investor/invsub/results/statemnt.aspx?lstStatement=Income&amp;stmtView=Ann&amp;Symbol="&amp;Ticker, 5,"Diluted EPS Excluding Extrordinary Items")</f>
        <v>2.04</v>
      </c>
      <c r="D41" s="170">
        <f ca="1">[1]!RCHGetTableCell("http://moneycentral.msn.com/investor/invsub/results/statemnt.aspx?lstStatement=Income&amp;stmtView=Ann&amp;Symbol="&amp;Ticker, 4,"Diluted EPS Excluding Extrordinary Items")</f>
        <v>2.16</v>
      </c>
      <c r="E41" s="170">
        <f ca="1">[1]!RCHGetTableCell("http://moneycentral.msn.com/investor/invsub/results/statemnt.aspx?lstStatement=Income&amp;stmtView=Ann&amp;Symbol="&amp;Ticker, 3,"Diluted EPS Excluding Extrordinary Items")</f>
        <v>2.57</v>
      </c>
      <c r="F41" s="170">
        <f ca="1">[1]!RCHGetTableCell("http://moneycentral.msn.com/investor/invsub/results/statemnt.aspx?lstStatement=Income&amp;stmtView=Ann&amp;Symbol="&amp;Ticker, 2,"Diluted EPS Excluding Extrordinary Items")</f>
        <v>2.4900000000000002</v>
      </c>
      <c r="G41" s="171">
        <f ca="1">[1]!RCHGetTableCell("http://moneycentral.msn.com/investor/invsub/results/statemnt.aspx?lstStatement=Income&amp;stmtView=Ann&amp;Symbol="&amp;Ticker, 1,"Diluted EPS Excluding Extrordinary Items")</f>
        <v>2.93</v>
      </c>
      <c r="H41" s="170">
        <f ca="1">[1]!RCHGetTableCell("http://moneycentral.msn.com/investor/invsub/results/statemnt.aspx?lstStatement=Income&amp;stmtView=Qtr&amp;Symbol="&amp;Ticker, 4,"Diluted EPS Excluding Extrordinary Items")</f>
        <v>0.88</v>
      </c>
      <c r="I41" s="170">
        <f ca="1">[1]!RCHGetTableCell("http://moneycentral.msn.com/investor/invsub/results/statemnt.aspx?lstStatement=Income&amp;stmtView=Qtr&amp;Symbol="&amp;Ticker, 3,"Diluted EPS Excluding Extrordinary Items")</f>
        <v>0.81</v>
      </c>
      <c r="J41" s="170">
        <f ca="1">[1]!RCHGetTableCell("http://moneycentral.msn.com/investor/invsub/results/statemnt.aspx?lstStatement=Income&amp;stmtView=Qtr&amp;Symbol="&amp;Ticker, 2,"Diluted EPS Excluding Extrordinary Items")</f>
        <v>0.66</v>
      </c>
      <c r="K41" s="170">
        <f ca="1">[1]!RCHGetTableCell("http://moneycentral.msn.com/investor/invsub/results/statemnt.aspx?lstStatement=Income&amp;stmtView=Qtr&amp;Symbol="&amp;Ticker, 1,"Diluted EPS Excluding Extrordinary Items")</f>
        <v>0.69</v>
      </c>
      <c r="L41" s="170">
        <f t="shared" ca="1" si="0"/>
        <v>3.04</v>
      </c>
    </row>
    <row r="42" spans="2:12">
      <c r="B42" s="168" t="s">
        <v>328</v>
      </c>
      <c r="C42" s="151">
        <f ca="1">[1]!RCHGetTableCell("http://moneycentral.msn.com/investor/invsub/results/statemnt.aspx?lstStatement=Income&amp;stmtView=Ann&amp;Symbol="&amp;Ticker, 5,"Diluted EPS Including Extraordinary Items")</f>
        <v>2.04</v>
      </c>
      <c r="D42" s="151">
        <f ca="1">[1]!RCHGetTableCell("http://moneycentral.msn.com/investor/invsub/results/statemnt.aspx?lstStatement=Income&amp;stmtView=Ann&amp;Symbol="&amp;Ticker, 4,"Diluted EPS Including Extraordinary Items")</f>
        <v>2.16</v>
      </c>
      <c r="E42" s="151">
        <f ca="1">[1]!RCHGetTableCell("http://moneycentral.msn.com/investor/invsub/results/statemnt.aspx?lstStatement=Income&amp;stmtView=Ann&amp;Symbol="&amp;Ticker, 3,"Diluted EPS Including Extraordinary Items")</f>
        <v>2.57</v>
      </c>
      <c r="F42" s="151">
        <f ca="1">[1]!RCHGetTableCell("http://moneycentral.msn.com/investor/invsub/results/statemnt.aspx?lstStatement=Income&amp;stmtView=Ann&amp;Symbol="&amp;Ticker, 2,"Diluted EPS Including Extraordinary Items")</f>
        <v>2.4900000000000002</v>
      </c>
      <c r="G42" s="167">
        <f ca="1">[1]!RCHGetTableCell("http://moneycentral.msn.com/investor/invsub/results/statemnt.aspx?lstStatement=Income&amp;stmtView=Ann&amp;Symbol="&amp;Ticker, 1,"Diluted EPS Including Extraordinary Items")</f>
        <v>2.93</v>
      </c>
      <c r="H42" s="151">
        <f ca="1">[1]!RCHGetTableCell("http://moneycentral.msn.com/investor/invsub/results/statemnt.aspx?lstStatement=Income&amp;stmtView=Qtr&amp;Symbol="&amp;Ticker, 4,"Diluted EPS Including Extraordinary Items")</f>
        <v>0.88</v>
      </c>
      <c r="I42" s="151">
        <f ca="1">[1]!RCHGetTableCell("http://moneycentral.msn.com/investor/invsub/results/statemnt.aspx?lstStatement=Income&amp;stmtView=Qtr&amp;Symbol="&amp;Ticker, 3,"Diluted EPS Including Extraordinary Items")</f>
        <v>0.81</v>
      </c>
      <c r="J42" s="151">
        <f ca="1">[1]!RCHGetTableCell("http://moneycentral.msn.com/investor/invsub/results/statemnt.aspx?lstStatement=Income&amp;stmtView=Qtr&amp;Symbol="&amp;Ticker, 2,"Diluted EPS Including Extraordinary Items")</f>
        <v>0.66</v>
      </c>
      <c r="K42" s="151">
        <f ca="1">[1]!RCHGetTableCell("http://moneycentral.msn.com/investor/invsub/results/statemnt.aspx?lstStatement=Income&amp;stmtView=Qtr&amp;Symbol="&amp;Ticker, 1,"Diluted EPS Including Extraordinary Items")</f>
        <v>0.69</v>
      </c>
      <c r="L42" s="151">
        <f t="shared" ca="1" si="0"/>
        <v>3.04</v>
      </c>
    </row>
    <row r="43" spans="2:12" ht="25.5">
      <c r="B43" s="169" t="s">
        <v>349</v>
      </c>
      <c r="C43" s="170">
        <f ca="1">[1]!RCHGetTableCell("http://moneycentral.msn.com/investor/invsub/results/statemnt.aspx?lstStatement=Income&amp;stmtView=Ann&amp;Symbol="&amp;Ticker, 5,"Dividends per Share - Common Stock Primary Issue")</f>
        <v>1.1200000000000001</v>
      </c>
      <c r="D43" s="170">
        <f ca="1">[1]!RCHGetTableCell("http://moneycentral.msn.com/investor/invsub/results/statemnt.aspx?lstStatement=Income&amp;stmtView=Ann&amp;Symbol="&amp;Ticker, 4,"Dividends per Share - Common Stock Primary Issue")</f>
        <v>1.24</v>
      </c>
      <c r="E43" s="170">
        <f ca="1">[1]!RCHGetTableCell("http://moneycentral.msn.com/investor/invsub/results/statemnt.aspx?lstStatement=Income&amp;stmtView=Ann&amp;Symbol="&amp;Ticker, 3,"Dividends per Share - Common Stock Primary Issue")</f>
        <v>1.36</v>
      </c>
      <c r="F43" s="170">
        <f ca="1">[1]!RCHGetTableCell("http://moneycentral.msn.com/investor/invsub/results/statemnt.aspx?lstStatement=Income&amp;stmtView=Ann&amp;Symbol="&amp;Ticker, 2,"Dividends per Share - Common Stock Primary Issue")</f>
        <v>1.52</v>
      </c>
      <c r="G43" s="171">
        <f ca="1">[1]!RCHGetTableCell("http://moneycentral.msn.com/investor/invsub/results/statemnt.aspx?lstStatement=Income&amp;stmtView=Ann&amp;Symbol="&amp;Ticker, 1,"Dividends per Share - Common Stock Primary Issue")</f>
        <v>1.64</v>
      </c>
      <c r="H43" s="170">
        <f ca="1">[1]!RCHGetTableCell("http://moneycentral.msn.com/investor/invsub/results/statemnt.aspx?lstStatement=Income&amp;stmtView=Qtr&amp;Symbol="&amp;Ticker, 4,"Dividends per Share - Common Stock Primary Issue")</f>
        <v>0.41</v>
      </c>
      <c r="I43" s="170">
        <f ca="1">[1]!RCHGetTableCell("http://moneycentral.msn.com/investor/invsub/results/statemnt.aspx?lstStatement=Income&amp;stmtView=Qtr&amp;Symbol="&amp;Ticker, 3,"Dividends per Share - Common Stock Primary Issue")</f>
        <v>0.41</v>
      </c>
      <c r="J43" s="170">
        <f ca="1">[1]!RCHGetTableCell("http://moneycentral.msn.com/investor/invsub/results/statemnt.aspx?lstStatement=Income&amp;stmtView=Qtr&amp;Symbol="&amp;Ticker, 2,"Dividends per Share - Common Stock Primary Issue")</f>
        <v>0.41</v>
      </c>
      <c r="K43" s="170">
        <f ca="1">[1]!RCHGetTableCell("http://moneycentral.msn.com/investor/invsub/results/statemnt.aspx?lstStatement=Income&amp;stmtView=Qtr&amp;Symbol="&amp;Ticker, 1,"Dividends per Share - Common Stock Primary Issue")</f>
        <v>0.44</v>
      </c>
      <c r="L43" s="170">
        <f t="shared" ca="1" si="0"/>
        <v>1.67</v>
      </c>
    </row>
    <row r="44" spans="2:12">
      <c r="B44" s="168" t="s">
        <v>350</v>
      </c>
      <c r="C44" s="151">
        <f ca="1">[1]!RCHGetTableCell("http://moneycentral.msn.com/investor/invsub/results/statemnt.aspx?lstStatement=Income&amp;stmtView=Ann&amp;Symbol="&amp;Ticker, 5,"Gross Dividends - Common Stock")</f>
        <v>2678</v>
      </c>
      <c r="D44" s="151">
        <f ca="1">[1]!RCHGetTableCell("http://moneycentral.msn.com/investor/invsub/results/statemnt.aspx?lstStatement=Income&amp;stmtView=Ann&amp;Symbol="&amp;Ticker, 4,"Gross Dividends - Common Stock")</f>
        <v>2911</v>
      </c>
      <c r="E44" s="151">
        <f ca="1">[1]!RCHGetTableCell("http://moneycentral.msn.com/investor/invsub/results/statemnt.aspx?lstStatement=Income&amp;stmtView=Ann&amp;Symbol="&amp;Ticker, 3,"Gross Dividends - Common Stock")</f>
        <v>3149</v>
      </c>
      <c r="F44" s="151">
        <f ca="1">[1]!RCHGetTableCell("http://moneycentral.msn.com/investor/invsub/results/statemnt.aspx?lstStatement=Income&amp;stmtView=Ann&amp;Symbol="&amp;Ticker, 2,"Gross Dividends - Common Stock")</f>
        <v>3521</v>
      </c>
      <c r="G44" s="167">
        <f ca="1">[1]!RCHGetTableCell("http://moneycentral.msn.com/investor/invsub/results/statemnt.aspx?lstStatement=Income&amp;stmtView=Ann&amp;Symbol="&amp;Ticker, 1,"Gross Dividends - Common Stock")</f>
        <v>3800</v>
      </c>
      <c r="H44" s="151">
        <f ca="1">[1]!RCHGetTableCell("http://moneycentral.msn.com/investor/invsub/results/statemnt.aspx?lstStatement=Income&amp;stmtView=Qtr&amp;Symbol="&amp;Ticker, 4,"Gross Dividends - Common Stock")</f>
        <v>0</v>
      </c>
      <c r="I44" s="151">
        <f ca="1">[1]!RCHGetTableCell("http://moneycentral.msn.com/investor/invsub/results/statemnt.aspx?lstStatement=Income&amp;stmtView=Qtr&amp;Symbol="&amp;Ticker, 3,"Gross Dividends - Common Stock")</f>
        <v>0</v>
      </c>
      <c r="J44" s="151">
        <f ca="1">[1]!RCHGetTableCell("http://moneycentral.msn.com/investor/invsub/results/statemnt.aspx?lstStatement=Income&amp;stmtView=Qtr&amp;Symbol="&amp;Ticker, 2,"Gross Dividends - Common Stock")</f>
        <v>0</v>
      </c>
      <c r="K44" s="151">
        <f ca="1">[1]!RCHGetTableCell("http://moneycentral.msn.com/investor/invsub/results/statemnt.aspx?lstStatement=Income&amp;stmtView=Qtr&amp;Symbol="&amp;Ticker, 1,"Gross Dividends - Common Stock")</f>
        <v>0</v>
      </c>
      <c r="L44" s="151">
        <f t="shared" ca="1" si="0"/>
        <v>0</v>
      </c>
    </row>
    <row r="45" spans="2:12">
      <c r="B45" s="169" t="s">
        <v>351</v>
      </c>
      <c r="C45" s="170">
        <f ca="1">[1]!RCHGetTableCell("http://moneycentral.msn.com/investor/invsub/results/statemnt.aspx?lstStatement=Income&amp;stmtView=Ann&amp;Symbol="&amp;Ticker, 5,"Interest Expense, Supplemental")</f>
        <v>240</v>
      </c>
      <c r="D45" s="170">
        <f ca="1">[1]!RCHGetTableCell("http://moneycentral.msn.com/investor/invsub/results/statemnt.aspx?lstStatement=Income&amp;stmtView=Ann&amp;Symbol="&amp;Ticker, 4,"Interest Expense, Supplemental")</f>
        <v>220</v>
      </c>
      <c r="E45" s="170">
        <f ca="1">[1]!RCHGetTableCell("http://moneycentral.msn.com/investor/invsub/results/statemnt.aspx?lstStatement=Income&amp;stmtView=Ann&amp;Symbol="&amp;Ticker, 3,"Interest Expense, Supplemental")</f>
        <v>456</v>
      </c>
      <c r="F45" s="170">
        <f ca="1">[1]!RCHGetTableCell("http://moneycentral.msn.com/investor/invsub/results/statemnt.aspx?lstStatement=Income&amp;stmtView=Ann&amp;Symbol="&amp;Ticker, 2,"Interest Expense, Supplemental")</f>
        <v>438</v>
      </c>
      <c r="G45" s="171">
        <f ca="1">[1]!RCHGetTableCell("http://moneycentral.msn.com/investor/invsub/results/statemnt.aspx?lstStatement=Income&amp;stmtView=Ann&amp;Symbol="&amp;Ticker, 1,"Interest Expense, Supplemental")</f>
        <v>355</v>
      </c>
      <c r="H45" s="170">
        <f ca="1">[1]!RCHGetTableCell("http://moneycentral.msn.com/investor/invsub/results/statemnt.aspx?lstStatement=Income&amp;stmtView=Qtr&amp;Symbol="&amp;Ticker, 4,"Interest Expense, Supplemental")</f>
        <v>97</v>
      </c>
      <c r="I45" s="170">
        <f ca="1">[1]!RCHGetTableCell("http://moneycentral.msn.com/investor/invsub/results/statemnt.aspx?lstStatement=Income&amp;stmtView=Qtr&amp;Symbol="&amp;Ticker, 3,"Interest Expense, Supplemental")</f>
        <v>89</v>
      </c>
      <c r="J45" s="170">
        <f ca="1">[1]!RCHGetTableCell("http://moneycentral.msn.com/investor/invsub/results/statemnt.aspx?lstStatement=Income&amp;stmtView=Qtr&amp;Symbol="&amp;Ticker, 2,"Interest Expense, Supplemental")</f>
        <v>84</v>
      </c>
      <c r="K45" s="170">
        <f ca="1">[1]!RCHGetTableCell("http://moneycentral.msn.com/investor/invsub/results/statemnt.aspx?lstStatement=Income&amp;stmtView=Qtr&amp;Symbol="&amp;Ticker, 1,"Interest Expense, Supplemental")</f>
        <v>85</v>
      </c>
      <c r="L45" s="170">
        <f t="shared" ca="1" si="0"/>
        <v>355</v>
      </c>
    </row>
    <row r="46" spans="2:12">
      <c r="B46" s="168" t="s">
        <v>352</v>
      </c>
      <c r="C46" s="151">
        <f ca="1">[1]!RCHGetTableCell("http://moneycentral.msn.com/investor/invsub/results/statemnt.aspx?lstStatement=Income&amp;stmtView=Ann&amp;Symbol="&amp;Ticker, 5,"Depreciation, Supplemental")</f>
        <v>903</v>
      </c>
      <c r="D46" s="151">
        <f ca="1">[1]!RCHGetTableCell("http://moneycentral.msn.com/investor/invsub/results/statemnt.aspx?lstStatement=Income&amp;stmtView=Ann&amp;Symbol="&amp;Ticker, 4,"Depreciation, Supplemental")</f>
        <v>920</v>
      </c>
      <c r="E46" s="151">
        <f ca="1">[1]!RCHGetTableCell("http://moneycentral.msn.com/investor/invsub/results/statemnt.aspx?lstStatement=Income&amp;stmtView=Ann&amp;Symbol="&amp;Ticker, 3,"Depreciation, Supplemental")</f>
        <v>958</v>
      </c>
      <c r="F46" s="151">
        <f ca="1">[1]!RCHGetTableCell("http://moneycentral.msn.com/investor/invsub/results/statemnt.aspx?lstStatement=Income&amp;stmtView=Ann&amp;Symbol="&amp;Ticker, 2,"Depreciation, Supplemental")</f>
        <v>993</v>
      </c>
      <c r="G46" s="167">
        <f ca="1">[1]!RCHGetTableCell("http://moneycentral.msn.com/investor/invsub/results/statemnt.aspx?lstStatement=Income&amp;stmtView=Ann&amp;Symbol="&amp;Ticker, 1,"Depreciation, Supplemental")</f>
        <v>1005</v>
      </c>
      <c r="H46" s="151">
        <f ca="1">[1]!RCHGetTableCell("http://moneycentral.msn.com/investor/invsub/results/statemnt.aspx?lstStatement=Income&amp;stmtView=Qtr&amp;Symbol="&amp;Ticker, 4,"Depreciation, Supplemental")</f>
        <v>302</v>
      </c>
      <c r="I46" s="151">
        <f ca="1">[1]!RCHGetTableCell("http://moneycentral.msn.com/investor/invsub/results/statemnt.aspx?lstStatement=Income&amp;stmtView=Qtr&amp;Symbol="&amp;Ticker, 3,"Depreciation, Supplemental")</f>
        <v>320</v>
      </c>
      <c r="J46" s="151">
        <f ca="1">[1]!RCHGetTableCell("http://moneycentral.msn.com/investor/invsub/results/statemnt.aspx?lstStatement=Income&amp;stmtView=Qtr&amp;Symbol="&amp;Ticker, 2,"Depreciation, Supplemental")</f>
        <v>331</v>
      </c>
      <c r="K46" s="151">
        <f ca="1">[1]!RCHGetTableCell("http://moneycentral.msn.com/investor/invsub/results/statemnt.aspx?lstStatement=Income&amp;stmtView=Qtr&amp;Symbol="&amp;Ticker, 1,"Depreciation, Supplemental")</f>
        <v>295</v>
      </c>
      <c r="L46" s="151">
        <f t="shared" ca="1" si="0"/>
        <v>1248</v>
      </c>
    </row>
    <row r="47" spans="2:12">
      <c r="B47" s="169" t="s">
        <v>319</v>
      </c>
      <c r="C47" s="170">
        <f ca="1">[1]!RCHGetTableCell("http://moneycentral.msn.com/investor/invsub/results/statemnt.aspx?lstStatement=Income&amp;stmtView=Ann&amp;Symbol="&amp;Ticker, 5,"Normalized EBITDA")</f>
        <v>7102</v>
      </c>
      <c r="D47" s="170">
        <f ca="1">[1]!RCHGetTableCell("http://moneycentral.msn.com/investor/invsub/results/statemnt.aspx?lstStatement=Income&amp;stmtView=Ann&amp;Symbol="&amp;Ticker, 4,"Normalized EBITDA")</f>
        <v>7431</v>
      </c>
      <c r="E47" s="170">
        <f ca="1">[1]!RCHGetTableCell("http://moneycentral.msn.com/investor/invsub/results/statemnt.aspx?lstStatement=Income&amp;stmtView=Ann&amp;Symbol="&amp;Ticker, 3,"Normalized EBITDA")</f>
        <v>8511</v>
      </c>
      <c r="F47" s="170">
        <f ca="1">[1]!RCHGetTableCell("http://moneycentral.msn.com/investor/invsub/results/statemnt.aspx?lstStatement=Income&amp;stmtView=Ann&amp;Symbol="&amp;Ticker, 2,"Normalized EBITDA")</f>
        <v>9843</v>
      </c>
      <c r="G47" s="171">
        <f ca="1">[1]!RCHGetTableCell("http://moneycentral.msn.com/investor/invsub/results/statemnt.aspx?lstStatement=Income&amp;stmtView=Ann&amp;Symbol="&amp;Ticker, 1,"Normalized EBITDA")</f>
        <v>9612</v>
      </c>
      <c r="H47" s="170">
        <f ca="1">[1]!RCHGetTableCell("http://moneycentral.msn.com/investor/invsub/results/statemnt.aspx?lstStatement=Income&amp;stmtView=Qtr&amp;Symbol="&amp;Ticker, 4,"Normalized EBITDA")</f>
        <v>2812</v>
      </c>
      <c r="I47" s="170">
        <f ca="1">[1]!RCHGetTableCell("http://moneycentral.msn.com/investor/invsub/results/statemnt.aspx?lstStatement=Income&amp;stmtView=Qtr&amp;Symbol="&amp;Ticker, 3,"Normalized EBITDA")</f>
        <v>2518</v>
      </c>
      <c r="J47" s="170">
        <f ca="1">[1]!RCHGetTableCell("http://moneycentral.msn.com/investor/invsub/results/statemnt.aspx?lstStatement=Income&amp;stmtView=Qtr&amp;Symbol="&amp;Ticker, 2,"Normalized EBITDA")</f>
        <v>2212</v>
      </c>
      <c r="K47" s="170">
        <f ca="1">[1]!RCHGetTableCell("http://moneycentral.msn.com/investor/invsub/results/statemnt.aspx?lstStatement=Income&amp;stmtView=Qtr&amp;Symbol="&amp;Ticker, 1,"Normalized EBITDA")</f>
        <v>2524</v>
      </c>
      <c r="L47" s="170">
        <f t="shared" ca="1" si="0"/>
        <v>10066</v>
      </c>
    </row>
    <row r="48" spans="2:12">
      <c r="B48" s="168" t="s">
        <v>320</v>
      </c>
      <c r="C48" s="151">
        <f ca="1">[1]!RCHGetTableCell("http://moneycentral.msn.com/investor/invsub/results/statemnt.aspx?lstStatement=Income&amp;stmtView=Ann&amp;Symbol="&amp;Ticker, 5,"Normalized EBIT&lt;")</f>
        <v>6170</v>
      </c>
      <c r="D48" s="151">
        <f ca="1">[1]!RCHGetTableCell("http://moneycentral.msn.com/investor/invsub/results/statemnt.aspx?lstStatement=Income&amp;stmtView=Ann&amp;Symbol="&amp;Ticker, 4,"Normalized EBIT&lt;")</f>
        <v>6493</v>
      </c>
      <c r="E48" s="151">
        <f ca="1">[1]!RCHGetTableCell("http://moneycentral.msn.com/investor/invsub/results/statemnt.aspx?lstStatement=Income&amp;stmtView=Ann&amp;Symbol="&amp;Ticker, 3,"Normalized EBIT&lt;")</f>
        <v>7520</v>
      </c>
      <c r="F48" s="151">
        <f ca="1">[1]!RCHGetTableCell("http://moneycentral.msn.com/investor/invsub/results/statemnt.aspx?lstStatement=Income&amp;stmtView=Ann&amp;Symbol="&amp;Ticker, 2,"Normalized EBIT&lt;")</f>
        <v>8796</v>
      </c>
      <c r="G48" s="167">
        <f ca="1">[1]!RCHGetTableCell("http://moneycentral.msn.com/investor/invsub/results/statemnt.aspx?lstStatement=Income&amp;stmtView=Ann&amp;Symbol="&amp;Ticker, 1,"Normalized EBIT&lt;")</f>
        <v>8544</v>
      </c>
      <c r="H48" s="151">
        <f ca="1">[1]!RCHGetTableCell("http://moneycentral.msn.com/investor/invsub/results/statemnt.aspx?lstStatement=Income&amp;stmtView=Qtr&amp;Symbol="&amp;Ticker, 4,"Normalized EBIT&lt;")</f>
        <v>2510</v>
      </c>
      <c r="I48" s="151">
        <f ca="1">[1]!RCHGetTableCell("http://moneycentral.msn.com/investor/invsub/results/statemnt.aspx?lstStatement=Income&amp;stmtView=Qtr&amp;Symbol="&amp;Ticker, 3,"Normalized EBIT&lt;")</f>
        <v>2198</v>
      </c>
      <c r="J48" s="151">
        <f ca="1">[1]!RCHGetTableCell("http://moneycentral.msn.com/investor/invsub/results/statemnt.aspx?lstStatement=Income&amp;stmtView=Qtr&amp;Symbol="&amp;Ticker, 2,"Normalized EBIT&lt;")</f>
        <v>1881</v>
      </c>
      <c r="K48" s="151">
        <f ca="1">[1]!RCHGetTableCell("http://moneycentral.msn.com/investor/invsub/results/statemnt.aspx?lstStatement=Income&amp;stmtView=Qtr&amp;Symbol="&amp;Ticker, 1,"Normalized EBIT&lt;")</f>
        <v>2229</v>
      </c>
      <c r="L48" s="151">
        <f t="shared" ca="1" si="0"/>
        <v>8818</v>
      </c>
    </row>
    <row r="49" spans="2:12">
      <c r="B49" s="169" t="s">
        <v>353</v>
      </c>
      <c r="C49" s="170">
        <f ca="1">[1]!RCHGetTableCell("http://moneycentral.msn.com/investor/invsub/results/statemnt.aspx?lstStatement=Income&amp;stmtView=Ann&amp;Symbol="&amp;Ticker, 5,"Normalized Income Before Tax")</f>
        <v>6775</v>
      </c>
      <c r="D49" s="170">
        <f ca="1">[1]!RCHGetTableCell("http://moneycentral.msn.com/investor/invsub/results/statemnt.aspx?lstStatement=Income&amp;stmtView=Ann&amp;Symbol="&amp;Ticker, 4,"Normalized Income Before Tax")</f>
        <v>6763</v>
      </c>
      <c r="E49" s="170">
        <f ca="1">[1]!RCHGetTableCell("http://moneycentral.msn.com/investor/invsub/results/statemnt.aspx?lstStatement=Income&amp;stmtView=Ann&amp;Symbol="&amp;Ticker, 3,"Normalized Income Before Tax")</f>
        <v>8187</v>
      </c>
      <c r="F49" s="170">
        <f ca="1">[1]!RCHGetTableCell("http://moneycentral.msn.com/investor/invsub/results/statemnt.aspx?lstStatement=Income&amp;stmtView=Ann&amp;Symbol="&amp;Ticker, 2,"Normalized Income Before Tax")</f>
        <v>7856</v>
      </c>
      <c r="G49" s="171">
        <f ca="1">[1]!RCHGetTableCell("http://moneycentral.msn.com/investor/invsub/results/statemnt.aspx?lstStatement=Income&amp;stmtView=Ann&amp;Symbol="&amp;Ticker, 1,"Normalized Income Before Tax")</f>
        <v>9259</v>
      </c>
      <c r="H49" s="170">
        <f ca="1">[1]!RCHGetTableCell("http://moneycentral.msn.com/investor/invsub/results/statemnt.aspx?lstStatement=Income&amp;stmtView=Qtr&amp;Symbol="&amp;Ticker, 4,"Normalized Income Before Tax")</f>
        <v>2800</v>
      </c>
      <c r="I49" s="170">
        <f ca="1">[1]!RCHGetTableCell("http://moneycentral.msn.com/investor/invsub/results/statemnt.aspx?lstStatement=Income&amp;stmtView=Qtr&amp;Symbol="&amp;Ticker, 3,"Normalized Income Before Tax")</f>
        <v>2491</v>
      </c>
      <c r="J49" s="170">
        <f ca="1">[1]!RCHGetTableCell("http://moneycentral.msn.com/investor/invsub/results/statemnt.aspx?lstStatement=Income&amp;stmtView=Qtr&amp;Symbol="&amp;Ticker, 2,"Normalized Income Before Tax")</f>
        <v>2061</v>
      </c>
      <c r="K49" s="170">
        <f ca="1">[1]!RCHGetTableCell("http://moneycentral.msn.com/investor/invsub/results/statemnt.aspx?lstStatement=Income&amp;stmtView=Qtr&amp;Symbol="&amp;Ticker, 1,"Normalized Income Before Tax")</f>
        <v>2225</v>
      </c>
      <c r="L49" s="170">
        <f t="shared" ca="1" si="0"/>
        <v>9577</v>
      </c>
    </row>
    <row r="50" spans="2:12">
      <c r="B50" s="168" t="s">
        <v>354</v>
      </c>
      <c r="C50" s="151">
        <f ca="1">[1]!RCHGetTableCell("http://moneycentral.msn.com/investor/invsub/results/statemnt.aspx?lstStatement=Income&amp;stmtView=Ann&amp;Symbol="&amp;Ticker, 5,"Normalized Income After Taxes")</f>
        <v>4933.8999999999996</v>
      </c>
      <c r="D50" s="151">
        <f ca="1">[1]!RCHGetTableCell("http://moneycentral.msn.com/investor/invsub/results/statemnt.aspx?lstStatement=Income&amp;stmtView=Ann&amp;Symbol="&amp;Ticker, 4,"Normalized Income After Taxes")</f>
        <v>5222.87</v>
      </c>
      <c r="E50" s="151">
        <f ca="1">[1]!RCHGetTableCell("http://moneycentral.msn.com/investor/invsub/results/statemnt.aspx?lstStatement=Income&amp;stmtView=Ann&amp;Symbol="&amp;Ticker, 3,"Normalized Income After Taxes")</f>
        <v>6230.97</v>
      </c>
      <c r="F50" s="151">
        <f ca="1">[1]!RCHGetTableCell("http://moneycentral.msn.com/investor/invsub/results/statemnt.aspx?lstStatement=Income&amp;stmtView=Ann&amp;Symbol="&amp;Ticker, 2,"Normalized Income After Taxes")</f>
        <v>6147.9</v>
      </c>
      <c r="G50" s="167">
        <f ca="1">[1]!RCHGetTableCell("http://moneycentral.msn.com/investor/invsub/results/statemnt.aspx?lstStatement=Income&amp;stmtView=Ann&amp;Symbol="&amp;Ticker, 1,"Normalized Income After Taxes")</f>
        <v>7147.63</v>
      </c>
      <c r="H50" s="151">
        <f ca="1">[1]!RCHGetTableCell("http://moneycentral.msn.com/investor/invsub/results/statemnt.aspx?lstStatement=Income&amp;stmtView=Qtr&amp;Symbol="&amp;Ticker, 4,"Normalized Income After Taxes")</f>
        <v>2103.08</v>
      </c>
      <c r="I50" s="151">
        <f ca="1">[1]!RCHGetTableCell("http://moneycentral.msn.com/investor/invsub/results/statemnt.aspx?lstStatement=Income&amp;stmtView=Qtr&amp;Symbol="&amp;Ticker, 3,"Normalized Income After Taxes")</f>
        <v>1957.72</v>
      </c>
      <c r="J50" s="151">
        <f ca="1">[1]!RCHGetTableCell("http://moneycentral.msn.com/investor/invsub/results/statemnt.aspx?lstStatement=Income&amp;stmtView=Qtr&amp;Symbol="&amp;Ticker, 2,"Normalized Income After Taxes")</f>
        <v>1659.32</v>
      </c>
      <c r="K50" s="151">
        <f ca="1">[1]!RCHGetTableCell("http://moneycentral.msn.com/investor/invsub/results/statemnt.aspx?lstStatement=Income&amp;stmtView=Qtr&amp;Symbol="&amp;Ticker, 1,"Normalized Income After Taxes")</f>
        <v>1670</v>
      </c>
      <c r="L50" s="151">
        <f t="shared" ca="1" si="0"/>
        <v>7390.12</v>
      </c>
    </row>
    <row r="51" spans="2:12">
      <c r="B51" s="169" t="s">
        <v>355</v>
      </c>
      <c r="C51" s="170">
        <f ca="1">[1]!RCHGetTableCell("http://moneycentral.msn.com/investor/invsub/results/statemnt.aspx?lstStatement=Income&amp;stmtView=Ann&amp;Symbol="&amp;Ticker, 5,"Normalized Income Available to Common")</f>
        <v>4933.8999999999996</v>
      </c>
      <c r="D51" s="170">
        <f ca="1">[1]!RCHGetTableCell("http://moneycentral.msn.com/investor/invsub/results/statemnt.aspx?lstStatement=Income&amp;stmtView=Ann&amp;Symbol="&amp;Ticker, 4,"Normalized Income Available to Common")</f>
        <v>5222.87</v>
      </c>
      <c r="E51" s="170">
        <f ca="1">[1]!RCHGetTableCell("http://moneycentral.msn.com/investor/invsub/results/statemnt.aspx?lstStatement=Income&amp;stmtView=Ann&amp;Symbol="&amp;Ticker, 3,"Normalized Income Available to Common")</f>
        <v>6184.97</v>
      </c>
      <c r="F51" s="170">
        <f ca="1">[1]!RCHGetTableCell("http://moneycentral.msn.com/investor/invsub/results/statemnt.aspx?lstStatement=Income&amp;stmtView=Ann&amp;Symbol="&amp;Ticker, 2,"Normalized Income Available to Common")</f>
        <v>6080.9</v>
      </c>
      <c r="G51" s="171">
        <f ca="1">[1]!RCHGetTableCell("http://moneycentral.msn.com/investor/invsub/results/statemnt.aspx?lstStatement=Income&amp;stmtView=Ann&amp;Symbol="&amp;Ticker, 1,"Normalized Income Available to Common")</f>
        <v>7065.63</v>
      </c>
      <c r="H51" s="170">
        <f ca="1">[1]!RCHGetTableCell("http://moneycentral.msn.com/investor/invsub/results/statemnt.aspx?lstStatement=Income&amp;stmtView=Qtr&amp;Symbol="&amp;Ticker, 4,"Normalized Income Available to Common")</f>
        <v>2091.08</v>
      </c>
      <c r="I51" s="170">
        <f ca="1">[1]!RCHGetTableCell("http://moneycentral.msn.com/investor/invsub/results/statemnt.aspx?lstStatement=Income&amp;stmtView=Qtr&amp;Symbol="&amp;Ticker, 3,"Normalized Income Available to Common")</f>
        <v>1933.72</v>
      </c>
      <c r="J51" s="170">
        <f ca="1">[1]!RCHGetTableCell("http://moneycentral.msn.com/investor/invsub/results/statemnt.aspx?lstStatement=Income&amp;stmtView=Qtr&amp;Symbol="&amp;Ticker, 2,"Normalized Income Available to Common")</f>
        <v>1624.32</v>
      </c>
      <c r="K51" s="170">
        <f ca="1">[1]!RCHGetTableCell("http://moneycentral.msn.com/investor/invsub/results/statemnt.aspx?lstStatement=Income&amp;stmtView=Qtr&amp;Symbol="&amp;Ticker, 1,"Normalized Income Available to Common")</f>
        <v>1658</v>
      </c>
      <c r="L51" s="170">
        <f t="shared" ca="1" si="0"/>
        <v>7307.12</v>
      </c>
    </row>
    <row r="52" spans="2:12">
      <c r="B52" s="168" t="s">
        <v>356</v>
      </c>
      <c r="C52" s="151">
        <f ca="1">[1]!RCHGetTableCell("http://moneycentral.msn.com/investor/invsub/results/statemnt.aspx?lstStatement=Income&amp;stmtView=Ann&amp;Symbol="&amp;Ticker, 5,"Basic Normalized EPS")</f>
        <v>2.06</v>
      </c>
      <c r="D52" s="151">
        <f ca="1">[1]!RCHGetTableCell("http://moneycentral.msn.com/investor/invsub/results/statemnt.aspx?lstStatement=Income&amp;stmtView=Ann&amp;Symbol="&amp;Ticker, 4,"Basic Normalized EPS")</f>
        <v>2.2200000000000002</v>
      </c>
      <c r="E52" s="151">
        <f ca="1">[1]!RCHGetTableCell("http://moneycentral.msn.com/investor/invsub/results/statemnt.aspx?lstStatement=Income&amp;stmtView=Ann&amp;Symbol="&amp;Ticker, 3,"Basic Normalized EPS")</f>
        <v>2.67</v>
      </c>
      <c r="F52" s="151">
        <f ca="1">[1]!RCHGetTableCell("http://moneycentral.msn.com/investor/invsub/results/statemnt.aspx?lstStatement=Income&amp;stmtView=Ann&amp;Symbol="&amp;Ticker, 2,"Basic Normalized EPS")</f>
        <v>2.63</v>
      </c>
      <c r="G52" s="167">
        <f ca="1">[1]!RCHGetTableCell("http://moneycentral.msn.com/investor/invsub/results/statemnt.aspx?lstStatement=Income&amp;stmtView=Ann&amp;Symbol="&amp;Ticker, 1,"Basic Normalized EPS")</f>
        <v>3.05</v>
      </c>
      <c r="H52" s="151">
        <f ca="1">[1]!RCHGetTableCell("http://moneycentral.msn.com/investor/invsub/results/statemnt.aspx?lstStatement=Income&amp;stmtView=Qtr&amp;Symbol="&amp;Ticker, 4,"Basic Normalized EPS")</f>
        <v>0.9</v>
      </c>
      <c r="I52" s="151">
        <f ca="1">[1]!RCHGetTableCell("http://moneycentral.msn.com/investor/invsub/results/statemnt.aspx?lstStatement=Income&amp;stmtView=Qtr&amp;Symbol="&amp;Ticker, 3,"Basic Normalized EPS")</f>
        <v>0.83</v>
      </c>
      <c r="J52" s="151">
        <f ca="1">[1]!RCHGetTableCell("http://moneycentral.msn.com/investor/invsub/results/statemnt.aspx?lstStatement=Income&amp;stmtView=Qtr&amp;Symbol="&amp;Ticker, 2,"Basic Normalized EPS")</f>
        <v>0.7</v>
      </c>
      <c r="K52" s="151">
        <f ca="1">[1]!RCHGetTableCell("http://moneycentral.msn.com/investor/invsub/results/statemnt.aspx?lstStatement=Income&amp;stmtView=Qtr&amp;Symbol="&amp;Ticker, 1,"Basic Normalized EPS")</f>
        <v>0.72</v>
      </c>
      <c r="L52" s="151">
        <f t="shared" ca="1" si="0"/>
        <v>3.1499999999999995</v>
      </c>
    </row>
    <row r="53" spans="2:12">
      <c r="B53" s="169" t="s">
        <v>357</v>
      </c>
      <c r="C53" s="170">
        <f ca="1">[1]!RCHGetTableCell("http://moneycentral.msn.com/investor/invsub/results/statemnt.aspx?lstStatement=Income&amp;stmtView=Ann&amp;Symbol="&amp;Ticker, 5,"Diluted Normalized EPS")</f>
        <v>2.06</v>
      </c>
      <c r="D53" s="170">
        <f ca="1">[1]!RCHGetTableCell("http://moneycentral.msn.com/investor/invsub/results/statemnt.aspx?lstStatement=Income&amp;stmtView=Ann&amp;Symbol="&amp;Ticker, 4,"Diluted Normalized EPS")</f>
        <v>2.2200000000000002</v>
      </c>
      <c r="E53" s="170">
        <f ca="1">[1]!RCHGetTableCell("http://moneycentral.msn.com/investor/invsub/results/statemnt.aspx?lstStatement=Income&amp;stmtView=Ann&amp;Symbol="&amp;Ticker, 3,"Diluted Normalized EPS")</f>
        <v>2.65</v>
      </c>
      <c r="F53" s="170">
        <f ca="1">[1]!RCHGetTableCell("http://moneycentral.msn.com/investor/invsub/results/statemnt.aspx?lstStatement=Income&amp;stmtView=Ann&amp;Symbol="&amp;Ticker, 2,"Diluted Normalized EPS")</f>
        <v>2.6</v>
      </c>
      <c r="G53" s="171">
        <f ca="1">[1]!RCHGetTableCell("http://moneycentral.msn.com/investor/invsub/results/statemnt.aspx?lstStatement=Income&amp;stmtView=Ann&amp;Symbol="&amp;Ticker, 1,"Diluted Normalized EPS")</f>
        <v>3.03</v>
      </c>
      <c r="H53" s="170">
        <f ca="1">[1]!RCHGetTableCell("http://moneycentral.msn.com/investor/invsub/results/statemnt.aspx?lstStatement=Income&amp;stmtView=Qtr&amp;Symbol="&amp;Ticker, 4,"Diluted Normalized EPS")</f>
        <v>0.9</v>
      </c>
      <c r="I53" s="170">
        <f ca="1">[1]!RCHGetTableCell("http://moneycentral.msn.com/investor/invsub/results/statemnt.aspx?lstStatement=Income&amp;stmtView=Qtr&amp;Symbol="&amp;Ticker, 3,"Diluted Normalized EPS")</f>
        <v>0.83</v>
      </c>
      <c r="J53" s="170">
        <f ca="1">[1]!RCHGetTableCell("http://moneycentral.msn.com/investor/invsub/results/statemnt.aspx?lstStatement=Income&amp;stmtView=Qtr&amp;Symbol="&amp;Ticker, 2,"Diluted Normalized EPS")</f>
        <v>0.69</v>
      </c>
      <c r="K53" s="170">
        <f ca="1">[1]!RCHGetTableCell("http://moneycentral.msn.com/investor/invsub/results/statemnt.aspx?lstStatement=Income&amp;stmtView=Qtr&amp;Symbol="&amp;Ticker, 1,"Diluted Normalized EPS")</f>
        <v>0.71</v>
      </c>
      <c r="L53" s="170">
        <f t="shared" ca="1" si="0"/>
        <v>3.13</v>
      </c>
    </row>
    <row r="54" spans="2:12">
      <c r="B54" s="168" t="s">
        <v>358</v>
      </c>
      <c r="C54" s="151">
        <f ca="1">[1]!RCHGetTableCell("http://moneycentral.msn.com/investor/invsub/results/statemnt.aspx?lstStatement=Income&amp;stmtView=Ann&amp;Symbol="&amp;Ticker, 5,"Amortization of Intangibles")</f>
        <v>29</v>
      </c>
      <c r="D54" s="151">
        <f ca="1">[1]!RCHGetTableCell("http://moneycentral.msn.com/investor/invsub/results/statemnt.aspx?lstStatement=Income&amp;stmtView=Ann&amp;Symbol="&amp;Ticker, 4,"Amortization of Intangibles")</f>
        <v>18</v>
      </c>
      <c r="E54" s="151">
        <f ca="1">[1]!RCHGetTableCell("http://moneycentral.msn.com/investor/invsub/results/statemnt.aspx?lstStatement=Income&amp;stmtView=Ann&amp;Symbol="&amp;Ticker, 3,"Amortization of Intangibles")</f>
        <v>33</v>
      </c>
      <c r="F54" s="151">
        <f ca="1">[1]!RCHGetTableCell("http://moneycentral.msn.com/investor/invsub/results/statemnt.aspx?lstStatement=Income&amp;stmtView=Ann&amp;Symbol="&amp;Ticker, 2,"Amortization of Intangibles")</f>
        <v>54</v>
      </c>
      <c r="G54" s="167">
        <f ca="1">[1]!RCHGetTableCell("http://moneycentral.msn.com/investor/invsub/results/statemnt.aspx?lstStatement=Income&amp;stmtView=Ann&amp;Symbol="&amp;Ticker, 1,"Amortization of Intangibles")</f>
        <v>63</v>
      </c>
      <c r="H54" s="151" t="str">
        <f ca="1">[1]!RCHGetTableCell("http://moneycentral.msn.com/investor/invsub/results/statemnt.aspx?lstStatement=Income&amp;stmtView=Qtr&amp;Symbol="&amp;Ticker, 4,"Amortization of Intangibles")</f>
        <v>Error</v>
      </c>
      <c r="I54" s="151" t="str">
        <f ca="1">[1]!RCHGetTableCell("http://moneycentral.msn.com/investor/invsub/results/statemnt.aspx?lstStatement=Income&amp;stmtView=Qtr&amp;Symbol="&amp;Ticker, 3,"Amortization of Intangibles")</f>
        <v>Error</v>
      </c>
      <c r="J54" s="151" t="str">
        <f ca="1">[1]!RCHGetTableCell("http://moneycentral.msn.com/investor/invsub/results/statemnt.aspx?lstStatement=Income&amp;stmtView=Qtr&amp;Symbol="&amp;Ticker, 2,"Amortization of Intangibles")</f>
        <v>Error</v>
      </c>
      <c r="K54" s="151" t="str">
        <f ca="1">[1]!RCHGetTableCell("http://moneycentral.msn.com/investor/invsub/results/statemnt.aspx?lstStatement=Income&amp;stmtView=Qtr&amp;Symbol="&amp;Ticker, 1,"Amortization of Intangibles")</f>
        <v>Error</v>
      </c>
      <c r="L54" s="151">
        <f t="shared" ca="1" si="0"/>
        <v>0</v>
      </c>
    </row>
    <row r="55" spans="2:12">
      <c r="B55" s="168"/>
      <c r="C55" s="151"/>
      <c r="D55" s="151"/>
      <c r="E55" s="151"/>
      <c r="F55" s="151"/>
      <c r="G55" s="153"/>
      <c r="H55" s="151"/>
      <c r="I55" s="151"/>
      <c r="J55" s="151"/>
      <c r="K55" s="151"/>
      <c r="L55" s="151"/>
    </row>
    <row r="56" spans="2:12">
      <c r="B56" s="717" t="s">
        <v>744</v>
      </c>
      <c r="C56" s="498">
        <f t="shared" ref="C56:H56" ca="1" si="1">D56-1</f>
        <v>2003</v>
      </c>
      <c r="D56" s="498">
        <f t="shared" ca="1" si="1"/>
        <v>2004</v>
      </c>
      <c r="E56" s="498">
        <f t="shared" ca="1" si="1"/>
        <v>2005</v>
      </c>
      <c r="F56" s="498">
        <f t="shared" ca="1" si="1"/>
        <v>2006</v>
      </c>
      <c r="G56" s="498">
        <f t="shared" ca="1" si="1"/>
        <v>2007</v>
      </c>
      <c r="H56" s="498">
        <f t="shared" ca="1" si="1"/>
        <v>2008</v>
      </c>
      <c r="I56" s="498">
        <f ca="1">Statements!N5</f>
        <v>2009</v>
      </c>
      <c r="J56" s="718" t="s">
        <v>98</v>
      </c>
      <c r="K56" s="151"/>
      <c r="L56" s="151"/>
    </row>
    <row r="57" spans="2:12">
      <c r="B57" s="147" t="s">
        <v>297</v>
      </c>
      <c r="C57" s="170">
        <f ca="1">Statements!H49</f>
        <v>6097</v>
      </c>
      <c r="D57" s="170">
        <f ca="1">Statements!I49</f>
        <v>6091</v>
      </c>
      <c r="E57" s="170">
        <f ca="1">Statements!J49</f>
        <v>5786</v>
      </c>
      <c r="F57" s="170">
        <f ca="1">Statements!K49</f>
        <v>6903</v>
      </c>
      <c r="G57" s="170">
        <f ca="1">Statements!L49</f>
        <v>8493</v>
      </c>
      <c r="H57" s="170">
        <f ca="1">Statements!M49</f>
        <v>8326</v>
      </c>
      <c r="I57" s="170">
        <f ca="1">Statements!N49</f>
        <v>9561</v>
      </c>
      <c r="J57" s="170">
        <f ca="1">Statements!S49</f>
        <v>9036</v>
      </c>
      <c r="K57" s="151"/>
      <c r="L57" s="151"/>
    </row>
    <row r="58" spans="2:12">
      <c r="B58" s="146" t="s">
        <v>299</v>
      </c>
      <c r="C58" s="163">
        <f ca="1">Statements!H7</f>
        <v>21044</v>
      </c>
      <c r="D58" s="163">
        <f ca="1">Statements!I7</f>
        <v>21962</v>
      </c>
      <c r="E58" s="163">
        <f ca="1">Statements!J7</f>
        <v>23104</v>
      </c>
      <c r="F58" s="163">
        <f ca="1">Statements!K7</f>
        <v>24088</v>
      </c>
      <c r="G58" s="163">
        <f ca="1">Statements!L7</f>
        <v>28857</v>
      </c>
      <c r="H58" s="163">
        <f ca="1">Statements!M7</f>
        <v>31944</v>
      </c>
      <c r="I58" s="163">
        <f ca="1">Statements!N7</f>
        <v>30990</v>
      </c>
      <c r="J58" s="163">
        <f ca="1">Statements!S7</f>
        <v>31346</v>
      </c>
      <c r="K58" s="151"/>
      <c r="L58" s="151"/>
    </row>
    <row r="59" spans="2:12">
      <c r="B59" s="147" t="s">
        <v>18</v>
      </c>
      <c r="C59" s="170">
        <f ca="1">Statements!H16</f>
        <v>0</v>
      </c>
      <c r="D59" s="170">
        <f ca="1">Statements!I16</f>
        <v>0</v>
      </c>
      <c r="E59" s="170">
        <f ca="1">Statements!J16</f>
        <v>0</v>
      </c>
      <c r="F59" s="170">
        <f ca="1">Statements!K16</f>
        <v>0</v>
      </c>
      <c r="G59" s="170">
        <f ca="1">Statements!L16</f>
        <v>0</v>
      </c>
      <c r="H59" s="170">
        <f ca="1">Statements!M16</f>
        <v>0</v>
      </c>
      <c r="I59" s="170">
        <f ca="1">Statements!N16</f>
        <v>0</v>
      </c>
      <c r="J59" s="170">
        <f ca="1">Statements!S16</f>
        <v>0</v>
      </c>
      <c r="K59" s="151"/>
      <c r="L59" s="151"/>
    </row>
    <row r="60" spans="2:12">
      <c r="B60" s="168"/>
      <c r="C60" s="151"/>
      <c r="D60" s="151"/>
      <c r="E60" s="151"/>
      <c r="F60" s="151"/>
      <c r="G60" s="153"/>
      <c r="H60" s="151"/>
      <c r="I60" s="151"/>
      <c r="J60" s="151"/>
      <c r="K60" s="151"/>
      <c r="L60" s="151"/>
    </row>
    <row r="61" spans="2:12">
      <c r="B61" s="168"/>
      <c r="C61" s="151"/>
      <c r="D61" s="151"/>
      <c r="E61" s="151"/>
      <c r="F61" s="151"/>
      <c r="G61" s="153"/>
      <c r="H61" s="151"/>
      <c r="I61" s="151"/>
      <c r="J61" s="151"/>
      <c r="K61" s="151"/>
      <c r="L61" s="151"/>
    </row>
    <row r="62" spans="2:12" ht="15.75" customHeight="1">
      <c r="B62" s="682" t="s">
        <v>742</v>
      </c>
      <c r="C62" s="682"/>
      <c r="D62" s="682"/>
      <c r="E62" s="681"/>
      <c r="F62" s="681"/>
      <c r="G62" s="681"/>
      <c r="H62" s="1060" t="s">
        <v>743</v>
      </c>
      <c r="I62" s="1060"/>
      <c r="J62" s="681"/>
      <c r="K62" s="681"/>
      <c r="L62" s="681"/>
    </row>
    <row r="63" spans="2:12">
      <c r="D63"/>
      <c r="E63"/>
      <c r="F63"/>
      <c r="G63"/>
      <c r="H63" s="218" t="s">
        <v>423</v>
      </c>
      <c r="I63" s="221" t="str">
        <f ca="1">[1]!RCHGetElementNumber(Ticker,8006)</f>
        <v>2010/03</v>
      </c>
      <c r="J63"/>
      <c r="K63"/>
    </row>
    <row r="64" spans="2:12">
      <c r="D64"/>
      <c r="E64"/>
      <c r="F64"/>
      <c r="G64"/>
      <c r="H64" s="218" t="s">
        <v>106</v>
      </c>
      <c r="I64" s="219" t="str">
        <f ca="1">[1]!RCHGetElementNumber(Ticker,8026)</f>
        <v>2010-04-21</v>
      </c>
      <c r="J64"/>
      <c r="K64"/>
    </row>
    <row r="65" spans="2:11" ht="15">
      <c r="B65" s="115" t="s">
        <v>234</v>
      </c>
      <c r="C65" s="176">
        <f ca="1">[1]!RCHGetTableCell("http://moneycentral.msn.com/investor/invsub/results/statemnt.aspx?lstStatement=Balance&amp;stmtView=Qtr&amp;Symbol="&amp;Ticker,1,"Cash and Short Term Investments",,,,,,,0)</f>
        <v>8794</v>
      </c>
      <c r="D65" s="222">
        <f ca="1">IF(ISBLANK(EPV!$F$3),C65,IF(EPV!$F$3="MSN",C65,I65))</f>
        <v>8794</v>
      </c>
      <c r="E65"/>
      <c r="F65"/>
      <c r="G65"/>
      <c r="H65" s="114" t="s">
        <v>234</v>
      </c>
      <c r="I65" s="212">
        <f ca="1">[1]!RCHGetElementNumber(Ticker,9506)</f>
        <v>5684</v>
      </c>
      <c r="J65"/>
      <c r="K65"/>
    </row>
    <row r="66" spans="2:11">
      <c r="B66" s="118" t="s">
        <v>235</v>
      </c>
      <c r="C66" s="177">
        <f ca="1">[1]!RCHGetTableCell("http://moneycentral.msn.com/investor/invsub/results/statemnt.aspx?lstStatement=Balance&amp;stmtView=Qtr&amp;Symbol="&amp;Ticker, 1,"&gt;Short Term Investments",,,,,,,0)</f>
        <v>3110</v>
      </c>
      <c r="D66" s="284">
        <f ca="1">IF(ISBLANK(EPV!$F$3),C66,IF(EPV!$F$3="MSN",0,I66))</f>
        <v>0</v>
      </c>
      <c r="E66"/>
      <c r="F66"/>
      <c r="G66"/>
      <c r="H66" s="118" t="s">
        <v>235</v>
      </c>
      <c r="I66" s="213">
        <f ca="1">[1]!RCHGetElementNumber(Ticker,9546)</f>
        <v>3110</v>
      </c>
      <c r="J66"/>
      <c r="K66"/>
    </row>
    <row r="67" spans="2:11">
      <c r="B67" s="119" t="s">
        <v>283</v>
      </c>
      <c r="C67" s="178">
        <f ca="1">[1]!RCHGetTableCell("http://moneycentral.msn.com/investor/invsub/results/statemnt.aspx?lstStatement=Balance&amp;stmtView=Qtr&amp;Symbol="&amp;Ticker,1,"Accounts Receivable - Trade, Net")</f>
        <v>3705</v>
      </c>
      <c r="D67" s="222">
        <f ca="1">IF(ISBLANK(EPV!$F$3),C67,IF(EPV!$F$3="MSN",C67,I67))</f>
        <v>3705</v>
      </c>
      <c r="E67"/>
      <c r="F67"/>
      <c r="G67"/>
      <c r="H67" s="119" t="s">
        <v>405</v>
      </c>
      <c r="I67" s="139">
        <f ca="1">[1]!RCHGetElementNumber(Ticker,9566)</f>
        <v>3705</v>
      </c>
      <c r="J67"/>
      <c r="K67"/>
    </row>
    <row r="68" spans="2:11">
      <c r="B68" s="122" t="s">
        <v>236</v>
      </c>
      <c r="C68" s="179">
        <f ca="1">[1]!RCHGetTableCell("http://moneycentral.msn.com/investor/invsub/results/statemnt.aspx?lstStatement=Balance&amp;stmtView=Qtr&amp;Symbol="&amp;Ticker,1,"Receivables - Other",,,,,,,0)</f>
        <v>0</v>
      </c>
      <c r="D68" s="222">
        <f ca="1">IF(ISBLANK(EPV!$F$3),C68,IF(EPV!$F$3="MSN",C68,I68))</f>
        <v>0</v>
      </c>
      <c r="E68"/>
      <c r="F68"/>
      <c r="G68"/>
      <c r="H68" s="118" t="s">
        <v>236</v>
      </c>
      <c r="I68" s="139">
        <f ca="1">[1]!RCHGetElementNumber(Ticker,9606)</f>
        <v>0</v>
      </c>
      <c r="J68"/>
      <c r="K68"/>
    </row>
    <row r="69" spans="2:11" ht="15">
      <c r="B69" s="114" t="s">
        <v>237</v>
      </c>
      <c r="C69" s="180">
        <f ca="1">[1]!RCHGetTableCell("http://moneycentral.msn.com/investor/invsub/results/statemnt.aspx?lstStatement=Balance&amp;stmtView=Qtr&amp;Symbol="&amp;Ticker,1,"Total Receivables, Net")</f>
        <v>3705</v>
      </c>
      <c r="D69" s="222">
        <f ca="1">IF(ISBLANK(EPV!$F$3),C69,IF(EPV!$F$3="MSN",C69,I69))</f>
        <v>3705</v>
      </c>
      <c r="E69"/>
      <c r="F69"/>
      <c r="G69"/>
      <c r="H69" s="114" t="s">
        <v>237</v>
      </c>
      <c r="I69" s="214">
        <f ca="1">[1]!RCHGetElementNumber(Ticker,9626)</f>
        <v>3705</v>
      </c>
      <c r="J69"/>
      <c r="K69"/>
    </row>
    <row r="70" spans="2:11" ht="15">
      <c r="B70" s="120" t="s">
        <v>238</v>
      </c>
      <c r="C70" s="178">
        <f ca="1">[1]!RCHGetElementNumber(Ticker,9646)</f>
        <v>1402</v>
      </c>
      <c r="D70" s="222">
        <f ca="1">IF(ISBLANK(EPV!$F$3),C70,IF(EPV!$F$3="MSN",C70,I70))</f>
        <v>1402</v>
      </c>
      <c r="E70"/>
      <c r="F70"/>
      <c r="G70"/>
      <c r="H70" s="120" t="s">
        <v>238</v>
      </c>
      <c r="I70" s="139">
        <f ca="1">[1]!RCHGetElementNumber(Ticker,9646)</f>
        <v>1402</v>
      </c>
      <c r="J70"/>
      <c r="K70"/>
    </row>
    <row r="71" spans="2:11" ht="15">
      <c r="B71" s="121" t="s">
        <v>239</v>
      </c>
      <c r="C71" s="178">
        <f ca="1">[1]!RCHGetElementNumber(Ticker,9666)</f>
        <v>0</v>
      </c>
      <c r="D71" s="222">
        <f ca="1">IF(ISBLANK(EPV!$F$3),C71,IF(EPV!$F$3="MSN",C71,I71))</f>
        <v>0</v>
      </c>
      <c r="E71" s="151"/>
      <c r="F71"/>
      <c r="G71"/>
      <c r="H71" s="121" t="s">
        <v>239</v>
      </c>
      <c r="I71" s="139">
        <f ca="1">[1]!RCHGetElementNumber(Ticker,9666)</f>
        <v>0</v>
      </c>
      <c r="J71"/>
      <c r="K71"/>
    </row>
    <row r="72" spans="2:11" ht="16.5" customHeight="1">
      <c r="B72" s="121" t="s">
        <v>240</v>
      </c>
      <c r="C72" s="178">
        <f ca="1">[1]!RCHGetElementNumber(Ticker,9686)</f>
        <v>0</v>
      </c>
      <c r="D72" s="222">
        <f ca="1">IF(ISBLANK(EPV!$F$3),C72,IF(EPV!$F$3="MSN",C72,I72))</f>
        <v>0</v>
      </c>
      <c r="E72"/>
      <c r="F72"/>
      <c r="G72"/>
      <c r="H72" s="121" t="s">
        <v>240</v>
      </c>
      <c r="I72" s="139">
        <f ca="1">[1]!RCHGetElementNumber(Ticker,9686)</f>
        <v>0</v>
      </c>
      <c r="J72"/>
      <c r="K72"/>
    </row>
    <row r="73" spans="2:11" ht="15">
      <c r="B73" s="121" t="s">
        <v>241</v>
      </c>
      <c r="C73" s="178">
        <f ca="1">[1]!RCHGetElementNumber(Ticker,9706)</f>
        <v>643</v>
      </c>
      <c r="D73" s="222">
        <f ca="1">IF(ISBLANK(EPV!$F$3),C73,IF(EPV!$F$3="MSN",C73,I73))</f>
        <v>643</v>
      </c>
      <c r="E73"/>
      <c r="F73"/>
      <c r="G73"/>
      <c r="H73" s="121" t="s">
        <v>241</v>
      </c>
      <c r="I73" s="139">
        <f ca="1">[1]!RCHGetElementNumber(Ticker,9706)</f>
        <v>643</v>
      </c>
      <c r="J73"/>
      <c r="K73"/>
    </row>
    <row r="74" spans="2:11" ht="15">
      <c r="B74" s="123" t="s">
        <v>242</v>
      </c>
      <c r="C74" s="179">
        <f ca="1">[1]!RCHGetElementNumber(Ticker,9726)</f>
        <v>282</v>
      </c>
      <c r="D74" s="222">
        <f ca="1">IF(ISBLANK(EPV!$F$3),C74,IF(EPV!$F$3="MSN",C74,I74))</f>
        <v>282</v>
      </c>
      <c r="E74"/>
      <c r="F74"/>
      <c r="G74"/>
      <c r="H74" s="121" t="s">
        <v>242</v>
      </c>
      <c r="I74" s="139">
        <f ca="1">[1]!RCHGetElementNumber(Ticker,9726)</f>
        <v>282</v>
      </c>
      <c r="J74"/>
      <c r="K74"/>
    </row>
    <row r="75" spans="2:11" ht="15">
      <c r="B75" s="115" t="s">
        <v>243</v>
      </c>
      <c r="C75" s="180">
        <f ca="1">[1]!RCHGetTableCell("http://moneycentral.msn.com/investor/invsub/results/statemnt.aspx?lstStatement=Balance&amp;stmtView=Qtr&amp;Symbol="&amp;Ticker,1,"Total Inventory")</f>
        <v>2327</v>
      </c>
      <c r="D75" s="222">
        <f ca="1">IF(ISBLANK(EPV!$F$3),C75,IF(EPV!$F$3="MSN",C75,I75))</f>
        <v>2327</v>
      </c>
      <c r="E75"/>
      <c r="F75"/>
      <c r="G75"/>
      <c r="H75" s="114" t="s">
        <v>243</v>
      </c>
      <c r="I75" s="214">
        <f ca="1">[1]!RCHGetElementNumber(Ticker,9766)</f>
        <v>2327</v>
      </c>
      <c r="J75"/>
      <c r="K75"/>
    </row>
    <row r="76" spans="2:11">
      <c r="B76" s="119" t="s">
        <v>245</v>
      </c>
      <c r="C76" s="178">
        <f ca="1">[1]!RCHGetTableCell("http://moneycentral.msn.com/investor/invsub/results/statemnt.aspx?lstStatement=Balance&amp;stmtView=Qtr&amp;Symbol="&amp;Ticker,1,"Prepaid Expenses")</f>
        <v>2382</v>
      </c>
      <c r="D76" s="222">
        <f ca="1">IF(ISBLANK(EPV!$F$3),C76,IF(EPV!$F$3="MSN",C76,I76))</f>
        <v>2382</v>
      </c>
      <c r="E76"/>
      <c r="F76"/>
      <c r="G76"/>
      <c r="H76" s="119" t="s">
        <v>245</v>
      </c>
      <c r="I76" s="139">
        <f ca="1">[1]!RCHGetElementNumber(Ticker,9786)</f>
        <v>2382</v>
      </c>
      <c r="J76"/>
      <c r="K76"/>
    </row>
    <row r="77" spans="2:11">
      <c r="B77" s="118" t="s">
        <v>246</v>
      </c>
      <c r="C77" s="178">
        <f ca="1">[1]!RCHGetElementNumber(Ticker,9806)</f>
        <v>0</v>
      </c>
      <c r="D77" s="222">
        <f ca="1">IF(ISBLANK(EPV!$F$3),C77,IF(EPV!$F$3="MSN",C77,I77))</f>
        <v>0</v>
      </c>
      <c r="E77"/>
      <c r="F77"/>
      <c r="G77"/>
      <c r="H77" s="118" t="s">
        <v>246</v>
      </c>
      <c r="I77" s="139">
        <f ca="1">[1]!RCHGetElementNumber(Ticker,9806)</f>
        <v>0</v>
      </c>
      <c r="J77"/>
      <c r="K77"/>
    </row>
    <row r="78" spans="2:11">
      <c r="B78" s="122" t="s">
        <v>247</v>
      </c>
      <c r="C78" s="179">
        <f ca="1">[1]!RCHGetTableCell("http://moneycentral.msn.com/investor/invsub/results/statemnt.aspx?lstStatement=Balance&amp;stmtView=Qtr&amp;Symbol="&amp;Ticker,1,"Other Current Assets, Total")</f>
        <v>0</v>
      </c>
      <c r="D78" s="222">
        <f ca="1">IF(ISBLANK(EPV!$F$3),C78,IF(EPV!$F$3="MSN",C78,I78))</f>
        <v>0</v>
      </c>
      <c r="E78"/>
      <c r="F78"/>
      <c r="G78"/>
      <c r="H78" s="118" t="s">
        <v>247</v>
      </c>
      <c r="I78" s="139">
        <f ca="1">[1]!RCHGetElementNumber(Ticker,9826)</f>
        <v>0</v>
      </c>
      <c r="J78"/>
      <c r="K78"/>
    </row>
    <row r="79" spans="2:11" ht="15">
      <c r="B79" s="115" t="s">
        <v>248</v>
      </c>
      <c r="C79" s="180">
        <f ca="1">[1]!RCHGetTableCell("http://moneycentral.msn.com/investor/invsub/results/statemnt.aspx?lstStatement=Balance&amp;stmtView=Qtr&amp;Symbol="&amp;Ticker,1,"Total Current Assets")</f>
        <v>17208</v>
      </c>
      <c r="D79" s="222">
        <f ca="1">IF(ISBLANK(EPV!$F$3),C79,IF(EPV!$F$3="MSN",C79,I79))</f>
        <v>17208</v>
      </c>
      <c r="E79"/>
      <c r="F79"/>
      <c r="G79"/>
      <c r="H79" s="114" t="s">
        <v>248</v>
      </c>
      <c r="I79" s="215">
        <f ca="1">[1]!RCHGetElementNumber(Ticker,9846)</f>
        <v>17208</v>
      </c>
      <c r="J79"/>
      <c r="K79"/>
    </row>
    <row r="80" spans="2:11">
      <c r="B80" s="118" t="s">
        <v>285</v>
      </c>
      <c r="C80" s="178">
        <f ca="1">[1]!RCHGetTableCell("http://moneycentral.msn.com/investor/invsub/results/statemnt.aspx?lstStatement=Balance&amp;stmtView=Qtr&amp;Symbol="&amp;Ticker,1,"Goodwill, Net")</f>
        <v>3905</v>
      </c>
      <c r="D80" s="226">
        <f ca="1">C80</f>
        <v>3905</v>
      </c>
      <c r="E80"/>
      <c r="F80"/>
      <c r="G80"/>
      <c r="H80" s="210" t="s">
        <v>406</v>
      </c>
      <c r="I80" s="139">
        <f ca="1">[1]!RCHGetElementNumber(Ticker,9866)</f>
        <v>0</v>
      </c>
      <c r="J80"/>
      <c r="K80"/>
    </row>
    <row r="81" spans="2:11">
      <c r="B81" s="137" t="s">
        <v>286</v>
      </c>
      <c r="C81" s="179">
        <f ca="1">[1]!RCHGetTableCell("http://moneycentral.msn.com/investor/invsub/results/statemnt.aspx?lstStatement=Balance&amp;stmtView=Qtr&amp;Symbol="&amp;Ticker,1,"Intangibles, Net")</f>
        <v>8410</v>
      </c>
      <c r="D81" s="222">
        <f ca="1">IF(ISBLANK(EPV!$F$3),C81,IF(EPV!$F$3="MSN",C81,I88))</f>
        <v>8410</v>
      </c>
      <c r="E81"/>
      <c r="F81"/>
      <c r="G81"/>
      <c r="H81" s="209" t="s">
        <v>407</v>
      </c>
      <c r="I81" s="139">
        <f ca="1">[1]!RCHGetElementNumber(Ticker,9886)</f>
        <v>0</v>
      </c>
      <c r="J81"/>
      <c r="K81"/>
    </row>
    <row r="82" spans="2:11" ht="15">
      <c r="B82" s="115" t="s">
        <v>249</v>
      </c>
      <c r="C82" s="180">
        <f ca="1">SUM(C80:C81)</f>
        <v>12315</v>
      </c>
      <c r="D82" s="222">
        <f ca="1">SUM(D80:D81)</f>
        <v>12315</v>
      </c>
      <c r="E82"/>
      <c r="F82"/>
      <c r="G82"/>
      <c r="H82" s="209" t="s">
        <v>408</v>
      </c>
      <c r="I82" s="139">
        <f ca="1">[1]!RCHGetElementNumber(Ticker,9906)</f>
        <v>0</v>
      </c>
      <c r="J82"/>
      <c r="K82"/>
    </row>
    <row r="83" spans="2:11">
      <c r="B83" s="118" t="s">
        <v>284</v>
      </c>
      <c r="C83" s="181">
        <f ca="1">[1]!RCHGetTableCell("http://moneycentral.msn.com/investor/invsub/results/statemnt.aspx?lstStatement=Balance&amp;stmtView=Qtr&amp;Symbol="&amp;Ticker,1,"Property/Plant/Equipment, Total - Net")</f>
        <v>9036</v>
      </c>
      <c r="D83" s="222">
        <f ca="1">IF(ISBLANK(EPV!$F$3),C83,IF(EPV!$F$3="MSN",C83,I87))</f>
        <v>9036</v>
      </c>
      <c r="E83"/>
      <c r="F83"/>
      <c r="G83"/>
      <c r="H83" s="209" t="s">
        <v>409</v>
      </c>
      <c r="I83" s="139">
        <f ca="1">[1]!RCHGetElementNumber(Ticker,9926)</f>
        <v>0</v>
      </c>
      <c r="J83"/>
      <c r="K83"/>
    </row>
    <row r="84" spans="2:11">
      <c r="B84" t="s">
        <v>287</v>
      </c>
      <c r="C84" s="178">
        <f ca="1">[1]!RCHGetTableCell("http://moneycentral.msn.com/investor/invsub/results/statemnt.aspx?lstStatement=Balance&amp;stmtView=Qtr&amp;Symbol="&amp;Ticker,1,"Long Term Investments")</f>
        <v>6749</v>
      </c>
      <c r="D84" s="226">
        <f ca="1">C84</f>
        <v>6749</v>
      </c>
      <c r="E84"/>
      <c r="F84"/>
      <c r="G84"/>
      <c r="H84" s="209" t="s">
        <v>410</v>
      </c>
      <c r="I84" s="139">
        <f ca="1">[1]!RCHGetElementNumber(Ticker,9946)</f>
        <v>15788</v>
      </c>
      <c r="J84"/>
      <c r="K84"/>
    </row>
    <row r="85" spans="2:11" ht="15">
      <c r="B85" t="s">
        <v>288</v>
      </c>
      <c r="C85" s="178">
        <f ca="1">[1]!RCHGetTableCell("http://moneycentral.msn.com/investor/invsub/results/statemnt.aspx?lstStatement=Balance&amp;stmtView=Qtr&amp;Symbol="&amp;Ticker,1,"Note Receivable - Long Term")</f>
        <v>0</v>
      </c>
      <c r="D85" s="163">
        <f ca="1">C85</f>
        <v>0</v>
      </c>
      <c r="E85"/>
      <c r="F85"/>
      <c r="G85"/>
      <c r="H85" s="114" t="s">
        <v>411</v>
      </c>
      <c r="I85" s="214">
        <f ca="1">[1]!RCHGetElementNumber(Ticker,9966)</f>
        <v>15788</v>
      </c>
      <c r="J85"/>
      <c r="K85"/>
    </row>
    <row r="86" spans="2:11">
      <c r="B86" t="s">
        <v>289</v>
      </c>
      <c r="C86" s="178">
        <f ca="1">[1]!RCHGetTableCell("http://moneycentral.msn.com/investor/invsub/results/statemnt.aspx?lstStatement=Balance&amp;stmtView=Qtr&amp;Symbol="&amp;Ticker,1,"Other Long Term Assets, Total")</f>
        <v>2095</v>
      </c>
      <c r="D86" s="226">
        <f ca="1">C86</f>
        <v>2095</v>
      </c>
      <c r="E86"/>
      <c r="F86"/>
      <c r="G86"/>
      <c r="H86" s="210" t="s">
        <v>412</v>
      </c>
      <c r="I86" s="139">
        <f ca="1">[1]!RCHGetElementNumber(Ticker,10006)</f>
        <v>6752</v>
      </c>
      <c r="J86"/>
      <c r="K86"/>
    </row>
    <row r="87" spans="2:11" ht="15">
      <c r="B87" s="116" t="s">
        <v>250</v>
      </c>
      <c r="C87" s="180">
        <f ca="1">[1]!RCHGetTableCell("http://moneycentral.msn.com/investor/invsub/results/statemnt.aspx?lstStatement=Balance&amp;stmtView=Qtr&amp;Symbol="&amp;Ticker,1,"Total Assets")</f>
        <v>47403</v>
      </c>
      <c r="D87" s="222">
        <f ca="1">IF(ISBLANK(EPV!$F$3),C87,IF(EPV!$F$3="MSN",C87,I91))</f>
        <v>47403</v>
      </c>
      <c r="E87"/>
      <c r="F87"/>
      <c r="G87"/>
      <c r="H87" s="209" t="s">
        <v>413</v>
      </c>
      <c r="I87" s="139">
        <f ca="1">[1]!RCHGetElementNumber(Ticker,10026)</f>
        <v>9036</v>
      </c>
      <c r="J87"/>
      <c r="K87"/>
    </row>
    <row r="88" spans="2:11" ht="15">
      <c r="B88" s="126"/>
      <c r="C88" s="127"/>
      <c r="D88"/>
      <c r="E88"/>
      <c r="F88"/>
      <c r="G88"/>
      <c r="H88" s="114" t="s">
        <v>249</v>
      </c>
      <c r="I88" s="214">
        <f ca="1">[1]!RCHGetElementNumber(Ticker,10046)</f>
        <v>8410</v>
      </c>
      <c r="J88"/>
      <c r="K88"/>
    </row>
    <row r="89" spans="2:11" ht="18.75">
      <c r="B89" s="124" t="s">
        <v>251</v>
      </c>
      <c r="C89" s="125" t="s">
        <v>264</v>
      </c>
      <c r="D89"/>
      <c r="E89"/>
      <c r="F89"/>
      <c r="G89"/>
      <c r="H89" s="210" t="s">
        <v>414</v>
      </c>
      <c r="I89" s="139">
        <f ca="1">[1]!RCHGetElementNumber(Ticker,10106)</f>
        <v>8844</v>
      </c>
      <c r="J89"/>
      <c r="K89"/>
    </row>
    <row r="90" spans="2:11">
      <c r="B90" s="118" t="s">
        <v>252</v>
      </c>
      <c r="C90" s="182">
        <f ca="1">[1]!RCHGetTableCell("http://moneycentral.msn.com/investor/invsub/results/statemnt.aspx?lstStatement=Balance&amp;stmtView=Qtr&amp;Symbol="&amp;Ticker,1,"Accounts Payable")</f>
        <v>0</v>
      </c>
      <c r="D90" s="222">
        <f ca="1">IF(ISBLANK(EPV!$F$3),C90,IF(EPV!$F$3="MSN",C90,I93))</f>
        <v>0</v>
      </c>
      <c r="E90"/>
      <c r="F90"/>
      <c r="G90"/>
      <c r="H90" s="209" t="s">
        <v>431</v>
      </c>
      <c r="I90" s="139">
        <f ca="1">[1]!RCHGetElementNumber(Ticker,10126)</f>
        <v>30195</v>
      </c>
      <c r="J90"/>
      <c r="K90"/>
    </row>
    <row r="91" spans="2:11" ht="15">
      <c r="B91" s="118" t="s">
        <v>253</v>
      </c>
      <c r="C91" s="182">
        <f ca="1">[1]!RCHGetTableCell("http://moneycentral.msn.com/investor/invsub/results/statemnt.aspx?lstStatement=Balance&amp;stmtView=Qtr&amp;Symbol="&amp;Ticker,1,"Accrued Expenses")</f>
        <v>0</v>
      </c>
      <c r="D91" s="222">
        <f ca="1">IF(ISBLANK(EPV!$F$3),C91,IF(EPV!$F$3="MSN",C91,I96))</f>
        <v>0</v>
      </c>
      <c r="E91"/>
      <c r="F91"/>
      <c r="G91"/>
      <c r="H91" s="114" t="s">
        <v>250</v>
      </c>
      <c r="I91" s="216">
        <f ca="1">[1]!RCHGetElementNumber(Ticker,10146)</f>
        <v>47403</v>
      </c>
      <c r="J91"/>
      <c r="K91"/>
    </row>
    <row r="92" spans="2:11" ht="18.75">
      <c r="B92" s="118" t="s">
        <v>254</v>
      </c>
      <c r="C92" s="182">
        <f ca="1">[1]!RCHGetTableCell("http://moneycentral.msn.com/investor/invsub/results/statemnt.aspx?lstStatement=Balance&amp;stmtView=Qtr&amp;Symbol="&amp;Ticker,1,"Payable/Accrued")</f>
        <v>5963</v>
      </c>
      <c r="D92" s="222">
        <f ca="1">IF(ISBLANK(EPV!$F$3),C92,IF(EPV!$F$3="MSN",C92,I97))</f>
        <v>5963</v>
      </c>
      <c r="E92"/>
      <c r="F92"/>
      <c r="G92"/>
      <c r="H92" s="211" t="s">
        <v>251</v>
      </c>
      <c r="J92"/>
      <c r="K92"/>
    </row>
    <row r="93" spans="2:11">
      <c r="B93" s="118" t="s">
        <v>290</v>
      </c>
      <c r="C93" s="182">
        <f ca="1">[1]!RCHGetTableCell("http://moneycentral.msn.com/investor/invsub/results/statemnt.aspx?lstStatement=Balance&amp;stmtView=Qtr&amp;Symbol="&amp;Ticker,1,"Notes Payable/Short Term Debt")</f>
        <v>6670</v>
      </c>
      <c r="D93" s="163">
        <f ca="1">C93</f>
        <v>6670</v>
      </c>
      <c r="E93"/>
      <c r="F93"/>
      <c r="G93"/>
      <c r="H93" s="118" t="s">
        <v>252</v>
      </c>
      <c r="I93" s="139">
        <f ca="1">[1]!RCHGetElementNumber(Ticker,10186)</f>
        <v>5963</v>
      </c>
      <c r="J93"/>
      <c r="K93"/>
    </row>
    <row r="94" spans="2:11">
      <c r="B94" s="118" t="s">
        <v>291</v>
      </c>
      <c r="C94" s="182">
        <f ca="1">[1]!RCHGetTableCell("http://moneycentral.msn.com/investor/invsub/results/statemnt.aspx?lstStatement=Balance&amp;stmtView=Qtr&amp;Symbol="&amp;Ticker,1,"Current Port. of LT Debt/Capital Leases")</f>
        <v>546</v>
      </c>
      <c r="D94" s="222">
        <f ca="1">IF(ISBLANK(EPV!$F$3),C94,IF(EPV!$F$3="MSN",C94,I95))</f>
        <v>546</v>
      </c>
      <c r="E94"/>
      <c r="F94"/>
      <c r="G94"/>
      <c r="H94" s="118" t="s">
        <v>415</v>
      </c>
      <c r="I94" s="139">
        <f ca="1">[1]!RCHGetElementNumber(Ticker,10206)</f>
        <v>6670</v>
      </c>
      <c r="J94"/>
      <c r="K94"/>
    </row>
    <row r="95" spans="2:11">
      <c r="B95" s="122" t="s">
        <v>255</v>
      </c>
      <c r="C95" s="183">
        <f ca="1">[1]!RCHGetTableCell("http://moneycentral.msn.com/investor/invsub/results/statemnt.aspx?lstStatement=Balance&amp;stmtView=Qtr&amp;Symbol="&amp;Ticker,1,"Other Current Liabilities, Total")</f>
        <v>404</v>
      </c>
      <c r="D95" s="222">
        <f ca="1">IF(ISBLANK(EPV!$F$3),C95,IF(EPV!$F$3="MSN",C95,I100))</f>
        <v>404</v>
      </c>
      <c r="E95"/>
      <c r="F95"/>
      <c r="G95"/>
      <c r="H95" s="118" t="s">
        <v>416</v>
      </c>
      <c r="I95" s="139">
        <f ca="1">[1]!RCHGetElementNumber(Ticker,10226)</f>
        <v>546</v>
      </c>
      <c r="J95"/>
      <c r="K95"/>
    </row>
    <row r="96" spans="2:11" ht="15">
      <c r="B96" s="115" t="s">
        <v>256</v>
      </c>
      <c r="C96" s="184">
        <f ca="1">[1]!RCHGetTableCell("http://moneycentral.msn.com/investor/invsub/results/statemnt.aspx?lstStatement=Balance&amp;stmtView=Qtr&amp;Symbol="&amp;Ticker,1,"Total Current Liabilities")</f>
        <v>13583</v>
      </c>
      <c r="D96" s="222">
        <f ca="1">IF(ISBLANK(EPV!$F$3),C96,IF(EPV!$F$3="MSN",C96,I101))</f>
        <v>13583</v>
      </c>
      <c r="E96"/>
      <c r="F96"/>
      <c r="G96"/>
      <c r="H96" s="118" t="s">
        <v>253</v>
      </c>
      <c r="I96" s="139">
        <f ca="1">[1]!RCHGetElementNumber(Ticker,10246)</f>
        <v>0</v>
      </c>
      <c r="J96"/>
      <c r="K96"/>
    </row>
    <row r="97" spans="2:11">
      <c r="B97" s="118" t="s">
        <v>257</v>
      </c>
      <c r="C97" s="182">
        <f ca="1">[1]!RCHGetTableCell("http://moneycentral.msn.com/investor/invsub/results/statemnt.aspx?lstStatement=Balance&amp;stmtView=Qtr&amp;Symbol="&amp;Ticker,1,"Total Long Term Debt")</f>
        <v>4419</v>
      </c>
      <c r="D97" s="222">
        <f ca="1">IF(ISBLANK(EPV!$F$3),C97,IF(EPV!$F$3="MSN",C97,I102))</f>
        <v>4419</v>
      </c>
      <c r="E97"/>
      <c r="F97"/>
      <c r="G97"/>
      <c r="H97" s="118" t="s">
        <v>254</v>
      </c>
      <c r="I97" s="139">
        <f ca="1">[1]!RCHGetElementNumber(Ticker,10266)</f>
        <v>0</v>
      </c>
      <c r="J97"/>
      <c r="K97"/>
    </row>
    <row r="98" spans="2:11">
      <c r="B98" s="118" t="s">
        <v>258</v>
      </c>
      <c r="C98" s="182">
        <f ca="1">[1]!RCHGetElementNumber(Ticker,10386)</f>
        <v>0</v>
      </c>
      <c r="D98" s="222">
        <f ca="1">IF(ISBLANK(EPV!$F$3),C98,IF(EPV!$F$3="MSN",C98,I103))</f>
        <v>0</v>
      </c>
      <c r="E98"/>
      <c r="F98"/>
      <c r="G98"/>
      <c r="H98" s="118" t="s">
        <v>417</v>
      </c>
      <c r="I98" s="139">
        <f ca="1">[1]!RCHGetElementNumber(Ticker,10286)</f>
        <v>0</v>
      </c>
      <c r="J98"/>
      <c r="K98"/>
    </row>
    <row r="99" spans="2:11">
      <c r="B99" s="118" t="s">
        <v>259</v>
      </c>
      <c r="C99" s="182">
        <f ca="1">[1]!RCHGetTableCell("http://moneycentral.msn.com/investor/invsub/results/statemnt.aspx?lstStatement=Balance&amp;stmtView=Qtr&amp;Symbol="&amp;Ticker,1,"Deferred Income Tax")</f>
        <v>1481</v>
      </c>
      <c r="D99" s="222">
        <f ca="1">IF(ISBLANK(EPV!$F$3),C99,IF(EPV!$F$3="MSN",C99,I104))</f>
        <v>1481</v>
      </c>
      <c r="E99"/>
      <c r="F99"/>
      <c r="G99"/>
      <c r="H99" s="118" t="s">
        <v>418</v>
      </c>
      <c r="I99" s="139">
        <f ca="1">[1]!RCHGetElementNumber(Ticker,10306)</f>
        <v>0</v>
      </c>
      <c r="J99"/>
      <c r="K99"/>
    </row>
    <row r="100" spans="2:11">
      <c r="B100" s="118" t="s">
        <v>292</v>
      </c>
      <c r="C100" s="182">
        <f ca="1">[1]!RCHGetTableCell("http://moneycentral.msn.com/investor/invsub/results/statemnt.aspx?lstStatement=Balance&amp;stmtView=Qtr&amp;Symbol="&amp;Ticker,1,"Minority Interest")</f>
        <v>285</v>
      </c>
      <c r="E100"/>
      <c r="F100"/>
      <c r="G100"/>
      <c r="H100" s="118" t="s">
        <v>255</v>
      </c>
      <c r="I100" s="139">
        <f ca="1">[1]!RCHGetElementNumber(Ticker,10326)</f>
        <v>404</v>
      </c>
      <c r="J100"/>
      <c r="K100"/>
    </row>
    <row r="101" spans="2:11" ht="15">
      <c r="B101" s="122" t="s">
        <v>293</v>
      </c>
      <c r="C101" s="183">
        <f ca="1">[1]!RCHGetTableCell("http://moneycentral.msn.com/investor/invsub/results/statemnt.aspx?lstStatement=Balance&amp;stmtView=Qtr&amp;Symbol="&amp;Ticker,1,"Other Liabilities, Total")</f>
        <v>2763</v>
      </c>
      <c r="D101" s="222">
        <f ca="1">IF(ISBLANK(EPV!$F$3),C101,IF(EPV!$F$3="MSN",C101,I105))</f>
        <v>2763</v>
      </c>
      <c r="E101"/>
      <c r="F101"/>
      <c r="G101"/>
      <c r="H101" s="115" t="s">
        <v>256</v>
      </c>
      <c r="I101" s="214">
        <f ca="1">[1]!RCHGetElementNumber(Ticker,10346)</f>
        <v>13583</v>
      </c>
      <c r="J101"/>
      <c r="K101"/>
    </row>
    <row r="102" spans="2:11" ht="15">
      <c r="B102" s="115" t="s">
        <v>244</v>
      </c>
      <c r="C102" s="184">
        <f ca="1">[1]!RCHGetTableCell("http://moneycentral.msn.com/investor/invsub/results/statemnt.aspx?lstStatement=Balance&amp;stmtView=Qtr&amp;Symbol="&amp;Ticker,1,"Total Liabilities")</f>
        <v>22531</v>
      </c>
      <c r="D102" s="222">
        <f ca="1">IF(ISBLANK(EPV!$F$3),C102,IF(EPV!$F$3="MSN",C102,I107))</f>
        <v>22531</v>
      </c>
      <c r="E102"/>
      <c r="F102"/>
      <c r="G102"/>
      <c r="H102" s="209" t="s">
        <v>257</v>
      </c>
      <c r="I102" s="139">
        <f ca="1">[1]!RCHGetElementNumber(Ticker,10366)</f>
        <v>4419</v>
      </c>
      <c r="J102"/>
      <c r="K102"/>
    </row>
    <row r="103" spans="2:11">
      <c r="B103" s="118" t="s">
        <v>260</v>
      </c>
      <c r="C103" s="182">
        <f ca="1">[1]!RCHGetElementNumber(Ticker,10566)</f>
        <v>24872</v>
      </c>
      <c r="D103" s="222">
        <f ca="1">IF(ISBLANK(EPV!$F$3),C103,IF(EPV!$F$3="MSN",C103,I109))</f>
        <v>24872</v>
      </c>
      <c r="E103"/>
      <c r="F103"/>
      <c r="G103"/>
      <c r="H103" s="209" t="s">
        <v>258</v>
      </c>
      <c r="I103" s="139">
        <f ca="1">[1]!RCHGetElementNumber(Ticker,10386)</f>
        <v>0</v>
      </c>
      <c r="J103"/>
      <c r="K103"/>
    </row>
    <row r="104" spans="2:11">
      <c r="B104" s="118" t="s">
        <v>261</v>
      </c>
      <c r="C104" s="182">
        <f ca="1">[1]!RCHGetElementNumber(Ticker,10646)</f>
        <v>42136</v>
      </c>
      <c r="D104" s="222">
        <f ca="1">IF(ISBLANK(EPV!$F$3),C104,IF(EPV!$F$3="MSN",C104,I110))</f>
        <v>42136</v>
      </c>
      <c r="E104"/>
      <c r="F104"/>
      <c r="G104"/>
      <c r="H104" s="209" t="s">
        <v>259</v>
      </c>
      <c r="I104" s="139">
        <f ca="1">[1]!RCHGetElementNumber(Ticker,10406)</f>
        <v>1481</v>
      </c>
      <c r="J104"/>
      <c r="K104"/>
    </row>
    <row r="105" spans="2:11" ht="15">
      <c r="B105" s="143" t="s">
        <v>294</v>
      </c>
      <c r="C105" s="183">
        <f ca="1">[1]!RCHGetElementNumber(Ticker,10706)</f>
        <v>29291</v>
      </c>
      <c r="D105" s="222">
        <f ca="1">IF(ISBLANK(EPV!$F$3),C105,IF(EPV!$F$3="MSN",C105,I111))</f>
        <v>29291</v>
      </c>
      <c r="E105"/>
      <c r="F105"/>
      <c r="G105"/>
      <c r="H105" s="209" t="s">
        <v>419</v>
      </c>
      <c r="I105" s="139">
        <f ca="1">[1]!RCHGetElementNumber(Ticker,10426)</f>
        <v>2763</v>
      </c>
      <c r="J105"/>
      <c r="K105"/>
    </row>
    <row r="106" spans="2:11" ht="15">
      <c r="B106" s="115" t="s">
        <v>262</v>
      </c>
      <c r="C106" s="185">
        <f ca="1">[1]!RCHGetTableCell("http://moneycentral.msn.com/investor/invsub/results/statemnt.aspx?lstStatement=Balance&amp;stmtView=Qtr&amp;Symbol="&amp;Ticker,1,"Total Equity")</f>
        <v>24872</v>
      </c>
      <c r="D106" s="222">
        <f ca="1">IF(ISBLANK(EPV!$F$3),C106,IF(EPV!$F$3="MSN",C106,I112))</f>
        <v>24872</v>
      </c>
      <c r="E106"/>
      <c r="F106"/>
      <c r="G106"/>
      <c r="H106" s="209" t="s">
        <v>420</v>
      </c>
      <c r="I106" s="139">
        <f ca="1">[1]!RCHGetElementNumber(Ticker,10506)</f>
        <v>8948</v>
      </c>
      <c r="J106"/>
      <c r="K106"/>
    </row>
    <row r="107" spans="2:11" ht="15">
      <c r="B107" s="116" t="s">
        <v>263</v>
      </c>
      <c r="C107" s="184">
        <f ca="1">[1]!RCHGetTableCell("http://moneycentral.msn.com/investor/invsub/results/statemnt.aspx?lstStatement=Balance&amp;stmtView=Qtr&amp;Symbol="&amp;Ticker,1,"Total Liabilities &amp; Shareholders’ Equity")</f>
        <v>47403</v>
      </c>
      <c r="D107" s="222">
        <f ca="1">IF(ISBLANK(EPV!$F$3),C107,IF(EPV!$F$3="MSN",C107,I113))</f>
        <v>47403</v>
      </c>
      <c r="E107"/>
      <c r="F107"/>
      <c r="G107"/>
      <c r="H107" s="115" t="s">
        <v>244</v>
      </c>
      <c r="I107" s="214">
        <f ca="1">[1]!RCHGetElementNumber(Ticker,10526)</f>
        <v>22531</v>
      </c>
      <c r="J107"/>
      <c r="K107"/>
    </row>
    <row r="108" spans="2:11">
      <c r="D108"/>
      <c r="E108"/>
      <c r="F108"/>
      <c r="G108"/>
      <c r="H108" s="209" t="s">
        <v>421</v>
      </c>
      <c r="I108" s="139">
        <f ca="1">[1]!RCHGetElementNumber(Ticker,10546)</f>
        <v>0</v>
      </c>
      <c r="J108"/>
      <c r="K108"/>
    </row>
    <row r="109" spans="2:11">
      <c r="D109"/>
      <c r="E109"/>
      <c r="F109"/>
      <c r="G109"/>
      <c r="H109" s="209" t="s">
        <v>260</v>
      </c>
      <c r="I109" s="139">
        <f ca="1">[1]!RCHGetElementNumber(Ticker,10566)</f>
        <v>24872</v>
      </c>
      <c r="J109"/>
      <c r="K109"/>
    </row>
    <row r="110" spans="2:11">
      <c r="D110"/>
      <c r="E110"/>
      <c r="F110"/>
      <c r="G110"/>
      <c r="H110" s="209" t="s">
        <v>261</v>
      </c>
      <c r="I110" s="139">
        <f ca="1">[1]!RCHGetElementNumber(Ticker,10646)</f>
        <v>42136</v>
      </c>
      <c r="J110"/>
      <c r="K110"/>
    </row>
    <row r="111" spans="2:11" ht="30">
      <c r="D111"/>
      <c r="E111"/>
      <c r="F111"/>
      <c r="G111"/>
      <c r="H111" s="114" t="s">
        <v>422</v>
      </c>
      <c r="I111" s="212">
        <f ca="1">[1]!RCHGetElementNumber(Ticker,10706)</f>
        <v>29291</v>
      </c>
      <c r="J111"/>
      <c r="K111"/>
    </row>
    <row r="112" spans="2:11" ht="15">
      <c r="D112"/>
      <c r="E112"/>
      <c r="F112"/>
      <c r="G112"/>
      <c r="H112" s="115" t="s">
        <v>262</v>
      </c>
      <c r="I112" s="214">
        <f ca="1">[1]!RCHGetElementNumber(Ticker,10726)</f>
        <v>24872</v>
      </c>
      <c r="J112"/>
      <c r="K112"/>
    </row>
    <row r="113" spans="1:14" ht="15">
      <c r="D113"/>
      <c r="E113"/>
      <c r="F113"/>
      <c r="G113"/>
      <c r="H113" s="114" t="s">
        <v>263</v>
      </c>
      <c r="I113" s="217">
        <f ca="1">[1]!RCHGetElementNumber(Ticker,10746)</f>
        <v>47403</v>
      </c>
      <c r="J113"/>
      <c r="K113"/>
    </row>
    <row r="114" spans="1:14">
      <c r="D114"/>
      <c r="E114"/>
      <c r="F114"/>
      <c r="G114"/>
      <c r="J114"/>
      <c r="K114"/>
    </row>
    <row r="115" spans="1:14">
      <c r="D115"/>
      <c r="E115"/>
      <c r="F115"/>
      <c r="G115"/>
      <c r="H115"/>
    </row>
    <row r="116" spans="1:14" ht="18">
      <c r="A116" s="731" t="s">
        <v>318</v>
      </c>
      <c r="B116" s="731"/>
      <c r="C116" s="731"/>
      <c r="D116" s="731"/>
      <c r="E116" s="731"/>
      <c r="F116" s="731"/>
      <c r="G116" s="731"/>
      <c r="H116" s="731"/>
      <c r="I116" s="731"/>
      <c r="J116" s="731"/>
      <c r="K116" s="731"/>
      <c r="L116" s="731"/>
      <c r="M116" s="732"/>
    </row>
    <row r="117" spans="1:14">
      <c r="C117"/>
      <c r="D117"/>
      <c r="E117"/>
      <c r="F117"/>
      <c r="G117"/>
      <c r="H117"/>
      <c r="I117"/>
      <c r="K117"/>
    </row>
    <row r="118" spans="1:14" ht="15">
      <c r="B118" s="188"/>
      <c r="C118" s="1062" t="s">
        <v>390</v>
      </c>
      <c r="D118" s="1062"/>
      <c r="E118" s="1062"/>
      <c r="F118" s="1062"/>
      <c r="G118" s="1063"/>
      <c r="H118" s="1064" t="s">
        <v>391</v>
      </c>
      <c r="I118" s="1064"/>
      <c r="J118" s="1064"/>
      <c r="K118" s="1064"/>
      <c r="L118" s="188"/>
    </row>
    <row r="119" spans="1:14">
      <c r="B119" s="135" t="s">
        <v>329</v>
      </c>
      <c r="C119" s="157">
        <f ca="1">IF(ISNUMBER(C4),C4,"")</f>
        <v>38717</v>
      </c>
      <c r="D119" s="186">
        <f t="shared" ref="D119:K121" ca="1" si="2">D4</f>
        <v>39082</v>
      </c>
      <c r="E119" s="186">
        <f t="shared" ca="1" si="2"/>
        <v>39447</v>
      </c>
      <c r="F119" s="186">
        <f t="shared" ca="1" si="2"/>
        <v>39813</v>
      </c>
      <c r="G119" s="223">
        <f t="shared" ca="1" si="2"/>
        <v>40178</v>
      </c>
      <c r="H119" s="186">
        <f t="shared" ca="1" si="2"/>
        <v>39997</v>
      </c>
      <c r="I119" s="186">
        <f t="shared" ca="1" si="2"/>
        <v>40088</v>
      </c>
      <c r="J119" s="186">
        <f t="shared" ca="1" si="2"/>
        <v>40178</v>
      </c>
      <c r="K119" s="186">
        <f t="shared" ca="1" si="2"/>
        <v>40270</v>
      </c>
    </row>
    <row r="120" spans="1:14">
      <c r="B120" s="135" t="s">
        <v>330</v>
      </c>
      <c r="C120" s="148" t="str">
        <f ca="1">C5</f>
        <v>12 Months</v>
      </c>
      <c r="D120" s="140" t="str">
        <f t="shared" ca="1" si="2"/>
        <v>12 Months</v>
      </c>
      <c r="E120" s="140" t="str">
        <f t="shared" ca="1" si="2"/>
        <v>12 Months</v>
      </c>
      <c r="F120" s="140" t="str">
        <f t="shared" ca="1" si="2"/>
        <v>12 Months</v>
      </c>
      <c r="G120" s="224" t="str">
        <f t="shared" ca="1" si="2"/>
        <v>12 Months</v>
      </c>
      <c r="H120" s="140" t="str">
        <f t="shared" ca="1" si="2"/>
        <v>3 Months</v>
      </c>
      <c r="I120" s="140" t="str">
        <f t="shared" ca="1" si="2"/>
        <v>3 Months</v>
      </c>
      <c r="J120" s="140" t="str">
        <f t="shared" ca="1" si="2"/>
        <v>3 Months</v>
      </c>
      <c r="K120" s="140" t="str">
        <f t="shared" ca="1" si="2"/>
        <v>3 Months</v>
      </c>
    </row>
    <row r="121" spans="1:14">
      <c r="B121" s="135" t="s">
        <v>366</v>
      </c>
      <c r="C121" s="148" t="str">
        <f ca="1">C6</f>
        <v>10-K</v>
      </c>
      <c r="D121" s="148" t="str">
        <f t="shared" ca="1" si="2"/>
        <v>10-K</v>
      </c>
      <c r="E121" s="148" t="str">
        <f t="shared" ca="1" si="2"/>
        <v>10-K</v>
      </c>
      <c r="F121" s="148" t="str">
        <f t="shared" ca="1" si="2"/>
        <v>10-K</v>
      </c>
      <c r="G121" s="166" t="str">
        <f t="shared" ca="1" si="2"/>
        <v>10-K</v>
      </c>
      <c r="H121" s="148" t="str">
        <f t="shared" ca="1" si="2"/>
        <v>10-Q</v>
      </c>
      <c r="I121" s="148" t="str">
        <f t="shared" ca="1" si="2"/>
        <v>10-Q</v>
      </c>
      <c r="J121" s="148" t="str">
        <f t="shared" ca="1" si="2"/>
        <v>10-K</v>
      </c>
      <c r="K121" s="148" t="str">
        <f t="shared" ca="1" si="2"/>
        <v>10-Q</v>
      </c>
    </row>
    <row r="122" spans="1:14">
      <c r="B122" s="151"/>
      <c r="C122"/>
      <c r="D122" s="148"/>
      <c r="E122" s="148"/>
      <c r="F122" s="148"/>
      <c r="G122" s="148"/>
      <c r="H122" s="148"/>
      <c r="I122" s="148"/>
      <c r="J122" s="148"/>
      <c r="K122" s="148"/>
    </row>
    <row r="123" spans="1:14">
      <c r="B123" s="187" t="s">
        <v>72</v>
      </c>
      <c r="C123" s="144">
        <f ca="1">E56</f>
        <v>2005</v>
      </c>
      <c r="D123" s="144">
        <f ca="1">F56</f>
        <v>2006</v>
      </c>
      <c r="E123" s="144">
        <f ca="1">G56</f>
        <v>2007</v>
      </c>
      <c r="F123" s="144">
        <f ca="1">H56</f>
        <v>2008</v>
      </c>
      <c r="G123" s="189">
        <f ca="1">I56</f>
        <v>2009</v>
      </c>
      <c r="H123" s="145" t="str">
        <f ca="1">H3</f>
        <v>2009 Q2</v>
      </c>
      <c r="I123" s="145" t="str">
        <f ca="1">I3</f>
        <v>2009 Q3</v>
      </c>
      <c r="J123" s="145" t="str">
        <f ca="1">J3</f>
        <v>2009 Q4</v>
      </c>
      <c r="K123" s="145" t="str">
        <f ca="1">K3</f>
        <v>2010 Q1</v>
      </c>
      <c r="L123" s="190" t="s">
        <v>98</v>
      </c>
      <c r="M123" s="145" t="s">
        <v>392</v>
      </c>
    </row>
    <row r="124" spans="1:14">
      <c r="B124" s="198" t="s">
        <v>299</v>
      </c>
      <c r="C124" s="205">
        <f ca="1">E58</f>
        <v>23104</v>
      </c>
      <c r="D124" s="205">
        <f ca="1">F58</f>
        <v>24088</v>
      </c>
      <c r="E124" s="205">
        <f ca="1">G58</f>
        <v>28857</v>
      </c>
      <c r="F124" s="205">
        <f ca="1">H58</f>
        <v>31944</v>
      </c>
      <c r="G124" s="206">
        <f ca="1">I58</f>
        <v>30990</v>
      </c>
      <c r="H124" s="195">
        <f ca="1">H10</f>
        <v>8267</v>
      </c>
      <c r="I124" s="172">
        <f ca="1">I10</f>
        <v>8044</v>
      </c>
      <c r="J124" s="172">
        <f ca="1">J10</f>
        <v>7510</v>
      </c>
      <c r="K124" s="172">
        <f ca="1">K10</f>
        <v>7525</v>
      </c>
      <c r="L124" s="171">
        <f ca="1">SUM(H124:K124)</f>
        <v>31346</v>
      </c>
    </row>
    <row r="125" spans="1:14">
      <c r="B125" s="198" t="s">
        <v>359</v>
      </c>
      <c r="C125" s="203">
        <f ca="1">IF(ISNUMBER(C126),C126,Statements!J21)</f>
        <v>6085</v>
      </c>
      <c r="D125" s="203">
        <f ca="1">IF(ISNUMBER(D126),D126,Statements!K21)</f>
        <v>6308</v>
      </c>
      <c r="E125" s="203">
        <f ca="1">IF(ISNUMBER(E126),E126,Statements!L21)</f>
        <v>7252</v>
      </c>
      <c r="F125" s="203">
        <f ca="1">IF(ISNUMBER(F126),F126,Statements!M21)</f>
        <v>8446</v>
      </c>
      <c r="G125" s="204">
        <f ca="1">IF(ISNUMBER(G126),G126,Statements!N21)</f>
        <v>8231</v>
      </c>
      <c r="H125" s="202">
        <f ca="1">IF(ISNUMBER(H126),H126,H19)</f>
        <v>2438</v>
      </c>
      <c r="I125" s="202">
        <f ca="1">IF(ISNUMBER(I126),I126,I19)</f>
        <v>2150</v>
      </c>
      <c r="J125" s="202">
        <f ca="1">IF(ISNUMBER(J126),J126,J19)</f>
        <v>1780</v>
      </c>
      <c r="K125" s="202">
        <f ca="1">IF(ISNUMBER(K126),K126,K19)</f>
        <v>2183</v>
      </c>
      <c r="L125" s="1061">
        <f ca="1">SUM(H125:K125)</f>
        <v>8551</v>
      </c>
      <c r="M125" s="33"/>
    </row>
    <row r="126" spans="1:14">
      <c r="B126" s="198"/>
      <c r="C126" s="203"/>
      <c r="D126" s="203"/>
      <c r="E126" s="203"/>
      <c r="F126" s="203"/>
      <c r="G126" s="204"/>
      <c r="H126" s="202"/>
      <c r="I126" s="203"/>
      <c r="J126" s="203"/>
      <c r="K126" s="203"/>
      <c r="L126" s="1061"/>
      <c r="M126" s="228"/>
    </row>
    <row r="127" spans="1:14">
      <c r="B127" s="201" t="s">
        <v>393</v>
      </c>
      <c r="C127" s="193">
        <f t="shared" ref="C127:L127" ca="1" si="3">IF(C124=0,"",C125/C124)</f>
        <v>0.26337430747922436</v>
      </c>
      <c r="D127" s="193">
        <f t="shared" ca="1" si="3"/>
        <v>0.26187313184988376</v>
      </c>
      <c r="E127" s="193">
        <f t="shared" ca="1" si="3"/>
        <v>0.25130817479294454</v>
      </c>
      <c r="F127" s="193">
        <f t="shared" ca="1" si="3"/>
        <v>0.26440020035061357</v>
      </c>
      <c r="G127" s="194">
        <f t="shared" ca="1" si="3"/>
        <v>0.26560180703452729</v>
      </c>
      <c r="H127" s="193">
        <f t="shared" ca="1" si="3"/>
        <v>0.29490746340873353</v>
      </c>
      <c r="I127" s="193">
        <f t="shared" ca="1" si="3"/>
        <v>0.26727996021879663</v>
      </c>
      <c r="J127" s="193">
        <f t="shared" ca="1" si="3"/>
        <v>0.23701731025299599</v>
      </c>
      <c r="K127" s="193">
        <f t="shared" ca="1" si="3"/>
        <v>0.29009966777408636</v>
      </c>
      <c r="L127" s="194">
        <f t="shared" ca="1" si="3"/>
        <v>0.27279397690295415</v>
      </c>
      <c r="M127" s="161"/>
    </row>
    <row r="128" spans="1:14">
      <c r="B128" s="198" t="s">
        <v>361</v>
      </c>
      <c r="C128" s="153" t="str">
        <f t="shared" ref="C128:K128" ca="1" si="4">IF(ISNUMBER($M$128),C124*$M$128,"")</f>
        <v/>
      </c>
      <c r="D128" s="153" t="str">
        <f t="shared" ca="1" si="4"/>
        <v/>
      </c>
      <c r="E128" s="153" t="str">
        <f t="shared" ca="1" si="4"/>
        <v/>
      </c>
      <c r="F128" s="153" t="str">
        <f t="shared" ca="1" si="4"/>
        <v/>
      </c>
      <c r="G128" s="167" t="str">
        <f t="shared" ca="1" si="4"/>
        <v/>
      </c>
      <c r="H128" s="153" t="str">
        <f t="shared" ca="1" si="4"/>
        <v/>
      </c>
      <c r="I128" s="153" t="str">
        <f t="shared" ca="1" si="4"/>
        <v/>
      </c>
      <c r="J128" s="153" t="str">
        <f t="shared" ca="1" si="4"/>
        <v/>
      </c>
      <c r="K128" s="153" t="str">
        <f t="shared" ca="1" si="4"/>
        <v/>
      </c>
      <c r="L128" s="167">
        <f ca="1">SUM(H128:K128)</f>
        <v>0</v>
      </c>
      <c r="M128" s="755"/>
      <c r="N128" s="1059" t="s">
        <v>753</v>
      </c>
    </row>
    <row r="129" spans="2:14">
      <c r="B129" s="201" t="s">
        <v>404</v>
      </c>
      <c r="C129" s="193">
        <f ca="1">IF(C124=0,"",IF(ISNUMBER(C128),C128/C124,C125/C124))</f>
        <v>0.26337430747922436</v>
      </c>
      <c r="D129" s="193">
        <f ca="1">IF(D124=0,"",IF(ISNUMBER(D128),D128/D124,D125/D124))</f>
        <v>0.26187313184988376</v>
      </c>
      <c r="E129" s="193">
        <f ca="1">IF(E124=0,"",IF(ISNUMBER(E128),E128/E124,E125/E124))</f>
        <v>0.25130817479294454</v>
      </c>
      <c r="F129" s="193">
        <f ca="1">IF(F124=0,"",IF(ISNUMBER(F128),F128/F124,F125/F124))</f>
        <v>0.26440020035061357</v>
      </c>
      <c r="G129" s="194">
        <f ca="1">IF(G124=0,"",IF(ISNUMBER(G128),G128/G124,G125/G124))</f>
        <v>0.26560180703452729</v>
      </c>
      <c r="H129" s="193">
        <f ca="1">IF(H124=0,"",H125/H124)</f>
        <v>0.29490746340873353</v>
      </c>
      <c r="I129" s="193">
        <f ca="1">IF(I124=0,"",I125/I124)</f>
        <v>0.26727996021879663</v>
      </c>
      <c r="J129" s="193">
        <f ca="1">IF(J124=0,"",J125/J124)</f>
        <v>0.23701731025299599</v>
      </c>
      <c r="K129" s="193">
        <f ca="1">IF(K124=0,"",K125/K124)</f>
        <v>0.29009966777408636</v>
      </c>
      <c r="L129" s="193">
        <f ca="1">IF(L124=0,"",L125/L124)</f>
        <v>0.27279397690295415</v>
      </c>
      <c r="M129" s="161"/>
      <c r="N129" s="1059"/>
    </row>
    <row r="130" spans="2:14">
      <c r="B130" s="198" t="s">
        <v>394</v>
      </c>
      <c r="C130" s="153">
        <f t="shared" ref="C130:L130" ca="1" si="5">C47</f>
        <v>7102</v>
      </c>
      <c r="D130" s="153">
        <f t="shared" ca="1" si="5"/>
        <v>7431</v>
      </c>
      <c r="E130" s="153">
        <f t="shared" ca="1" si="5"/>
        <v>8511</v>
      </c>
      <c r="F130" s="153">
        <f t="shared" ca="1" si="5"/>
        <v>9843</v>
      </c>
      <c r="G130" s="167">
        <f t="shared" ca="1" si="5"/>
        <v>9612</v>
      </c>
      <c r="H130" s="160">
        <f t="shared" ca="1" si="5"/>
        <v>2812</v>
      </c>
      <c r="I130" s="160">
        <f t="shared" ca="1" si="5"/>
        <v>2518</v>
      </c>
      <c r="J130" s="160">
        <f t="shared" ca="1" si="5"/>
        <v>2212</v>
      </c>
      <c r="K130" s="160">
        <f t="shared" ca="1" si="5"/>
        <v>2524</v>
      </c>
      <c r="L130" s="160">
        <f t="shared" ca="1" si="5"/>
        <v>10066</v>
      </c>
      <c r="M130" s="161"/>
      <c r="N130" s="1059"/>
    </row>
    <row r="131" spans="2:14">
      <c r="B131" s="198" t="s">
        <v>395</v>
      </c>
      <c r="C131" s="172">
        <f t="shared" ref="C131:L131" ca="1" si="6">C48</f>
        <v>6170</v>
      </c>
      <c r="D131" s="172">
        <f t="shared" ca="1" si="6"/>
        <v>6493</v>
      </c>
      <c r="E131" s="172">
        <f t="shared" ca="1" si="6"/>
        <v>7520</v>
      </c>
      <c r="F131" s="172">
        <f t="shared" ca="1" si="6"/>
        <v>8796</v>
      </c>
      <c r="G131" s="171">
        <f t="shared" ca="1" si="6"/>
        <v>8544</v>
      </c>
      <c r="H131" s="195">
        <f t="shared" ca="1" si="6"/>
        <v>2510</v>
      </c>
      <c r="I131" s="195">
        <f t="shared" ca="1" si="6"/>
        <v>2198</v>
      </c>
      <c r="J131" s="195">
        <f t="shared" ca="1" si="6"/>
        <v>1881</v>
      </c>
      <c r="K131" s="195">
        <f t="shared" ca="1" si="6"/>
        <v>2229</v>
      </c>
      <c r="L131" s="195">
        <f t="shared" ca="1" si="6"/>
        <v>8818</v>
      </c>
      <c r="M131" s="161"/>
      <c r="N131" s="1059"/>
    </row>
    <row r="132" spans="2:14">
      <c r="B132" s="198" t="s">
        <v>17</v>
      </c>
      <c r="C132" s="153">
        <f ca="1">IF(C13="",0,IF(ISNUMBER(EPV!$J$3),C13*EPV!$J$3,C13*25%))</f>
        <v>873.90000000000009</v>
      </c>
      <c r="D132" s="153">
        <f ca="1">IF(D13="",0,IF(ISNUMBER(EPV!$J$3),D13*EPV!$J$3,D13*25%))</f>
        <v>943.1</v>
      </c>
      <c r="E132" s="153">
        <f ca="1">IF(E13="",0,IF(ISNUMBER(EPV!$J$3),E13*EPV!$J$3,E13*25%))</f>
        <v>1094.5</v>
      </c>
      <c r="F132" s="153">
        <f ca="1">IF(F13="",0,IF(ISNUMBER(EPV!$J$3),F13*EPV!$J$3,F13*25%))</f>
        <v>1177.4000000000001</v>
      </c>
      <c r="G132" s="167">
        <f ca="1">IF(G13="",0,IF(ISNUMBER(EPV!$J$3),G13*EPV!$J$3,G13*25%))</f>
        <v>1135.8</v>
      </c>
      <c r="H132" s="160">
        <f ca="1">IF(ISNUMBER(EPV!$J$3),H13*EPV!$J$3,H13*25%)</f>
        <v>284.40000000000003</v>
      </c>
      <c r="I132" s="153">
        <f ca="1">IF(ISNUMBER(EPV!$J$3),H13*EPV!$J$3,H13*25%)</f>
        <v>284.40000000000003</v>
      </c>
      <c r="J132" s="153">
        <f ca="1">IF(ISNUMBER(EPV!$J$3),I13*EPV!$J$3,I13*25%)</f>
        <v>291.2</v>
      </c>
      <c r="K132" s="153">
        <f ca="1">IF(ISNUMBER(EPV!$J$3),J13*EPV!$J$3,J13*25%)</f>
        <v>297.8</v>
      </c>
      <c r="L132" s="167">
        <f ca="1">SUM(H132:K132)</f>
        <v>1157.8</v>
      </c>
      <c r="M132" s="755"/>
      <c r="N132" s="1059"/>
    </row>
    <row r="133" spans="2:14">
      <c r="B133" s="198" t="s">
        <v>18</v>
      </c>
      <c r="C133" s="172">
        <f ca="1">IF(C14="",0,IF(ISNUMBER($M$133),C14*$M$133,C14*25%))</f>
        <v>0</v>
      </c>
      <c r="D133" s="172">
        <f ca="1">IF(D14="","",IF(ISNUMBER($M$133),D14*$M$133,D14*25%))</f>
        <v>0</v>
      </c>
      <c r="E133" s="172">
        <f ca="1">IF(E14="","",IF(ISNUMBER($M$133),E14*$M$133,E14*25%))</f>
        <v>0</v>
      </c>
      <c r="F133" s="172">
        <f ca="1">IF(F14="","",IF(ISNUMBER($M$133),F14*$M$133,F14*25%))</f>
        <v>0</v>
      </c>
      <c r="G133" s="171">
        <f ca="1">IF(G14="","",IF(ISNUMBER($M$133),G14*$M$133,G14*25%))</f>
        <v>0</v>
      </c>
      <c r="H133" s="195">
        <f ca="1">IF(ISNUMBER($M$133),H14*$M$133,H14*25%)</f>
        <v>0</v>
      </c>
      <c r="I133" s="172">
        <f ca="1">IF(ISNUMBER($M$133),H14*$M$133,H14*25%)</f>
        <v>0</v>
      </c>
      <c r="J133" s="172">
        <f ca="1">IF(ISNUMBER($M$133),I14*$M$133,I14*25%)</f>
        <v>0</v>
      </c>
      <c r="K133" s="172">
        <f ca="1">IF(ISNUMBER($M$133),J14*$M$133,J14*25%)</f>
        <v>0</v>
      </c>
      <c r="L133" s="171">
        <f ca="1">SUM(H133:K133)</f>
        <v>0</v>
      </c>
      <c r="M133" s="755"/>
      <c r="N133" s="1059"/>
    </row>
    <row r="134" spans="2:14">
      <c r="B134" s="173"/>
      <c r="C134"/>
      <c r="D134"/>
      <c r="E134"/>
      <c r="F134"/>
      <c r="G134" s="113"/>
      <c r="H134" s="113"/>
      <c r="I134"/>
      <c r="J134"/>
      <c r="L134" s="153"/>
      <c r="M134" s="192"/>
      <c r="N134" s="1059"/>
    </row>
    <row r="135" spans="2:14">
      <c r="B135" s="198" t="s">
        <v>362</v>
      </c>
      <c r="C135" s="153">
        <f t="shared" ref="C135:K135" ca="1" si="7">IF(ISNUMBER(C128),C128+C132+C133,C125+C132+C133)</f>
        <v>6958.9</v>
      </c>
      <c r="D135" s="153">
        <f t="shared" ca="1" si="7"/>
        <v>7251.1</v>
      </c>
      <c r="E135" s="153">
        <f t="shared" ca="1" si="7"/>
        <v>8346.5</v>
      </c>
      <c r="F135" s="153">
        <f t="shared" ca="1" si="7"/>
        <v>9623.4</v>
      </c>
      <c r="G135" s="167">
        <f t="shared" ca="1" si="7"/>
        <v>9366.7999999999993</v>
      </c>
      <c r="H135" s="160">
        <f t="shared" ca="1" si="7"/>
        <v>2722.4</v>
      </c>
      <c r="I135" s="153">
        <f t="shared" ca="1" si="7"/>
        <v>2434.4</v>
      </c>
      <c r="J135" s="153">
        <f t="shared" ca="1" si="7"/>
        <v>2071.1999999999998</v>
      </c>
      <c r="K135" s="153">
        <f t="shared" ca="1" si="7"/>
        <v>2480.8000000000002</v>
      </c>
      <c r="L135" s="167">
        <f ca="1">SUM(H135:K135)</f>
        <v>9708.7999999999993</v>
      </c>
      <c r="M135" s="161"/>
      <c r="N135" s="1059"/>
    </row>
    <row r="136" spans="2:14">
      <c r="B136" s="198" t="s">
        <v>396</v>
      </c>
      <c r="C136" s="193">
        <f t="shared" ref="C136:L136" ca="1" si="8">IF(C124=0,"",C135/C124)</f>
        <v>0.30119892659279779</v>
      </c>
      <c r="D136" s="193">
        <f t="shared" ca="1" si="8"/>
        <v>0.30102540684158091</v>
      </c>
      <c r="E136" s="193">
        <f t="shared" ca="1" si="8"/>
        <v>0.28923658037911076</v>
      </c>
      <c r="F136" s="193">
        <f t="shared" ca="1" si="8"/>
        <v>0.3012584522915101</v>
      </c>
      <c r="G136" s="194">
        <f t="shared" ca="1" si="8"/>
        <v>0.30225233946434332</v>
      </c>
      <c r="H136" s="193">
        <f t="shared" ca="1" si="8"/>
        <v>0.32930930204427245</v>
      </c>
      <c r="I136" s="193">
        <f t="shared" ca="1" si="8"/>
        <v>0.3026355047240179</v>
      </c>
      <c r="J136" s="193">
        <f t="shared" ca="1" si="8"/>
        <v>0.2757922769640479</v>
      </c>
      <c r="K136" s="193">
        <f t="shared" ca="1" si="8"/>
        <v>0.32967441860465119</v>
      </c>
      <c r="L136" s="194">
        <f t="shared" ca="1" si="8"/>
        <v>0.30973010910482995</v>
      </c>
      <c r="M136" s="161"/>
      <c r="N136" s="1059"/>
    </row>
    <row r="137" spans="2:14">
      <c r="B137" s="173"/>
      <c r="C137" s="154"/>
      <c r="D137" s="154"/>
      <c r="E137" s="154"/>
      <c r="F137" s="154"/>
      <c r="G137" s="154"/>
      <c r="H137" s="154"/>
      <c r="I137" s="154"/>
      <c r="J137" s="154"/>
      <c r="K137" s="154"/>
      <c r="L137" s="153"/>
      <c r="M137" s="733"/>
      <c r="N137" s="1059"/>
    </row>
    <row r="138" spans="2:14">
      <c r="B138" s="198" t="s">
        <v>322</v>
      </c>
      <c r="C138" s="153">
        <f t="shared" ref="C138:L138" ca="1" si="9">C23</f>
        <v>6690</v>
      </c>
      <c r="D138" s="153">
        <f t="shared" ca="1" si="9"/>
        <v>6578</v>
      </c>
      <c r="E138" s="153">
        <f t="shared" ca="1" si="9"/>
        <v>7919</v>
      </c>
      <c r="F138" s="153">
        <f t="shared" ca="1" si="9"/>
        <v>7506</v>
      </c>
      <c r="G138" s="167">
        <f t="shared" ca="1" si="9"/>
        <v>8946</v>
      </c>
      <c r="H138" s="158">
        <f t="shared" ca="1" si="9"/>
        <v>2728</v>
      </c>
      <c r="I138" s="158">
        <f t="shared" ca="1" si="9"/>
        <v>2443</v>
      </c>
      <c r="J138" s="158">
        <f t="shared" ca="1" si="9"/>
        <v>1960</v>
      </c>
      <c r="K138" s="158">
        <f t="shared" ca="1" si="9"/>
        <v>2179</v>
      </c>
      <c r="L138" s="158">
        <f t="shared" ca="1" si="9"/>
        <v>9310</v>
      </c>
      <c r="M138" s="161"/>
      <c r="N138" s="1059"/>
    </row>
    <row r="139" spans="2:14">
      <c r="B139" s="198" t="s">
        <v>397</v>
      </c>
      <c r="C139" s="172">
        <f t="shared" ref="C139:L139" ca="1" si="10">C24</f>
        <v>1818</v>
      </c>
      <c r="D139" s="172">
        <f t="shared" ca="1" si="10"/>
        <v>1498</v>
      </c>
      <c r="E139" s="172">
        <f t="shared" ca="1" si="10"/>
        <v>1892</v>
      </c>
      <c r="F139" s="172">
        <f t="shared" ca="1" si="10"/>
        <v>1632</v>
      </c>
      <c r="G139" s="171">
        <f t="shared" ca="1" si="10"/>
        <v>2040</v>
      </c>
      <c r="H139" s="195">
        <f t="shared" ca="1" si="10"/>
        <v>679</v>
      </c>
      <c r="I139" s="195">
        <f t="shared" ca="1" si="10"/>
        <v>523</v>
      </c>
      <c r="J139" s="195">
        <f t="shared" ca="1" si="10"/>
        <v>382</v>
      </c>
      <c r="K139" s="195">
        <f t="shared" ca="1" si="10"/>
        <v>553</v>
      </c>
      <c r="L139" s="195">
        <f t="shared" ca="1" si="10"/>
        <v>2137</v>
      </c>
      <c r="M139" s="161"/>
      <c r="N139" s="1059"/>
    </row>
    <row r="140" spans="2:14">
      <c r="B140" s="198" t="s">
        <v>321</v>
      </c>
      <c r="C140" s="154">
        <f t="shared" ref="C140:L140" ca="1" si="11">IF(C138="","",IF(ISNUMBER($M$140),$M$140,C139/C138))</f>
        <v>0.27174887892376681</v>
      </c>
      <c r="D140" s="154">
        <f t="shared" ca="1" si="11"/>
        <v>0.22772879294618426</v>
      </c>
      <c r="E140" s="154">
        <f t="shared" ca="1" si="11"/>
        <v>0.23891905543629247</v>
      </c>
      <c r="F140" s="154">
        <f t="shared" ca="1" si="11"/>
        <v>0.21742605915267785</v>
      </c>
      <c r="G140" s="191">
        <f t="shared" ca="1" si="11"/>
        <v>0.22803487592219987</v>
      </c>
      <c r="H140" s="154">
        <f t="shared" ca="1" si="11"/>
        <v>0.24890029325513197</v>
      </c>
      <c r="I140" s="154">
        <f t="shared" ca="1" si="11"/>
        <v>0.21408104789193613</v>
      </c>
      <c r="J140" s="154">
        <f t="shared" ca="1" si="11"/>
        <v>0.19489795918367347</v>
      </c>
      <c r="K140" s="154">
        <f t="shared" ca="1" si="11"/>
        <v>0.25378614043139053</v>
      </c>
      <c r="L140" s="191">
        <f t="shared" ca="1" si="11"/>
        <v>0.22953813104189044</v>
      </c>
      <c r="M140" s="755"/>
      <c r="N140" s="1059"/>
    </row>
    <row r="141" spans="2:14">
      <c r="B141" s="173"/>
      <c r="C141" s="113"/>
      <c r="D141" s="113"/>
      <c r="E141" s="113"/>
      <c r="F141" s="113"/>
      <c r="G141" s="113"/>
      <c r="H141" s="160"/>
      <c r="I141" s="155"/>
      <c r="J141" s="155"/>
      <c r="K141" s="155"/>
      <c r="L141" s="153"/>
      <c r="M141" s="733"/>
      <c r="N141" s="1059"/>
    </row>
    <row r="142" spans="2:14">
      <c r="B142" s="136" t="s">
        <v>363</v>
      </c>
      <c r="C142" s="172">
        <f ca="1">IF(ISERROR(C135-(C135*C140)),0,C135-(C135*C140))</f>
        <v>5067.8267264573988</v>
      </c>
      <c r="D142" s="172">
        <f ca="1">IF(ISERROR(D135-(D135*D140)),0,D135-(D135*D140))</f>
        <v>5599.8157494679235</v>
      </c>
      <c r="E142" s="172">
        <f ca="1">IF(ISERROR(E135-(E135*E140)),0,E135-(E135*E140))</f>
        <v>6352.3621038009851</v>
      </c>
      <c r="F142" s="172">
        <f ca="1">IF(ISERROR(F135-(F135*F140)),0,F135-(F135*F140))</f>
        <v>7531.0220623501191</v>
      </c>
      <c r="G142" s="171">
        <f ca="1">IF(ISERROR(G135-(G135*G140)),0,G135-(G135*G140))</f>
        <v>7230.8429242119382</v>
      </c>
      <c r="H142" s="195">
        <f ca="1">H135-(H135*H140)</f>
        <v>2044.7938416422289</v>
      </c>
      <c r="I142" s="196">
        <f ca="1">I135-(I135*I140)</f>
        <v>1913.2410970118708</v>
      </c>
      <c r="J142" s="196">
        <f ca="1">J135-(J135*J140)</f>
        <v>1667.5273469387753</v>
      </c>
      <c r="K142" s="196">
        <f ca="1">K135-(K135*K140)</f>
        <v>1851.2073428178064</v>
      </c>
      <c r="L142" s="171">
        <f ca="1">SUM(H142:K142)</f>
        <v>7476.7696284106814</v>
      </c>
      <c r="M142" s="161"/>
      <c r="N142" s="1059"/>
    </row>
    <row r="143" spans="2:14">
      <c r="B143" s="198" t="s">
        <v>360</v>
      </c>
      <c r="C143" s="153">
        <f ca="1">IF(ISERROR(C130-C131),0,C130-C131)</f>
        <v>932</v>
      </c>
      <c r="D143" s="153">
        <f ca="1">IF(ISERROR(D130-D131),0,D130-D131)</f>
        <v>938</v>
      </c>
      <c r="E143" s="153">
        <f ca="1">IF(ISERROR(E130-E131),0,E130-E131)</f>
        <v>991</v>
      </c>
      <c r="F143" s="153">
        <f ca="1">IF(ISERROR(F130-F131),0,F130-F131)</f>
        <v>1047</v>
      </c>
      <c r="G143" s="167">
        <f ca="1">IF(ISERROR(G130-G131),0,G130-G131)</f>
        <v>1068</v>
      </c>
      <c r="H143" s="160">
        <f ca="1">H130-H131</f>
        <v>302</v>
      </c>
      <c r="I143" s="153">
        <f ca="1">I130-I131</f>
        <v>320</v>
      </c>
      <c r="J143" s="153">
        <f ca="1">J130-J131</f>
        <v>331</v>
      </c>
      <c r="K143" s="153">
        <f ca="1">K130-K131</f>
        <v>295</v>
      </c>
      <c r="L143" s="167">
        <f ca="1">SUM(H143:K143)</f>
        <v>1248</v>
      </c>
      <c r="M143" s="161"/>
      <c r="N143" s="1059"/>
    </row>
    <row r="144" spans="2:14">
      <c r="B144" s="198" t="s">
        <v>398</v>
      </c>
      <c r="C144" s="172">
        <f t="shared" ref="C144:K144" ca="1" si="12">IF(ISNUMBER($M$144),C143*$M$144,C143*20%)</f>
        <v>186.4</v>
      </c>
      <c r="D144" s="172">
        <f t="shared" ca="1" si="12"/>
        <v>187.60000000000002</v>
      </c>
      <c r="E144" s="172">
        <f t="shared" ca="1" si="12"/>
        <v>198.20000000000002</v>
      </c>
      <c r="F144" s="172">
        <f t="shared" ca="1" si="12"/>
        <v>209.4</v>
      </c>
      <c r="G144" s="171">
        <f t="shared" ca="1" si="12"/>
        <v>213.60000000000002</v>
      </c>
      <c r="H144" s="195">
        <f t="shared" ca="1" si="12"/>
        <v>60.400000000000006</v>
      </c>
      <c r="I144" s="172">
        <f t="shared" ca="1" si="12"/>
        <v>64</v>
      </c>
      <c r="J144" s="172">
        <f t="shared" ca="1" si="12"/>
        <v>66.2</v>
      </c>
      <c r="K144" s="172">
        <f t="shared" ca="1" si="12"/>
        <v>59</v>
      </c>
      <c r="L144" s="171">
        <f ca="1">SUM(H144:K144)</f>
        <v>249.60000000000002</v>
      </c>
      <c r="M144" s="755"/>
      <c r="N144" s="1059"/>
    </row>
    <row r="145" spans="2:13">
      <c r="B145" s="173"/>
      <c r="C145" s="113"/>
      <c r="D145" s="113"/>
      <c r="E145" s="113"/>
      <c r="F145" s="113"/>
      <c r="G145" s="113"/>
      <c r="H145" s="113"/>
      <c r="I145" s="113"/>
      <c r="J145" s="113"/>
      <c r="K145" s="132"/>
      <c r="L145" s="153"/>
      <c r="M145" s="733"/>
    </row>
    <row r="146" spans="2:13">
      <c r="B146" s="136" t="s">
        <v>364</v>
      </c>
      <c r="C146" s="151">
        <f t="shared" ref="C146:K146" ca="1" si="13">C142+C144</f>
        <v>5254.2267264573984</v>
      </c>
      <c r="D146" s="151">
        <f t="shared" ca="1" si="13"/>
        <v>5787.4157494679239</v>
      </c>
      <c r="E146" s="151">
        <f t="shared" ca="1" si="13"/>
        <v>6550.5621038009849</v>
      </c>
      <c r="F146" s="151">
        <f t="shared" ca="1" si="13"/>
        <v>7740.4220623501187</v>
      </c>
      <c r="G146" s="167">
        <f t="shared" ca="1" si="13"/>
        <v>7444.4429242119386</v>
      </c>
      <c r="H146" s="159">
        <f t="shared" ca="1" si="13"/>
        <v>2105.193841642229</v>
      </c>
      <c r="I146" s="151">
        <f t="shared" ca="1" si="13"/>
        <v>1977.2410970118708</v>
      </c>
      <c r="J146" s="151">
        <f t="shared" ca="1" si="13"/>
        <v>1733.7273469387753</v>
      </c>
      <c r="K146" s="151">
        <f t="shared" ca="1" si="13"/>
        <v>1910.2073428178064</v>
      </c>
      <c r="L146" s="167">
        <f ca="1">SUM(H146:K146)</f>
        <v>7726.3696284106818</v>
      </c>
      <c r="M146" s="161"/>
    </row>
    <row r="147" spans="2:13">
      <c r="B147" s="198" t="s">
        <v>399</v>
      </c>
      <c r="C147" s="134">
        <f t="shared" ref="C147:K147" ca="1" si="14">IF(C124=0,"",C146/C124)</f>
        <v>0.22741632299417411</v>
      </c>
      <c r="D147" s="134">
        <f t="shared" ca="1" si="14"/>
        <v>0.24026136455778496</v>
      </c>
      <c r="E147" s="134">
        <f t="shared" ca="1" si="14"/>
        <v>0.22700080063073033</v>
      </c>
      <c r="F147" s="134">
        <f t="shared" ca="1" si="14"/>
        <v>0.24231223586119829</v>
      </c>
      <c r="G147" s="194">
        <f t="shared" ca="1" si="14"/>
        <v>0.2402208107199722</v>
      </c>
      <c r="H147" s="197">
        <f t="shared" ca="1" si="14"/>
        <v>0.25465027720360822</v>
      </c>
      <c r="I147" s="197">
        <f t="shared" ca="1" si="14"/>
        <v>0.24580321941967564</v>
      </c>
      <c r="J147" s="197">
        <f t="shared" ca="1" si="14"/>
        <v>0.23085583847387156</v>
      </c>
      <c r="K147" s="197">
        <f t="shared" ca="1" si="14"/>
        <v>0.25384815186947596</v>
      </c>
      <c r="L147" s="194">
        <f ca="1">L146/L124</f>
        <v>0.24648662120878842</v>
      </c>
      <c r="M147" s="131"/>
    </row>
    <row r="148" spans="2:13">
      <c r="B148" s="198" t="s">
        <v>365</v>
      </c>
      <c r="C148" s="151">
        <f ca="1">Statements!J21</f>
        <v>6085</v>
      </c>
      <c r="D148" s="151">
        <f ca="1">Statements!K21</f>
        <v>6308</v>
      </c>
      <c r="E148" s="151">
        <f ca="1">Statements!L21</f>
        <v>7252</v>
      </c>
      <c r="F148" s="151">
        <f ca="1">Statements!M21</f>
        <v>8446</v>
      </c>
      <c r="G148" s="167">
        <f ca="1">Statements!N21</f>
        <v>8231</v>
      </c>
      <c r="H148" s="159">
        <f ca="1">H19</f>
        <v>2438</v>
      </c>
      <c r="I148" s="151">
        <f ca="1">I19</f>
        <v>2150</v>
      </c>
      <c r="J148" s="151">
        <f ca="1">J19</f>
        <v>1780</v>
      </c>
      <c r="K148" s="151">
        <f ca="1">K19</f>
        <v>2183</v>
      </c>
      <c r="L148" s="167">
        <f ca="1">SUM(H148:K148)</f>
        <v>8551</v>
      </c>
    </row>
    <row r="149" spans="2:13">
      <c r="D149"/>
      <c r="E149"/>
      <c r="F149"/>
      <c r="G149"/>
      <c r="H149"/>
    </row>
    <row r="150" spans="2:13">
      <c r="D150"/>
      <c r="E150"/>
      <c r="F150"/>
      <c r="G150"/>
      <c r="H150"/>
    </row>
    <row r="151" spans="2:13">
      <c r="B151" s="173"/>
      <c r="C151" s="144">
        <f ca="1">C123</f>
        <v>2005</v>
      </c>
      <c r="D151" s="144">
        <f ca="1">D123</f>
        <v>2006</v>
      </c>
      <c r="E151" s="144">
        <f ca="1">E123</f>
        <v>2007</v>
      </c>
      <c r="F151" s="144">
        <f ca="1">F123</f>
        <v>2008</v>
      </c>
      <c r="G151" s="207">
        <f ca="1">G123</f>
        <v>2009</v>
      </c>
      <c r="H151" s="208" t="s">
        <v>98</v>
      </c>
      <c r="I151" s="208" t="s">
        <v>384</v>
      </c>
    </row>
    <row r="152" spans="2:13">
      <c r="B152" s="227" t="s">
        <v>382</v>
      </c>
      <c r="C152" s="129">
        <f t="shared" ref="C152:H152" ca="1" si="15">IF(E58=0,0,E57/E58)</f>
        <v>0.25043282548476453</v>
      </c>
      <c r="D152" s="129">
        <f t="shared" ca="1" si="15"/>
        <v>0.28657422783128528</v>
      </c>
      <c r="E152" s="129">
        <f t="shared" ca="1" si="15"/>
        <v>0.29431333818484251</v>
      </c>
      <c r="F152" s="129">
        <f t="shared" ca="1" si="15"/>
        <v>0.26064362634610566</v>
      </c>
      <c r="G152" s="156">
        <f t="shared" ca="1" si="15"/>
        <v>0.30851887705711523</v>
      </c>
      <c r="H152" s="156">
        <f t="shared" ca="1" si="15"/>
        <v>0.28826644547948704</v>
      </c>
      <c r="I152"/>
    </row>
    <row r="153" spans="2:13">
      <c r="B153" s="199" t="s">
        <v>400</v>
      </c>
      <c r="C153" s="170">
        <f t="shared" ref="C153:H153" ca="1" si="16">E58-D58</f>
        <v>1142</v>
      </c>
      <c r="D153" s="170">
        <f t="shared" ca="1" si="16"/>
        <v>984</v>
      </c>
      <c r="E153" s="170">
        <f t="shared" ca="1" si="16"/>
        <v>4769</v>
      </c>
      <c r="F153" s="170">
        <f t="shared" ca="1" si="16"/>
        <v>3087</v>
      </c>
      <c r="G153" s="200">
        <f t="shared" ca="1" si="16"/>
        <v>-954</v>
      </c>
      <c r="H153" s="200">
        <f t="shared" ca="1" si="16"/>
        <v>356</v>
      </c>
      <c r="I153" s="150"/>
    </row>
    <row r="154" spans="2:13">
      <c r="B154" s="227" t="s">
        <v>298</v>
      </c>
      <c r="C154" s="151">
        <f ca="1">ABS(Statements!J88)</f>
        <v>899</v>
      </c>
      <c r="D154" s="151">
        <f ca="1">ABS(Statements!K88)</f>
        <v>1407</v>
      </c>
      <c r="E154" s="151">
        <f ca="1">ABS(Statements!L88)</f>
        <v>1648</v>
      </c>
      <c r="F154" s="151">
        <f ca="1">ABS(Statements!M88)</f>
        <v>1968</v>
      </c>
      <c r="G154" s="151">
        <f ca="1">ABS(Statements!N88)</f>
        <v>1993</v>
      </c>
      <c r="H154" s="151">
        <f ca="1">ABS(Statements!S88)</f>
        <v>1919</v>
      </c>
      <c r="I154" s="151">
        <f ca="1">AVERAGE(C154:G154)</f>
        <v>1583</v>
      </c>
    </row>
    <row r="155" spans="2:13">
      <c r="B155" s="136" t="s">
        <v>401</v>
      </c>
      <c r="C155" s="170">
        <f ca="1">IF(C153&lt;0,C154,IF((C154-(C153*C152))&lt;0,C154,(C154-(C153*C152))))</f>
        <v>613.00571329639888</v>
      </c>
      <c r="D155" s="170">
        <f ca="1">IF(D153&lt;0,D154,IF((D154-(D153*D152))&lt;0,D154,(D154-(D153*D152))))</f>
        <v>1125.0109598140152</v>
      </c>
      <c r="E155" s="170">
        <f ca="1">IF(E153&lt;0,E154,IF((E154-(E153*E152))&lt;0,E154,(E154-(E153*E152))))</f>
        <v>244.41969019648604</v>
      </c>
      <c r="F155" s="170">
        <f ca="1">IF(F153&lt;0,F154,IF((F154-(F153*F152))&lt;0,F154,(F154-(F153*F152))))</f>
        <v>1163.3931254695717</v>
      </c>
      <c r="G155" s="200">
        <f ca="1">IF(G153&lt;0,G154,IF((G154-(G153*G152))&lt;0,G154,(G154-(G153*G152))))</f>
        <v>1993</v>
      </c>
      <c r="H155" s="200">
        <f ca="1">IF(H153&lt;0,H154,H154-(H153*H152))</f>
        <v>1816.3771454093026</v>
      </c>
      <c r="I155" s="170">
        <f ca="1">AVERAGE(C155:H155)</f>
        <v>1159.2011056976289</v>
      </c>
    </row>
    <row r="156" spans="2:13">
      <c r="B156" s="149" t="str">
        <f ca="1">Statements!B69</f>
        <v>Depr &amp; Amort</v>
      </c>
      <c r="C156" s="151">
        <f ca="1">Statements!J69</f>
        <v>932</v>
      </c>
      <c r="D156" s="151">
        <f ca="1">Statements!K69</f>
        <v>938</v>
      </c>
      <c r="E156" s="151">
        <f ca="1">Statements!L69</f>
        <v>1163</v>
      </c>
      <c r="F156" s="151">
        <f ca="1">Statements!M69</f>
        <v>1228</v>
      </c>
      <c r="G156" s="152">
        <f ca="1">Statements!N69</f>
        <v>1236</v>
      </c>
      <c r="H156" s="182">
        <f ca="1">Statements!S69</f>
        <v>1248</v>
      </c>
      <c r="I156" s="163">
        <f ca="1">AVERAGE(C156:H156)</f>
        <v>1124.1666666666667</v>
      </c>
    </row>
    <row r="157" spans="2:13">
      <c r="D157"/>
      <c r="E157"/>
      <c r="F157"/>
      <c r="G157"/>
      <c r="H157"/>
    </row>
    <row r="158" spans="2:13" ht="12.75" customHeight="1">
      <c r="B158" s="1057" t="s">
        <v>369</v>
      </c>
      <c r="C158" s="162" t="str">
        <f ca="1">C123&amp;"-"&amp;D123</f>
        <v>2005-2006</v>
      </c>
      <c r="D158" s="162" t="str">
        <f ca="1">D123&amp;"-"&amp;E123</f>
        <v>2006-2007</v>
      </c>
      <c r="E158" s="162" t="str">
        <f ca="1">E123&amp;"-"&amp;F123</f>
        <v>2007-2008</v>
      </c>
      <c r="F158" s="162" t="str">
        <f ca="1">F123&amp;"-"&amp;G123</f>
        <v>2008-2009</v>
      </c>
      <c r="G158" s="162" t="str">
        <f ca="1">G123&amp;"-"&amp;L123</f>
        <v>2009-TTM</v>
      </c>
      <c r="H158" s="745" t="s">
        <v>403</v>
      </c>
      <c r="I158" s="746"/>
    </row>
    <row r="159" spans="2:13" ht="12.75" customHeight="1">
      <c r="B159" s="1057"/>
      <c r="C159" s="129">
        <f ca="1">IF(AND(C146&gt;0,D146&gt;0),(D146/C146)^(1/1)-1,"")</f>
        <v>0.10147811481481739</v>
      </c>
      <c r="D159" s="129">
        <f ca="1">IF(AND(D146&gt;0,E146&gt;0),(E146/D146)^(1/1)-1,"")</f>
        <v>0.13186306071120302</v>
      </c>
      <c r="E159" s="129">
        <f ca="1">IF(AND(E146&gt;0,F146&gt;0),(F146/E146)^(1/1)-1,"")</f>
        <v>0.18164242086319793</v>
      </c>
      <c r="F159" s="129">
        <f ca="1">IF(AND(F146&gt;0,G146&gt;0),(G146/F146)^(1/1)-1,"")</f>
        <v>-3.8238113600786772E-2</v>
      </c>
      <c r="G159" s="129">
        <f ca="1">IF(AND(G146&gt;0,L146&gt;0),(L146/G146)^(1/1)-1,"")</f>
        <v>3.7870759043879376E-2</v>
      </c>
      <c r="H159" s="1058">
        <f ca="1">MEDIAN(C159:G159,C163:F163,C167:E167,C171:D171)</f>
        <v>8.2963398114992204E-2</v>
      </c>
      <c r="I159" s="744"/>
    </row>
    <row r="160" spans="2:13" ht="12.75" customHeight="1">
      <c r="B160" s="1057"/>
      <c r="C160" s="170">
        <f ca="1">AVERAGE(C146:D146)</f>
        <v>5520.8212379626611</v>
      </c>
      <c r="D160" s="170">
        <f ca="1">AVERAGE(D146:E146)</f>
        <v>6168.9889266344544</v>
      </c>
      <c r="E160" s="170">
        <f ca="1">AVERAGE(E146:F146)</f>
        <v>7145.4920830755518</v>
      </c>
      <c r="F160" s="170">
        <f ca="1">AVERAGE(F146:G146)</f>
        <v>7592.4324932810287</v>
      </c>
      <c r="G160" s="170">
        <f ca="1">AVERAGE(G146,L146)</f>
        <v>7585.4062763113106</v>
      </c>
      <c r="H160" s="1058"/>
      <c r="I160" s="744"/>
    </row>
    <row r="161" spans="2:9" ht="12.75" customHeight="1">
      <c r="B161" s="1057"/>
      <c r="C161" s="151"/>
      <c r="D161" s="151"/>
      <c r="E161" s="151"/>
      <c r="F161" s="151"/>
      <c r="G161" s="151"/>
      <c r="H161" s="1058"/>
      <c r="I161" s="744"/>
    </row>
    <row r="162" spans="2:9" ht="12.75" customHeight="1">
      <c r="B162" s="1057"/>
      <c r="C162" s="162" t="str">
        <f ca="1">C123&amp;"-"&amp;E123</f>
        <v>2005-2007</v>
      </c>
      <c r="D162" s="162" t="str">
        <f ca="1">D123&amp;"-"&amp;F123</f>
        <v>2006-2008</v>
      </c>
      <c r="E162" s="162" t="str">
        <f ca="1">E123&amp;"-"&amp;G123</f>
        <v>2007-2009</v>
      </c>
      <c r="F162" s="162" t="str">
        <f ca="1">F123&amp;"-"&amp;L123</f>
        <v>2008-TTM</v>
      </c>
      <c r="G162"/>
      <c r="H162" s="744"/>
      <c r="I162" s="744"/>
    </row>
    <row r="163" spans="2:9" ht="12.75" customHeight="1">
      <c r="B163" s="1057"/>
      <c r="C163" s="129">
        <f ca="1">IF(AND(C146&gt;0,E146&gt;0),(E146/C146)^(1/2)-1,"")</f>
        <v>0.11656723502917865</v>
      </c>
      <c r="D163" s="129">
        <f ca="1">IF(AND(D146&gt;0,F146&gt;0),(F146/D146)^(1/2)-1,"")</f>
        <v>0.1564849359781626</v>
      </c>
      <c r="E163" s="129">
        <f ca="1">IF(AND(E146&gt;0,G146&gt;0),(G146/E146)^(1/2)-1,"")</f>
        <v>6.6048143255604597E-2</v>
      </c>
      <c r="F163" s="129">
        <f ca="1">IF(AND(F146&gt;0,L146&gt;0),(L146/F146)^(1/2)-1,"")</f>
        <v>-9.0814283339057944E-4</v>
      </c>
      <c r="G163"/>
      <c r="H163" s="744"/>
      <c r="I163" s="744"/>
    </row>
    <row r="164" spans="2:9">
      <c r="B164" s="1057"/>
      <c r="C164" s="170">
        <f ca="1">AVERAGE(C146:E146)</f>
        <v>5864.0681932421021</v>
      </c>
      <c r="D164" s="170">
        <f ca="1">AVERAGE(D146:F146)</f>
        <v>6692.7999718730089</v>
      </c>
      <c r="E164" s="170">
        <f ca="1">AVERAGE(E146:G146)</f>
        <v>7245.1423634543471</v>
      </c>
      <c r="F164" s="170">
        <f ca="1">AVERAGE(F146:G146,L146)</f>
        <v>7637.078204990913</v>
      </c>
      <c r="G164"/>
      <c r="H164"/>
    </row>
    <row r="165" spans="2:9">
      <c r="B165" s="1057"/>
      <c r="C165" s="151"/>
      <c r="D165" s="151"/>
      <c r="E165" s="151"/>
      <c r="F165" s="151"/>
      <c r="G165"/>
      <c r="H165"/>
    </row>
    <row r="166" spans="2:9">
      <c r="B166" s="1057"/>
      <c r="C166" s="162" t="str">
        <f ca="1">C123&amp;"-"&amp;F123</f>
        <v>2005-2008</v>
      </c>
      <c r="D166" s="162" t="str">
        <f ca="1">D123&amp;"-"&amp;G123</f>
        <v>2006-2009</v>
      </c>
      <c r="E166" s="162" t="str">
        <f ca="1">E123&amp;"-"&amp;L123</f>
        <v>2007-TTM</v>
      </c>
      <c r="F166"/>
      <c r="G166"/>
      <c r="H166"/>
    </row>
    <row r="167" spans="2:9">
      <c r="B167" s="1057"/>
      <c r="C167" s="129">
        <f ca="1">IF(AND(D146&gt;0,F146&gt;0),(F146/D146)^(1/3)-1,"")</f>
        <v>0.10177603096378984</v>
      </c>
      <c r="D167" s="129">
        <f ca="1">IF(AND(E146&gt;0,G146&gt;0),(G146/E146)^(1/3)-1,"")</f>
        <v>4.3561092417418124E-2</v>
      </c>
      <c r="E167" s="129">
        <f ca="1">IF(AND(F146&gt;0,L146&gt;0),(L146/F146)^(1/3)-1,"")</f>
        <v>-6.0552022853332943E-4</v>
      </c>
      <c r="F167"/>
      <c r="G167"/>
      <c r="H167"/>
    </row>
    <row r="168" spans="2:9">
      <c r="B168" s="1057"/>
      <c r="C168" s="170">
        <f ca="1">AVERAGE(C146:F146)</f>
        <v>6333.1566605191056</v>
      </c>
      <c r="D168" s="170">
        <f ca="1">AVERAGE(D146:G146)</f>
        <v>6880.7107099577406</v>
      </c>
      <c r="E168" s="170">
        <f ca="1">AVERAGE(E146:G146,L146)</f>
        <v>7365.4491796934308</v>
      </c>
      <c r="F168"/>
      <c r="G168"/>
    </row>
    <row r="169" spans="2:9">
      <c r="B169" s="1057"/>
      <c r="C169" s="151"/>
      <c r="D169" s="151"/>
      <c r="E169" s="151"/>
      <c r="F169"/>
      <c r="G169"/>
    </row>
    <row r="170" spans="2:9">
      <c r="B170" s="1057"/>
      <c r="C170" s="162" t="str">
        <f ca="1">C123&amp;"-"&amp;G123</f>
        <v>2005-2009</v>
      </c>
      <c r="D170" s="162" t="str">
        <f ca="1">D123&amp;"-"&amp;L123</f>
        <v>2006-TTM</v>
      </c>
      <c r="E170"/>
      <c r="F170"/>
      <c r="G170"/>
    </row>
    <row r="171" spans="2:9">
      <c r="B171" s="1057"/>
      <c r="C171" s="129">
        <f ca="1">IF(AND(C146&gt;0,G146&gt;0),(G146/C146)^(1/4)-1,"")</f>
        <v>9.1015319655457505E-2</v>
      </c>
      <c r="D171" s="129">
        <f ca="1">IF(AND(D146&gt;0,L146&gt;0),(L146/D146)^(1/4)-1,"")</f>
        <v>7.4911476574526903E-2</v>
      </c>
      <c r="E171"/>
      <c r="F171"/>
      <c r="G171"/>
    </row>
    <row r="172" spans="2:9">
      <c r="B172" s="1057"/>
      <c r="C172" s="170">
        <f ca="1">AVERAGE(C146:G146)</f>
        <v>6555.413913257672</v>
      </c>
      <c r="D172" s="170">
        <f ca="1">AVERAGE(D146:G146,L146)</f>
        <v>7049.8424936483298</v>
      </c>
      <c r="E172"/>
      <c r="F172"/>
      <c r="G172"/>
    </row>
  </sheetData>
  <mergeCells count="7">
    <mergeCell ref="B158:B172"/>
    <mergeCell ref="H159:H161"/>
    <mergeCell ref="N128:N144"/>
    <mergeCell ref="H62:I62"/>
    <mergeCell ref="L125:L126"/>
    <mergeCell ref="C118:G118"/>
    <mergeCell ref="H118:K118"/>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sheetPr codeName="Sheet20"/>
  <dimension ref="A1:IV32"/>
  <sheetViews>
    <sheetView showGridLines="0" zoomScale="80" zoomScaleNormal="80" workbookViewId="0">
      <selection activeCell="B28" sqref="B28"/>
    </sheetView>
  </sheetViews>
  <sheetFormatPr defaultColWidth="0" defaultRowHeight="12.75"/>
  <cols>
    <col min="1" max="1" width="5.140625" style="173" customWidth="1"/>
    <col min="2" max="2" width="38" style="173" customWidth="1"/>
    <col min="3" max="3" width="14.85546875" style="173" customWidth="1"/>
    <col min="4" max="4" width="12.42578125" style="173" customWidth="1"/>
    <col min="5" max="5" width="13.5703125" style="173" customWidth="1"/>
    <col min="6" max="7" width="12.140625" style="173" customWidth="1"/>
    <col min="8" max="8" width="9.140625" style="173" customWidth="1"/>
    <col min="9" max="9" width="9.140625" style="173" hidden="1" customWidth="1"/>
    <col min="10" max="10" width="13.85546875" style="173" hidden="1" customWidth="1"/>
    <col min="11" max="16384" width="9.140625" style="173" hidden="1"/>
  </cols>
  <sheetData>
    <row r="1" spans="1:256">
      <c r="C1" s="799"/>
      <c r="D1" s="799"/>
      <c r="E1" s="799"/>
      <c r="F1" s="799"/>
      <c r="G1" s="799"/>
    </row>
    <row r="2" spans="1:256" ht="20.25">
      <c r="B2" s="1053" t="str">
        <f ca="1">Statements!$A$2</f>
        <v>Coca-Cola Co</v>
      </c>
      <c r="C2" s="1053"/>
      <c r="D2" s="301"/>
      <c r="E2" s="301"/>
      <c r="G2" s="1048"/>
      <c r="H2" s="1048"/>
    </row>
    <row r="3" spans="1:256" ht="20.25">
      <c r="B3" s="875" t="str">
        <f ca="1">Statements!$A$3</f>
        <v>(KO)</v>
      </c>
      <c r="C3" s="321"/>
      <c r="H3" s="482"/>
      <c r="IV3" s="861"/>
    </row>
    <row r="4" spans="1:256" ht="15.75">
      <c r="B4" s="857">
        <f ca="1">Statements!$A$4</f>
        <v>40369</v>
      </c>
      <c r="C4" s="468" t="s">
        <v>4</v>
      </c>
      <c r="D4" s="468" t="s">
        <v>534</v>
      </c>
      <c r="E4" s="856" t="s">
        <v>766</v>
      </c>
      <c r="F4" s="468" t="s">
        <v>441</v>
      </c>
      <c r="G4" s="468" t="s">
        <v>767</v>
      </c>
      <c r="H4" s="112"/>
      <c r="I4" s="483"/>
      <c r="J4" s="483"/>
      <c r="K4" s="483"/>
      <c r="IV4" s="861"/>
    </row>
    <row r="5" spans="1:256" ht="15">
      <c r="B5" s="310"/>
      <c r="C5" s="858">
        <f ca="1">DCFData!B2</f>
        <v>52.4</v>
      </c>
      <c r="D5" s="858">
        <f ca="1">F28</f>
        <v>-4.2401515151515152</v>
      </c>
      <c r="E5" s="859">
        <f ca="1">F29</f>
        <v>-13.358048954797212</v>
      </c>
      <c r="F5" s="860">
        <f ca="1">F30</f>
        <v>-2.3043290043290043</v>
      </c>
      <c r="G5" s="862">
        <f ca="1">F31</f>
        <v>-23.739808378733795</v>
      </c>
    </row>
    <row r="6" spans="1:256">
      <c r="A6" s="321"/>
    </row>
    <row r="7" spans="1:256">
      <c r="A7" s="321"/>
    </row>
    <row r="8" spans="1:256">
      <c r="A8" s="321"/>
      <c r="B8" s="823" t="s">
        <v>532</v>
      </c>
      <c r="C8" s="835" t="str">
        <f ca="1">[1]!RCHGetElementNumber(Ticker,8006)</f>
        <v>2010/03</v>
      </c>
      <c r="D8" s="836" t="s">
        <v>520</v>
      </c>
      <c r="E8" s="310"/>
      <c r="F8" s="310"/>
    </row>
    <row r="9" spans="1:256" ht="25.5">
      <c r="A9" s="321"/>
      <c r="B9" s="834" t="s">
        <v>233</v>
      </c>
      <c r="C9" s="831" t="s">
        <v>521</v>
      </c>
      <c r="D9" s="832"/>
      <c r="E9" s="833" t="s">
        <v>522</v>
      </c>
      <c r="F9" s="833" t="s">
        <v>523</v>
      </c>
    </row>
    <row r="10" spans="1:256">
      <c r="A10" s="321"/>
      <c r="B10" s="837" t="s">
        <v>234</v>
      </c>
      <c r="C10" s="804">
        <f ca="1">IF(ISBLANK(D10),NetNetData!B4,D10)</f>
        <v>8794</v>
      </c>
      <c r="D10" s="801"/>
      <c r="E10" s="869">
        <v>1</v>
      </c>
      <c r="F10" s="870">
        <f ca="1">C10+C11</f>
        <v>8794</v>
      </c>
    </row>
    <row r="11" spans="1:256">
      <c r="A11" s="321"/>
      <c r="B11" s="814" t="s">
        <v>765</v>
      </c>
      <c r="C11" s="802">
        <f ca="1">IF(ISBLANK(D11),NetNetData!B5,D11)</f>
        <v>0</v>
      </c>
      <c r="D11" s="803"/>
      <c r="E11" s="871"/>
      <c r="F11" s="872"/>
    </row>
    <row r="12" spans="1:256">
      <c r="A12" s="321"/>
      <c r="B12" s="813" t="s">
        <v>763</v>
      </c>
      <c r="C12" s="804">
        <f ca="1">IF(ISBLANK(D12),NetNetData!B6,D12)</f>
        <v>3705</v>
      </c>
      <c r="D12" s="801"/>
      <c r="E12" s="869">
        <v>0.75</v>
      </c>
      <c r="F12" s="817"/>
    </row>
    <row r="13" spans="1:256">
      <c r="A13" s="321"/>
      <c r="B13" s="813" t="s">
        <v>764</v>
      </c>
      <c r="C13" s="804">
        <f ca="1">IF(ISBLANK(D13),NetNetData!B7,D13)</f>
        <v>0</v>
      </c>
      <c r="D13" s="801"/>
      <c r="E13" s="869"/>
      <c r="F13" s="817"/>
    </row>
    <row r="14" spans="1:256">
      <c r="A14" s="321"/>
      <c r="B14" s="838" t="s">
        <v>237</v>
      </c>
      <c r="C14" s="802">
        <f ca="1">IF(ISBLANK(D14),NetNetData!B8,D14)</f>
        <v>3705</v>
      </c>
      <c r="D14" s="803"/>
      <c r="E14" s="871"/>
      <c r="F14" s="818">
        <f ca="1">E12*C14</f>
        <v>2778.75</v>
      </c>
    </row>
    <row r="15" spans="1:256">
      <c r="A15" s="321"/>
      <c r="B15" s="813" t="s">
        <v>238</v>
      </c>
      <c r="C15" s="804">
        <f ca="1">IF(ISBLANK(D15),NetNetData!B9,D15)</f>
        <v>1402</v>
      </c>
      <c r="D15" s="801"/>
      <c r="E15" s="873">
        <v>0.5</v>
      </c>
      <c r="F15" s="817"/>
    </row>
    <row r="16" spans="1:256">
      <c r="A16" s="321"/>
      <c r="B16" s="813" t="s">
        <v>239</v>
      </c>
      <c r="C16" s="804">
        <f ca="1">IF(ISBLANK(D16),NetNetData!B10,D16)</f>
        <v>0</v>
      </c>
      <c r="D16" s="801"/>
      <c r="E16" s="873"/>
      <c r="F16" s="817"/>
    </row>
    <row r="17" spans="1:6">
      <c r="A17" s="321"/>
      <c r="B17" s="813" t="s">
        <v>240</v>
      </c>
      <c r="C17" s="804">
        <f ca="1">IF(ISBLANK(D17),NetNetData!B11,D17)</f>
        <v>0</v>
      </c>
      <c r="D17" s="801"/>
      <c r="E17" s="873"/>
      <c r="F17" s="817"/>
    </row>
    <row r="18" spans="1:6">
      <c r="A18" s="321"/>
      <c r="B18" s="813" t="s">
        <v>241</v>
      </c>
      <c r="C18" s="804">
        <f ca="1">IF(ISBLANK(D18),NetNetData!B12,D18)</f>
        <v>643</v>
      </c>
      <c r="D18" s="801"/>
      <c r="E18" s="873"/>
      <c r="F18" s="817"/>
    </row>
    <row r="19" spans="1:6">
      <c r="A19" s="321"/>
      <c r="B19" s="813" t="s">
        <v>242</v>
      </c>
      <c r="C19" s="804">
        <f ca="1">IF(ISBLANK(D19),NetNetData!B13,D19)</f>
        <v>282</v>
      </c>
      <c r="D19" s="801"/>
      <c r="E19" s="873"/>
      <c r="F19" s="817"/>
    </row>
    <row r="20" spans="1:6">
      <c r="A20" s="321"/>
      <c r="B20" s="838" t="s">
        <v>243</v>
      </c>
      <c r="C20" s="802">
        <f ca="1">IF(ISBLANK(D20),NetNetData!B14,D20)</f>
        <v>2327</v>
      </c>
      <c r="D20" s="803"/>
      <c r="E20" s="874"/>
      <c r="F20" s="818">
        <f ca="1">E15*C20</f>
        <v>1163.5</v>
      </c>
    </row>
    <row r="21" spans="1:6">
      <c r="A21" s="321"/>
      <c r="B21" s="838" t="s">
        <v>535</v>
      </c>
      <c r="C21" s="802">
        <f ca="1">IF(ISBLANK(D21),NetNetData!B15,D21)</f>
        <v>17208</v>
      </c>
      <c r="D21" s="803"/>
      <c r="E21" s="805"/>
      <c r="F21" s="818">
        <f ca="1">C21</f>
        <v>17208</v>
      </c>
    </row>
    <row r="22" spans="1:6">
      <c r="B22" s="839" t="s">
        <v>244</v>
      </c>
      <c r="C22" s="802">
        <f ca="1">IF(ISBLANK(D22),NetNetData!B16,D22)</f>
        <v>22531</v>
      </c>
      <c r="D22" s="806"/>
      <c r="E22" s="805"/>
      <c r="F22" s="819">
        <f ca="1">C22</f>
        <v>22531</v>
      </c>
    </row>
    <row r="23" spans="1:6" ht="13.5" thickBot="1">
      <c r="B23" s="824" t="s">
        <v>524</v>
      </c>
      <c r="C23" s="809">
        <f ca="1">'DCF Valuation'!$D$3</f>
        <v>2310</v>
      </c>
      <c r="D23" s="807"/>
      <c r="E23" s="808"/>
      <c r="F23" s="820">
        <f ca="1">C23</f>
        <v>2310</v>
      </c>
    </row>
    <row r="24" spans="1:6" ht="13.5" thickTop="1">
      <c r="B24" s="825"/>
      <c r="C24" s="826"/>
      <c r="D24" s="826"/>
      <c r="E24" s="827"/>
      <c r="F24" s="826"/>
    </row>
    <row r="25" spans="1:6">
      <c r="B25" s="310"/>
      <c r="C25" s="310"/>
      <c r="D25" s="446"/>
      <c r="E25" s="840" t="s">
        <v>533</v>
      </c>
      <c r="F25" s="841" t="s">
        <v>296</v>
      </c>
    </row>
    <row r="26" spans="1:6">
      <c r="B26" s="310"/>
      <c r="C26" s="842"/>
      <c r="D26" s="843" t="s">
        <v>29</v>
      </c>
      <c r="E26" s="828">
        <f ca="1">F21</f>
        <v>17208</v>
      </c>
      <c r="F26" s="816">
        <f ca="1">E26/F23</f>
        <v>7.4493506493506496</v>
      </c>
    </row>
    <row r="27" spans="1:6">
      <c r="B27" s="310"/>
      <c r="C27" s="844"/>
      <c r="D27" s="845" t="s">
        <v>531</v>
      </c>
      <c r="E27" s="289">
        <f ca="1">DCFData!B3</f>
        <v>120830</v>
      </c>
      <c r="F27" s="846">
        <f ca="1">DCFData!B2</f>
        <v>52.4</v>
      </c>
    </row>
    <row r="28" spans="1:6">
      <c r="A28" s="321"/>
      <c r="B28" s="310"/>
      <c r="C28" s="842"/>
      <c r="D28" s="840" t="s">
        <v>128</v>
      </c>
      <c r="E28" s="828">
        <f ca="1">F10+F14+F20-F22</f>
        <v>-9794.75</v>
      </c>
      <c r="F28" s="847">
        <f ca="1">E28/F23</f>
        <v>-4.2401515151515152</v>
      </c>
    </row>
    <row r="29" spans="1:6">
      <c r="A29" s="321"/>
      <c r="B29" s="310"/>
      <c r="C29" s="842"/>
      <c r="D29" s="848" t="s">
        <v>525</v>
      </c>
      <c r="E29" s="446"/>
      <c r="F29" s="849">
        <f ca="1">IF(F28&gt;0,1-(F27/F28),(F27/F28)-1)</f>
        <v>-13.358048954797212</v>
      </c>
    </row>
    <row r="30" spans="1:6">
      <c r="B30" s="310"/>
      <c r="C30" s="850"/>
      <c r="D30" s="851" t="s">
        <v>526</v>
      </c>
      <c r="E30" s="829">
        <f ca="1">E26-F22</f>
        <v>-5323</v>
      </c>
      <c r="F30" s="852">
        <f ca="1">E30/F23</f>
        <v>-2.3043290043290043</v>
      </c>
    </row>
    <row r="31" spans="1:6" ht="13.5" thickBot="1">
      <c r="B31" s="310"/>
      <c r="C31" s="853"/>
      <c r="D31" s="854" t="s">
        <v>527</v>
      </c>
      <c r="E31" s="830"/>
      <c r="F31" s="855">
        <f ca="1">IF(F30&gt;0,1-(F27/F30),(F27/F30)-1)</f>
        <v>-23.739808378733795</v>
      </c>
    </row>
    <row r="32" spans="1:6" ht="13.5" thickTop="1"/>
  </sheetData>
  <mergeCells count="2">
    <mergeCell ref="B2:C2"/>
    <mergeCell ref="G2:H2"/>
  </mergeCells>
  <conditionalFormatting sqref="F29 F31">
    <cfRule type="cellIs" dxfId="66" priority="9" stopIfTrue="1" operator="lessThan">
      <formula>0</formula>
    </cfRule>
    <cfRule type="cellIs" dxfId="65" priority="10" stopIfTrue="1" operator="greaterThan">
      <formula>0</formula>
    </cfRule>
  </conditionalFormatting>
  <conditionalFormatting sqref="D5 F5">
    <cfRule type="expression" dxfId="64" priority="25" stopIfTrue="1">
      <formula>D$5&gt;$C$5</formula>
    </cfRule>
    <cfRule type="expression" dxfId="63" priority="26" stopIfTrue="1">
      <formula>D$5&lt;$C$5</formula>
    </cfRule>
  </conditionalFormatting>
  <conditionalFormatting sqref="E5 G5">
    <cfRule type="expression" dxfId="62" priority="29" stopIfTrue="1">
      <formula>E$5&gt;=0</formula>
    </cfRule>
    <cfRule type="expression" dxfId="61" priority="30" stopIfTrue="1">
      <formula>E$5&lt;0</formula>
    </cfRule>
  </conditionalFormatting>
  <pageMargins left="0.7" right="0.7" top="0.75" bottom="0.75" header="0.3" footer="0.3"/>
  <pageSetup scale="79" orientation="portrait" horizontalDpi="0" verticalDpi="0" r:id="rId1"/>
  <drawing r:id="rId2"/>
  <legacyDrawing r:id="rId3"/>
</worksheet>
</file>

<file path=xl/worksheets/sheet12.xml><?xml version="1.0" encoding="utf-8"?>
<worksheet xmlns="http://schemas.openxmlformats.org/spreadsheetml/2006/main" xmlns:r="http://schemas.openxmlformats.org/officeDocument/2006/relationships">
  <sheetPr codeName="Sheet10"/>
  <dimension ref="A3:B16"/>
  <sheetViews>
    <sheetView zoomScale="75" zoomScaleNormal="75" workbookViewId="0">
      <selection activeCell="E26" sqref="E26"/>
    </sheetView>
  </sheetViews>
  <sheetFormatPr defaultRowHeight="12.75"/>
  <cols>
    <col min="1" max="1" width="42.42578125" customWidth="1"/>
    <col min="2" max="2" width="12.85546875" bestFit="1" customWidth="1"/>
  </cols>
  <sheetData>
    <row r="3" spans="1:2">
      <c r="A3" s="498" t="s">
        <v>762</v>
      </c>
      <c r="B3" s="498"/>
    </row>
    <row r="4" spans="1:2" ht="15">
      <c r="A4" s="811" t="s">
        <v>234</v>
      </c>
      <c r="B4" s="619">
        <f ca="1">EPVData!D65</f>
        <v>8794</v>
      </c>
    </row>
    <row r="5" spans="1:2">
      <c r="A5" s="287" t="s">
        <v>235</v>
      </c>
      <c r="B5" s="619">
        <f ca="1">EPVData!D66</f>
        <v>0</v>
      </c>
    </row>
    <row r="6" spans="1:2">
      <c r="A6" s="287" t="s">
        <v>405</v>
      </c>
      <c r="B6" s="619">
        <f ca="1">EPVData!D67</f>
        <v>3705</v>
      </c>
    </row>
    <row r="7" spans="1:2">
      <c r="A7" s="287" t="s">
        <v>236</v>
      </c>
      <c r="B7" s="619">
        <f ca="1">EPVData!D68</f>
        <v>0</v>
      </c>
    </row>
    <row r="8" spans="1:2" ht="15">
      <c r="A8" s="811" t="s">
        <v>237</v>
      </c>
      <c r="B8" s="619">
        <f ca="1">EPVData!D69</f>
        <v>3705</v>
      </c>
    </row>
    <row r="9" spans="1:2" ht="15">
      <c r="A9" s="810" t="s">
        <v>238</v>
      </c>
      <c r="B9" s="619">
        <f ca="1">EPVData!D70</f>
        <v>1402</v>
      </c>
    </row>
    <row r="10" spans="1:2" ht="15">
      <c r="A10" s="810" t="s">
        <v>239</v>
      </c>
      <c r="B10" s="619">
        <f ca="1">EPVData!D71</f>
        <v>0</v>
      </c>
    </row>
    <row r="11" spans="1:2" ht="15">
      <c r="A11" s="810" t="s">
        <v>240</v>
      </c>
      <c r="B11" s="619">
        <f ca="1">EPVData!D72</f>
        <v>0</v>
      </c>
    </row>
    <row r="12" spans="1:2" ht="15">
      <c r="A12" s="810" t="s">
        <v>241</v>
      </c>
      <c r="B12" s="619">
        <f ca="1">EPVData!D73</f>
        <v>643</v>
      </c>
    </row>
    <row r="13" spans="1:2" ht="15">
      <c r="A13" s="810" t="s">
        <v>242</v>
      </c>
      <c r="B13" s="619">
        <f ca="1">EPVData!D74</f>
        <v>282</v>
      </c>
    </row>
    <row r="14" spans="1:2" ht="15">
      <c r="A14" s="811" t="s">
        <v>243</v>
      </c>
      <c r="B14" s="619">
        <f ca="1">EPVData!D75</f>
        <v>2327</v>
      </c>
    </row>
    <row r="15" spans="1:2" ht="15">
      <c r="A15" s="811" t="s">
        <v>535</v>
      </c>
      <c r="B15" s="812">
        <f ca="1">EPVData!D79</f>
        <v>17208</v>
      </c>
    </row>
    <row r="16" spans="1:2" ht="15">
      <c r="A16" s="811" t="s">
        <v>244</v>
      </c>
      <c r="B16" s="619">
        <f ca="1">EPVData!D102</f>
        <v>22531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22"/>
  <dimension ref="B1:V83"/>
  <sheetViews>
    <sheetView showGridLines="0" topLeftCell="A20" zoomScale="75" zoomScaleNormal="75" zoomScaleSheetLayoutView="80" workbookViewId="0">
      <selection activeCell="N37" sqref="N37:O43"/>
    </sheetView>
  </sheetViews>
  <sheetFormatPr defaultColWidth="0" defaultRowHeight="12.75" outlineLevelRow="1"/>
  <cols>
    <col min="1" max="1" width="9.140625" style="173" customWidth="1"/>
    <col min="2" max="2" width="29.7109375" style="173" customWidth="1"/>
    <col min="3" max="3" width="10.42578125" style="173" bestFit="1" customWidth="1"/>
    <col min="4" max="10" width="10.5703125" style="173" bestFit="1" customWidth="1"/>
    <col min="11" max="11" width="10.140625" style="173" bestFit="1" customWidth="1"/>
    <col min="12" max="13" width="10.5703125" style="173" bestFit="1" customWidth="1"/>
    <col min="14" max="16" width="9.140625" style="173" customWidth="1"/>
    <col min="17" max="16384" width="0" style="173" hidden="1"/>
  </cols>
  <sheetData>
    <row r="1" spans="2:14" ht="20.25">
      <c r="B1" s="301" t="str">
        <f ca="1">Statements!$A$2</f>
        <v>Coca-Cola Co</v>
      </c>
    </row>
    <row r="2" spans="2:14" ht="20.25">
      <c r="B2" s="304" t="str">
        <f ca="1">Statements!$A$3</f>
        <v>(KO)</v>
      </c>
    </row>
    <row r="3" spans="2:14" ht="15">
      <c r="B3" s="475">
        <f ca="1">Statements!$A$4</f>
        <v>40369</v>
      </c>
    </row>
    <row r="7" spans="2:14" ht="15.75">
      <c r="B7" s="1093" t="s">
        <v>672</v>
      </c>
      <c r="C7" s="1094"/>
      <c r="D7" s="1094"/>
      <c r="E7" s="1094"/>
      <c r="F7" s="1094"/>
      <c r="G7" s="1094"/>
      <c r="H7" s="1094"/>
      <c r="I7" s="1094"/>
      <c r="J7" s="1094"/>
      <c r="K7" s="1094"/>
      <c r="L7" s="1094"/>
      <c r="M7" s="1095"/>
      <c r="N7" s="662"/>
    </row>
    <row r="8" spans="2:14" ht="269.25" customHeight="1" outlineLevel="1">
      <c r="B8" s="1111" t="s">
        <v>708</v>
      </c>
      <c r="C8" s="1112"/>
      <c r="D8" s="1112"/>
      <c r="E8" s="1112"/>
      <c r="F8" s="1112"/>
      <c r="G8" s="1112"/>
      <c r="H8" s="1112"/>
      <c r="I8" s="1112"/>
      <c r="J8" s="1112"/>
      <c r="K8" s="1112"/>
      <c r="L8" s="1112"/>
      <c r="M8" s="1113"/>
      <c r="N8" s="663"/>
    </row>
    <row r="10" spans="2:14">
      <c r="C10" s="32">
        <f ca="1">PioData!B25</f>
        <v>2000</v>
      </c>
      <c r="D10" s="32">
        <f ca="1">PioData!C25</f>
        <v>2001</v>
      </c>
      <c r="E10" s="32">
        <f ca="1">PioData!D25</f>
        <v>2002</v>
      </c>
      <c r="F10" s="32">
        <f ca="1">PioData!E25</f>
        <v>2003</v>
      </c>
      <c r="G10" s="32">
        <f ca="1">PioData!F25</f>
        <v>2004</v>
      </c>
      <c r="H10" s="32">
        <f ca="1">PioData!G25</f>
        <v>2005</v>
      </c>
      <c r="I10" s="32">
        <f ca="1">PioData!H25</f>
        <v>2006</v>
      </c>
      <c r="J10" s="32">
        <f ca="1">PioData!I25</f>
        <v>2007</v>
      </c>
      <c r="K10" s="32">
        <f ca="1">PioData!J25</f>
        <v>2008</v>
      </c>
      <c r="L10" s="884">
        <f ca="1">PioData!K25</f>
        <v>2009</v>
      </c>
      <c r="M10" s="901" t="str">
        <f ca="1">PioData!L25</f>
        <v>TTM</v>
      </c>
      <c r="N10" s="664"/>
    </row>
    <row r="11" spans="2:14" ht="18">
      <c r="B11" s="653" t="s">
        <v>671</v>
      </c>
      <c r="C11" s="242">
        <f ca="1">PioData!B35</f>
        <v>5</v>
      </c>
      <c r="D11" s="242">
        <f ca="1">PioData!C35</f>
        <v>7</v>
      </c>
      <c r="E11" s="242">
        <f ca="1">PioData!D35</f>
        <v>5</v>
      </c>
      <c r="F11" s="242">
        <f ca="1">PioData!E35</f>
        <v>7</v>
      </c>
      <c r="G11" s="242">
        <f ca="1">PioData!F35</f>
        <v>7</v>
      </c>
      <c r="H11" s="242">
        <f ca="1">PioData!G35</f>
        <v>6</v>
      </c>
      <c r="I11" s="242">
        <f ca="1">PioData!H35</f>
        <v>7</v>
      </c>
      <c r="J11" s="242">
        <f ca="1">PioData!I35</f>
        <v>4</v>
      </c>
      <c r="K11" s="242">
        <f ca="1">PioData!J35</f>
        <v>8</v>
      </c>
      <c r="L11" s="602">
        <f ca="1">PioData!K35</f>
        <v>5</v>
      </c>
      <c r="M11" s="605">
        <f ca="1">PioData!L35</f>
        <v>8</v>
      </c>
      <c r="N11" s="665"/>
    </row>
    <row r="12" spans="2:14">
      <c r="L12" s="312"/>
      <c r="M12" s="654"/>
      <c r="N12" s="321"/>
    </row>
    <row r="13" spans="2:14" ht="14.25">
      <c r="B13" s="655" t="s">
        <v>709</v>
      </c>
      <c r="C13" s="601">
        <f ca="1">PioData!B26</f>
        <v>1</v>
      </c>
      <c r="D13" s="601">
        <f ca="1">PioData!C26</f>
        <v>1</v>
      </c>
      <c r="E13" s="601">
        <f ca="1">PioData!D26</f>
        <v>1</v>
      </c>
      <c r="F13" s="601">
        <f ca="1">PioData!E26</f>
        <v>1</v>
      </c>
      <c r="G13" s="601">
        <f ca="1">PioData!F26</f>
        <v>1</v>
      </c>
      <c r="H13" s="601">
        <f ca="1">PioData!G26</f>
        <v>1</v>
      </c>
      <c r="I13" s="601">
        <f ca="1">PioData!H26</f>
        <v>1</v>
      </c>
      <c r="J13" s="601">
        <f ca="1">PioData!I26</f>
        <v>1</v>
      </c>
      <c r="K13" s="601">
        <f ca="1">PioData!J26</f>
        <v>1</v>
      </c>
      <c r="L13" s="603">
        <f ca="1">PioData!K26</f>
        <v>1</v>
      </c>
      <c r="M13" s="606">
        <f ca="1">PioData!L26</f>
        <v>1</v>
      </c>
      <c r="N13"/>
    </row>
    <row r="14" spans="2:14" ht="15">
      <c r="B14" s="656" t="s">
        <v>710</v>
      </c>
      <c r="C14" s="600">
        <f ca="1">PioData!B27</f>
        <v>1</v>
      </c>
      <c r="D14" s="600">
        <f ca="1">PioData!C27</f>
        <v>1</v>
      </c>
      <c r="E14" s="600">
        <f ca="1">PioData!D27</f>
        <v>1</v>
      </c>
      <c r="F14" s="600">
        <f ca="1">PioData!E27</f>
        <v>1</v>
      </c>
      <c r="G14" s="600">
        <f ca="1">PioData!F27</f>
        <v>1</v>
      </c>
      <c r="H14" s="600">
        <f ca="1">PioData!G27</f>
        <v>1</v>
      </c>
      <c r="I14" s="600">
        <f ca="1">PioData!H27</f>
        <v>1</v>
      </c>
      <c r="J14" s="600">
        <f ca="1">PioData!I27</f>
        <v>1</v>
      </c>
      <c r="K14" s="600">
        <f ca="1">PioData!J27</f>
        <v>1</v>
      </c>
      <c r="L14" s="604">
        <f ca="1">PioData!K27</f>
        <v>1</v>
      </c>
      <c r="M14" s="607">
        <f ca="1">PioData!L27</f>
        <v>1</v>
      </c>
      <c r="N14"/>
    </row>
    <row r="15" spans="2:14" ht="15">
      <c r="B15" s="655" t="s">
        <v>711</v>
      </c>
      <c r="C15" s="601">
        <f ca="1">PioData!B28</f>
        <v>0</v>
      </c>
      <c r="D15" s="601">
        <f ca="1">PioData!C28</f>
        <v>1</v>
      </c>
      <c r="E15" s="601">
        <f ca="1">PioData!D28</f>
        <v>0</v>
      </c>
      <c r="F15" s="601">
        <f ca="1">PioData!E28</f>
        <v>1</v>
      </c>
      <c r="G15" s="601">
        <f ca="1">PioData!F28</f>
        <v>0</v>
      </c>
      <c r="H15" s="601">
        <f ca="1">PioData!G28</f>
        <v>1</v>
      </c>
      <c r="I15" s="601">
        <f ca="1">PioData!H28</f>
        <v>1</v>
      </c>
      <c r="J15" s="601">
        <f ca="1">PioData!I28</f>
        <v>0</v>
      </c>
      <c r="K15" s="601">
        <f ca="1">PioData!J28</f>
        <v>1</v>
      </c>
      <c r="L15" s="603">
        <f ca="1">PioData!K28</f>
        <v>0</v>
      </c>
      <c r="M15" s="606">
        <f ca="1">PioData!L28</f>
        <v>1</v>
      </c>
      <c r="N15"/>
    </row>
    <row r="16" spans="2:14" ht="15">
      <c r="B16" s="656" t="s">
        <v>712</v>
      </c>
      <c r="C16" s="600">
        <f ca="1">PioData!B29</f>
        <v>1</v>
      </c>
      <c r="D16" s="600">
        <f ca="1">PioData!C29</f>
        <v>1</v>
      </c>
      <c r="E16" s="600">
        <f ca="1">PioData!D29</f>
        <v>1</v>
      </c>
      <c r="F16" s="600">
        <f ca="1">PioData!E29</f>
        <v>1</v>
      </c>
      <c r="G16" s="600">
        <f ca="1">PioData!F29</f>
        <v>1</v>
      </c>
      <c r="H16" s="600">
        <f ca="1">PioData!G29</f>
        <v>1</v>
      </c>
      <c r="I16" s="600">
        <f ca="1">PioData!H29</f>
        <v>1</v>
      </c>
      <c r="J16" s="600">
        <f ca="1">PioData!I29</f>
        <v>1</v>
      </c>
      <c r="K16" s="600">
        <f ca="1">PioData!J29</f>
        <v>1</v>
      </c>
      <c r="L16" s="604">
        <f ca="1">PioData!K29</f>
        <v>1</v>
      </c>
      <c r="M16" s="607">
        <f ca="1">PioData!L29</f>
        <v>1</v>
      </c>
      <c r="N16"/>
    </row>
    <row r="17" spans="2:15" ht="15">
      <c r="B17" s="655" t="s">
        <v>713</v>
      </c>
      <c r="C17" s="601">
        <f ca="1">PioData!B30</f>
        <v>1</v>
      </c>
      <c r="D17" s="601">
        <f ca="1">PioData!C30</f>
        <v>0</v>
      </c>
      <c r="E17" s="601">
        <f ca="1">PioData!D30</f>
        <v>0</v>
      </c>
      <c r="F17" s="601">
        <f ca="1">PioData!E30</f>
        <v>1</v>
      </c>
      <c r="G17" s="601">
        <f ca="1">PioData!F30</f>
        <v>1</v>
      </c>
      <c r="H17" s="601">
        <f ca="1">PioData!G30</f>
        <v>0</v>
      </c>
      <c r="I17" s="601">
        <f ca="1">PioData!H30</f>
        <v>0</v>
      </c>
      <c r="J17" s="601">
        <f ca="1">PioData!I30</f>
        <v>0</v>
      </c>
      <c r="K17" s="601">
        <f ca="1">PioData!J30</f>
        <v>1</v>
      </c>
      <c r="L17" s="603">
        <f ca="1">PioData!K30</f>
        <v>0</v>
      </c>
      <c r="M17" s="606">
        <f ca="1">PioData!L30</f>
        <v>1</v>
      </c>
      <c r="N17"/>
    </row>
    <row r="18" spans="2:15" ht="15">
      <c r="B18" s="656" t="s">
        <v>714</v>
      </c>
      <c r="C18" s="600">
        <f ca="1">PioData!B31</f>
        <v>0</v>
      </c>
      <c r="D18" s="600">
        <f ca="1">PioData!C31</f>
        <v>1</v>
      </c>
      <c r="E18" s="600">
        <f ca="1">PioData!D31</f>
        <v>1</v>
      </c>
      <c r="F18" s="600">
        <f ca="1">PioData!E31</f>
        <v>1</v>
      </c>
      <c r="G18" s="600">
        <f ca="1">PioData!F31</f>
        <v>1</v>
      </c>
      <c r="H18" s="600">
        <f ca="1">PioData!G31</f>
        <v>0</v>
      </c>
      <c r="I18" s="600">
        <f ca="1">PioData!H31</f>
        <v>0</v>
      </c>
      <c r="J18" s="600">
        <f ca="1">PioData!I31</f>
        <v>0</v>
      </c>
      <c r="K18" s="600">
        <f ca="1">PioData!J31</f>
        <v>1</v>
      </c>
      <c r="L18" s="604">
        <f ca="1">PioData!K31</f>
        <v>1</v>
      </c>
      <c r="M18" s="607">
        <f ca="1">PioData!L31</f>
        <v>0</v>
      </c>
      <c r="N18"/>
    </row>
    <row r="19" spans="2:15" ht="15">
      <c r="B19" s="655" t="s">
        <v>715</v>
      </c>
      <c r="C19" s="601">
        <f ca="1">PioData!B32</f>
        <v>1</v>
      </c>
      <c r="D19" s="601">
        <f ca="1">PioData!C32</f>
        <v>1</v>
      </c>
      <c r="E19" s="601">
        <f ca="1">PioData!D32</f>
        <v>1</v>
      </c>
      <c r="F19" s="601">
        <f ca="1">PioData!E32</f>
        <v>1</v>
      </c>
      <c r="G19" s="601">
        <f ca="1">PioData!F32</f>
        <v>1</v>
      </c>
      <c r="H19" s="601">
        <f ca="1">PioData!G32</f>
        <v>1</v>
      </c>
      <c r="I19" s="601">
        <f ca="1">PioData!H32</f>
        <v>1</v>
      </c>
      <c r="J19" s="601">
        <f ca="1">PioData!I32</f>
        <v>1</v>
      </c>
      <c r="K19" s="601">
        <f ca="1">PioData!J32</f>
        <v>0</v>
      </c>
      <c r="L19" s="603">
        <f ca="1">PioData!K32</f>
        <v>1</v>
      </c>
      <c r="M19" s="606">
        <f ca="1">PioData!L32</f>
        <v>1</v>
      </c>
      <c r="N19"/>
    </row>
    <row r="20" spans="2:15" ht="15">
      <c r="B20" s="656" t="s">
        <v>716</v>
      </c>
      <c r="C20" s="600">
        <f ca="1">PioData!B33</f>
        <v>0</v>
      </c>
      <c r="D20" s="600">
        <f ca="1">PioData!C33</f>
        <v>1</v>
      </c>
      <c r="E20" s="600">
        <f ca="1">PioData!D33</f>
        <v>0</v>
      </c>
      <c r="F20" s="600">
        <f ca="1">PioData!E33</f>
        <v>0</v>
      </c>
      <c r="G20" s="600">
        <f ca="1">PioData!F33</f>
        <v>1</v>
      </c>
      <c r="H20" s="600">
        <f ca="1">PioData!G33</f>
        <v>0</v>
      </c>
      <c r="I20" s="600">
        <f ca="1">PioData!H33</f>
        <v>1</v>
      </c>
      <c r="J20" s="600">
        <f ca="1">PioData!I33</f>
        <v>0</v>
      </c>
      <c r="K20" s="600">
        <f ca="1">PioData!J33</f>
        <v>1</v>
      </c>
      <c r="L20" s="604">
        <f ca="1">PioData!K33</f>
        <v>0</v>
      </c>
      <c r="M20" s="607">
        <f ca="1">PioData!L33</f>
        <v>1</v>
      </c>
      <c r="N20"/>
    </row>
    <row r="21" spans="2:15" ht="15.75" thickBot="1">
      <c r="B21" s="657" t="s">
        <v>717</v>
      </c>
      <c r="C21" s="608">
        <f ca="1">PioData!B34</f>
        <v>0</v>
      </c>
      <c r="D21" s="609">
        <f ca="1">PioData!C34</f>
        <v>0</v>
      </c>
      <c r="E21" s="609">
        <f ca="1">PioData!D34</f>
        <v>0</v>
      </c>
      <c r="F21" s="609">
        <f ca="1">PioData!E34</f>
        <v>0</v>
      </c>
      <c r="G21" s="609">
        <f ca="1">PioData!F34</f>
        <v>0</v>
      </c>
      <c r="H21" s="609">
        <f ca="1">PioData!G34</f>
        <v>1</v>
      </c>
      <c r="I21" s="609">
        <f ca="1">PioData!H34</f>
        <v>1</v>
      </c>
      <c r="J21" s="609">
        <f ca="1">PioData!I34</f>
        <v>0</v>
      </c>
      <c r="K21" s="609">
        <f ca="1">PioData!J34</f>
        <v>1</v>
      </c>
      <c r="L21" s="610">
        <f ca="1">PioData!K34</f>
        <v>0</v>
      </c>
      <c r="M21" s="611">
        <f ca="1">PioData!L34</f>
        <v>1</v>
      </c>
      <c r="N21"/>
    </row>
    <row r="22" spans="2:15" ht="13.5" thickTop="1">
      <c r="N22"/>
    </row>
    <row r="23" spans="2:15">
      <c r="N23" s="113"/>
      <c r="O23" s="321"/>
    </row>
    <row r="24" spans="2:15" ht="18">
      <c r="B24" s="1102" t="s">
        <v>690</v>
      </c>
      <c r="C24" s="1103"/>
      <c r="D24" s="1103"/>
      <c r="E24" s="1103"/>
      <c r="F24" s="1103"/>
      <c r="G24" s="1103"/>
      <c r="H24" s="1103"/>
      <c r="I24" s="1103"/>
      <c r="J24" s="1103"/>
      <c r="K24" s="1103"/>
      <c r="L24" s="1103"/>
      <c r="M24" s="1104"/>
      <c r="N24" s="1010"/>
      <c r="O24" s="1010"/>
    </row>
    <row r="25" spans="2:15" ht="153" customHeight="1" outlineLevel="1">
      <c r="B25" s="1081" t="s">
        <v>691</v>
      </c>
      <c r="C25" s="1082"/>
      <c r="D25" s="1082"/>
      <c r="E25" s="1082"/>
      <c r="F25" s="1082"/>
      <c r="G25" s="1082"/>
      <c r="H25" s="1082"/>
      <c r="I25" s="1082"/>
      <c r="J25" s="1082"/>
      <c r="K25" s="1082"/>
      <c r="L25" s="1082"/>
      <c r="M25" s="1083"/>
      <c r="N25" s="1007"/>
      <c r="O25" s="1007"/>
    </row>
    <row r="26" spans="2:15" ht="20.25" customHeight="1" outlineLevel="1">
      <c r="B26" s="1084" t="s">
        <v>692</v>
      </c>
      <c r="C26" s="1085"/>
      <c r="D26" s="1085"/>
      <c r="E26" s="1085"/>
      <c r="F26" s="1085"/>
      <c r="G26" s="1085"/>
      <c r="H26" s="1085"/>
      <c r="I26" s="1085"/>
      <c r="J26" s="1085"/>
      <c r="K26" s="1085"/>
      <c r="L26" s="1085"/>
      <c r="M26" s="1086"/>
      <c r="N26" s="1008"/>
      <c r="O26" s="1008"/>
    </row>
    <row r="27" spans="2:15" ht="24" customHeight="1" outlineLevel="1">
      <c r="B27" s="1087" t="s">
        <v>707</v>
      </c>
      <c r="C27" s="1088"/>
      <c r="D27" s="1088"/>
      <c r="E27" s="1088"/>
      <c r="F27" s="1088"/>
      <c r="G27" s="1088"/>
      <c r="H27" s="1088"/>
      <c r="I27" s="1088"/>
      <c r="J27" s="1088"/>
      <c r="K27" s="1088"/>
      <c r="L27" s="1088"/>
      <c r="M27" s="1089"/>
      <c r="N27" s="1009"/>
      <c r="O27" s="1009"/>
    </row>
    <row r="28" spans="2:15" ht="33" customHeight="1" outlineLevel="1">
      <c r="B28" s="1084" t="s">
        <v>722</v>
      </c>
      <c r="C28" s="1085"/>
      <c r="D28" s="1085"/>
      <c r="E28" s="1085"/>
      <c r="F28" s="1085"/>
      <c r="G28" s="1085"/>
      <c r="H28" s="1085"/>
      <c r="I28" s="1085"/>
      <c r="J28" s="1085"/>
      <c r="K28" s="1085"/>
      <c r="L28" s="1085"/>
      <c r="M28" s="1086"/>
      <c r="N28" s="1008"/>
      <c r="O28" s="1008"/>
    </row>
    <row r="29" spans="2:15" ht="15" outlineLevel="1">
      <c r="B29" s="1090" t="s">
        <v>725</v>
      </c>
      <c r="C29" s="1091"/>
      <c r="D29" s="1091"/>
      <c r="E29" s="1091"/>
      <c r="F29" s="1091"/>
      <c r="G29" s="1091"/>
      <c r="H29" s="1091"/>
      <c r="I29" s="1091"/>
      <c r="J29" s="1091"/>
      <c r="K29" s="1091"/>
      <c r="L29" s="1091"/>
      <c r="M29" s="1092"/>
      <c r="N29" s="667"/>
      <c r="O29" s="667"/>
    </row>
    <row r="30" spans="2:15" ht="15" outlineLevel="1">
      <c r="B30" s="1090" t="s">
        <v>724</v>
      </c>
      <c r="C30" s="1091"/>
      <c r="D30" s="1091"/>
      <c r="E30" s="1091"/>
      <c r="F30" s="1091"/>
      <c r="G30" s="1091"/>
      <c r="H30" s="1091"/>
      <c r="I30" s="1091"/>
      <c r="J30" s="1091"/>
      <c r="K30" s="1091"/>
      <c r="L30" s="1091"/>
      <c r="M30" s="1092"/>
      <c r="N30" s="667"/>
      <c r="O30" s="667"/>
    </row>
    <row r="31" spans="2:15" ht="15" outlineLevel="1">
      <c r="B31" s="1090" t="s">
        <v>726</v>
      </c>
      <c r="C31" s="1091"/>
      <c r="D31" s="1091"/>
      <c r="E31" s="1091"/>
      <c r="F31" s="1091"/>
      <c r="G31" s="1091"/>
      <c r="H31" s="1091"/>
      <c r="I31" s="1091"/>
      <c r="J31" s="1091"/>
      <c r="K31" s="1091"/>
      <c r="L31" s="1091"/>
      <c r="M31" s="1092"/>
      <c r="N31" s="667"/>
      <c r="O31" s="667"/>
    </row>
    <row r="32" spans="2:15" ht="15" outlineLevel="1">
      <c r="B32" s="1090" t="s">
        <v>727</v>
      </c>
      <c r="C32" s="1091"/>
      <c r="D32" s="1091"/>
      <c r="E32" s="1091"/>
      <c r="F32" s="1091"/>
      <c r="G32" s="1091"/>
      <c r="H32" s="1091"/>
      <c r="I32" s="1091"/>
      <c r="J32" s="1091"/>
      <c r="K32" s="1091"/>
      <c r="L32" s="1091"/>
      <c r="M32" s="1092"/>
      <c r="N32" s="667"/>
      <c r="O32" s="667"/>
    </row>
    <row r="33" spans="2:22" ht="15" outlineLevel="1">
      <c r="B33" s="1099" t="s">
        <v>728</v>
      </c>
      <c r="C33" s="1100"/>
      <c r="D33" s="1100"/>
      <c r="E33" s="1100"/>
      <c r="F33" s="1100"/>
      <c r="G33" s="1100"/>
      <c r="H33" s="1100"/>
      <c r="I33" s="1100"/>
      <c r="J33" s="1100"/>
      <c r="K33" s="1100"/>
      <c r="L33" s="1100"/>
      <c r="M33" s="1101"/>
      <c r="N33" s="667"/>
      <c r="O33" s="667"/>
    </row>
    <row r="35" spans="2:22" ht="15">
      <c r="C35" s="1070" t="s">
        <v>693</v>
      </c>
      <c r="D35" s="1070"/>
      <c r="E35" s="1070"/>
      <c r="F35" s="1070"/>
      <c r="G35" s="1070"/>
      <c r="H35" s="1070"/>
      <c r="I35" s="1070"/>
      <c r="J35" s="1070"/>
      <c r="K35" s="1070"/>
      <c r="L35" s="1070"/>
      <c r="M35" s="670" t="s">
        <v>95</v>
      </c>
      <c r="N35" s="1070" t="s">
        <v>694</v>
      </c>
      <c r="O35" s="1070"/>
    </row>
    <row r="36" spans="2:22">
      <c r="C36" s="668" t="str">
        <f ca="1">AltmanData!C2</f>
        <v>2000/12</v>
      </c>
      <c r="D36" s="669" t="str">
        <f ca="1">AltmanData!D2</f>
        <v>2001/12</v>
      </c>
      <c r="E36" s="668" t="str">
        <f ca="1">AltmanData!E2</f>
        <v>2002/12</v>
      </c>
      <c r="F36" s="669" t="str">
        <f ca="1">AltmanData!F2</f>
        <v>2003/12</v>
      </c>
      <c r="G36" s="668" t="str">
        <f ca="1">AltmanData!G2</f>
        <v>2004/12</v>
      </c>
      <c r="H36" s="669" t="str">
        <f ca="1">AltmanData!H2</f>
        <v>2005/12</v>
      </c>
      <c r="I36" s="668" t="str">
        <f ca="1">AltmanData!I2</f>
        <v>2006/12</v>
      </c>
      <c r="J36" s="669" t="str">
        <f ca="1">AltmanData!J2</f>
        <v>2007/12</v>
      </c>
      <c r="K36" s="668" t="str">
        <f ca="1">AltmanData!K2</f>
        <v>2008/12</v>
      </c>
      <c r="L36" s="668" t="str">
        <f ca="1">AltmanData!L2</f>
        <v>2009/12</v>
      </c>
      <c r="M36" s="669" t="str">
        <f ca="1">AltmanData!M2</f>
        <v>2010/03</v>
      </c>
    </row>
    <row r="37" spans="2:22" ht="14.25" customHeight="1">
      <c r="B37" s="893" t="s">
        <v>676</v>
      </c>
      <c r="C37" s="627">
        <f ca="1">AltmanData!C18</f>
        <v>-2701</v>
      </c>
      <c r="D37" s="627">
        <f ca="1">AltmanData!D18</f>
        <v>-1258</v>
      </c>
      <c r="E37" s="627">
        <f ca="1">AltmanData!E18</f>
        <v>11</v>
      </c>
      <c r="F37" s="627">
        <f ca="1">AltmanData!F18</f>
        <v>510</v>
      </c>
      <c r="G37" s="627">
        <f ca="1">AltmanData!G18</f>
        <v>1123</v>
      </c>
      <c r="H37" s="627">
        <f ca="1">AltmanData!H18</f>
        <v>414</v>
      </c>
      <c r="I37" s="627">
        <f ca="1">AltmanData!I18</f>
        <v>-449</v>
      </c>
      <c r="J37" s="627">
        <f ca="1">AltmanData!J18</f>
        <v>-1120</v>
      </c>
      <c r="K37" s="627">
        <f ca="1">AltmanData!K18</f>
        <v>-812</v>
      </c>
      <c r="L37" s="627">
        <f ca="1">AltmanData!L18</f>
        <v>3830</v>
      </c>
      <c r="M37" s="627">
        <f ca="1">AltmanData!M18</f>
        <v>3625</v>
      </c>
      <c r="N37" s="1079"/>
      <c r="O37" s="1078"/>
    </row>
    <row r="38" spans="2:22" ht="14.25" customHeight="1">
      <c r="B38" s="894" t="s">
        <v>33</v>
      </c>
      <c r="C38" s="627">
        <f ca="1">AltmanData!C19</f>
        <v>20834</v>
      </c>
      <c r="D38" s="627">
        <f ca="1">AltmanData!D19</f>
        <v>22417</v>
      </c>
      <c r="E38" s="627">
        <f ca="1">AltmanData!E19</f>
        <v>24501</v>
      </c>
      <c r="F38" s="627">
        <f ca="1">AltmanData!F19</f>
        <v>27342</v>
      </c>
      <c r="G38" s="627">
        <f ca="1">AltmanData!G19</f>
        <v>31327</v>
      </c>
      <c r="H38" s="627">
        <f ca="1">AltmanData!H19</f>
        <v>29427</v>
      </c>
      <c r="I38" s="627">
        <f ca="1">AltmanData!I19</f>
        <v>29963</v>
      </c>
      <c r="J38" s="627">
        <f ca="1">AltmanData!J19</f>
        <v>43269</v>
      </c>
      <c r="K38" s="627">
        <f ca="1">AltmanData!K19</f>
        <v>40519</v>
      </c>
      <c r="L38" s="627">
        <f ca="1">AltmanData!L19</f>
        <v>48671</v>
      </c>
      <c r="M38" s="627">
        <f ca="1">AltmanData!M19</f>
        <v>47403</v>
      </c>
      <c r="N38" s="1079"/>
      <c r="O38" s="1078"/>
    </row>
    <row r="39" spans="2:22" ht="14.25" customHeight="1">
      <c r="B39" s="893" t="s">
        <v>1</v>
      </c>
      <c r="C39" s="627">
        <f ca="1">AltmanData!C20</f>
        <v>11518</v>
      </c>
      <c r="D39" s="627">
        <f ca="1">AltmanData!D20</f>
        <v>11051</v>
      </c>
      <c r="E39" s="627">
        <f ca="1">AltmanData!E20</f>
        <v>12701</v>
      </c>
      <c r="F39" s="627">
        <f ca="1">AltmanData!F20</f>
        <v>13252</v>
      </c>
      <c r="G39" s="627">
        <f ca="1">AltmanData!G20</f>
        <v>15392</v>
      </c>
      <c r="H39" s="627">
        <f ca="1">AltmanData!H20</f>
        <v>13072</v>
      </c>
      <c r="I39" s="627">
        <f ca="1">AltmanData!I20</f>
        <v>13043</v>
      </c>
      <c r="J39" s="627">
        <f ca="1">AltmanData!J20</f>
        <v>21525</v>
      </c>
      <c r="K39" s="627">
        <f ca="1">AltmanData!K20</f>
        <v>20047</v>
      </c>
      <c r="L39" s="627">
        <f ca="1">AltmanData!L20</f>
        <v>23872</v>
      </c>
      <c r="M39" s="627">
        <f ca="1">AltmanData!M20</f>
        <v>22531</v>
      </c>
      <c r="N39" s="1079"/>
      <c r="O39" s="1078"/>
      <c r="R39"/>
      <c r="S39"/>
      <c r="T39"/>
      <c r="U39"/>
      <c r="V39"/>
    </row>
    <row r="40" spans="2:22" ht="14.25" customHeight="1">
      <c r="B40" s="894" t="s">
        <v>674</v>
      </c>
      <c r="C40" s="627">
        <f ca="1">AltmanData!C21</f>
        <v>21265</v>
      </c>
      <c r="D40" s="627">
        <f ca="1">AltmanData!D21</f>
        <v>23443</v>
      </c>
      <c r="E40" s="627">
        <f ca="1">AltmanData!E21</f>
        <v>24506</v>
      </c>
      <c r="F40" s="627">
        <f ca="1">AltmanData!F21</f>
        <v>26687</v>
      </c>
      <c r="G40" s="627">
        <f ca="1">AltmanData!G21</f>
        <v>29105</v>
      </c>
      <c r="H40" s="627">
        <f ca="1">AltmanData!H21</f>
        <v>31299</v>
      </c>
      <c r="I40" s="627">
        <f ca="1">AltmanData!I21</f>
        <v>33468</v>
      </c>
      <c r="J40" s="627">
        <f ca="1">AltmanData!J21</f>
        <v>36235</v>
      </c>
      <c r="K40" s="627">
        <f ca="1">AltmanData!K21</f>
        <v>38513</v>
      </c>
      <c r="L40" s="627">
        <f ca="1">AltmanData!L21</f>
        <v>41537</v>
      </c>
      <c r="M40" s="627">
        <f ca="1">AltmanData!M21</f>
        <v>42136</v>
      </c>
      <c r="N40" s="1079"/>
      <c r="O40" s="1078"/>
      <c r="R40"/>
      <c r="S40"/>
      <c r="T40"/>
      <c r="U40"/>
      <c r="V40"/>
    </row>
    <row r="41" spans="2:22" ht="14.25" customHeight="1">
      <c r="B41" s="893" t="s">
        <v>122</v>
      </c>
      <c r="C41" s="627">
        <f ca="1">AltmanData!C22</f>
        <v>4464</v>
      </c>
      <c r="D41" s="627">
        <f ca="1">AltmanData!D22</f>
        <v>6155</v>
      </c>
      <c r="E41" s="627">
        <f ca="1">AltmanData!E22</f>
        <v>6264</v>
      </c>
      <c r="F41" s="627">
        <f ca="1">AltmanData!F22</f>
        <v>6071</v>
      </c>
      <c r="G41" s="627">
        <f ca="1">AltmanData!G22</f>
        <v>6591</v>
      </c>
      <c r="H41" s="627">
        <f ca="1">AltmanData!H22</f>
        <v>7017</v>
      </c>
      <c r="I41" s="627">
        <f ca="1">AltmanData!I22</f>
        <v>7246</v>
      </c>
      <c r="J41" s="627">
        <f ca="1">AltmanData!J22</f>
        <v>8415</v>
      </c>
      <c r="K41" s="627">
        <f ca="1">AltmanData!K22</f>
        <v>10024</v>
      </c>
      <c r="L41" s="627">
        <f ca="1">AltmanData!L22</f>
        <v>9780</v>
      </c>
      <c r="M41" s="627">
        <f ca="1">AltmanData!M22</f>
        <v>2574</v>
      </c>
      <c r="N41" s="1079"/>
      <c r="O41" s="1078"/>
      <c r="R41"/>
      <c r="S41"/>
      <c r="T41"/>
      <c r="U41"/>
      <c r="V41"/>
    </row>
    <row r="42" spans="2:22" ht="14.25" customHeight="1">
      <c r="B42" s="894" t="s">
        <v>677</v>
      </c>
      <c r="C42" s="627">
        <f ca="1">AltmanData!C23</f>
        <v>114176.56000000001</v>
      </c>
      <c r="D42" s="627">
        <f ca="1">AltmanData!D23</f>
        <v>88036.34199999999</v>
      </c>
      <c r="E42" s="627">
        <f ca="1">AltmanData!E23</f>
        <v>82481.98000000001</v>
      </c>
      <c r="F42" s="627">
        <f ca="1">AltmanData!F23</f>
        <v>105570.46</v>
      </c>
      <c r="G42" s="627">
        <f ca="1">AltmanData!G23</f>
        <v>88397.217000000004</v>
      </c>
      <c r="H42" s="627">
        <f ca="1">AltmanData!H23</f>
        <v>85118.17</v>
      </c>
      <c r="I42" s="627">
        <f ca="1">AltmanData!I23</f>
        <v>99952.159999999989</v>
      </c>
      <c r="J42" s="627">
        <f ca="1">AltmanData!J23</f>
        <v>125357.44</v>
      </c>
      <c r="K42" s="627">
        <f ca="1">AltmanData!K23</f>
        <v>96476.695999999996</v>
      </c>
      <c r="L42" s="627">
        <f ca="1">AltmanData!L23</f>
        <v>120890</v>
      </c>
      <c r="M42" s="627">
        <f ca="1">AltmanData!M23</f>
        <v>120890</v>
      </c>
      <c r="N42" s="1077"/>
      <c r="O42" s="1078"/>
      <c r="R42"/>
      <c r="S42"/>
      <c r="T42"/>
      <c r="U42"/>
      <c r="V42"/>
    </row>
    <row r="43" spans="2:22" ht="14.25" customHeight="1" thickBot="1">
      <c r="B43" s="895" t="s">
        <v>678</v>
      </c>
      <c r="C43" s="629">
        <f ca="1">AltmanData!C24</f>
        <v>20458</v>
      </c>
      <c r="D43" s="629">
        <f ca="1">AltmanData!D24</f>
        <v>20092</v>
      </c>
      <c r="E43" s="629">
        <f ca="1">AltmanData!E24</f>
        <v>19564</v>
      </c>
      <c r="F43" s="629">
        <f ca="1">AltmanData!F24</f>
        <v>21044</v>
      </c>
      <c r="G43" s="629">
        <f ca="1">AltmanData!G24</f>
        <v>21962</v>
      </c>
      <c r="H43" s="629">
        <f ca="1">AltmanData!H24</f>
        <v>23104</v>
      </c>
      <c r="I43" s="629">
        <f ca="1">AltmanData!I24</f>
        <v>24088</v>
      </c>
      <c r="J43" s="629">
        <f ca="1">AltmanData!J24</f>
        <v>28857</v>
      </c>
      <c r="K43" s="629">
        <f ca="1">AltmanData!K24</f>
        <v>31944</v>
      </c>
      <c r="L43" s="629">
        <f ca="1">AltmanData!L24</f>
        <v>30990</v>
      </c>
      <c r="M43" s="629">
        <f ca="1">AltmanData!M24</f>
        <v>7525</v>
      </c>
      <c r="N43" s="1068"/>
      <c r="O43" s="1069"/>
      <c r="R43"/>
      <c r="S43"/>
      <c r="T43"/>
      <c r="U43"/>
      <c r="V43"/>
    </row>
    <row r="44" spans="2:22" ht="13.5" thickTop="1">
      <c r="B44" s="658"/>
      <c r="C44" s="666"/>
      <c r="D44" s="666"/>
      <c r="E44" s="666"/>
      <c r="F44" s="666"/>
      <c r="G44" s="666"/>
      <c r="H44" s="666"/>
      <c r="I44" s="666"/>
      <c r="J44" s="666"/>
      <c r="K44" s="666"/>
      <c r="L44" s="666"/>
      <c r="M44" s="666"/>
      <c r="N44"/>
      <c r="O44"/>
      <c r="R44"/>
      <c r="S44"/>
      <c r="T44"/>
      <c r="U44"/>
      <c r="V44"/>
    </row>
    <row r="45" spans="2:22">
      <c r="B45" s="748" t="s">
        <v>729</v>
      </c>
      <c r="C45" s="675">
        <f ca="1">AltmanData!C48</f>
        <v>8.9091636751457948</v>
      </c>
      <c r="D45" s="675">
        <f ca="1">AltmanData!D48</f>
        <v>7.9780194544270184</v>
      </c>
      <c r="E45" s="675">
        <f ca="1">AltmanData!E48</f>
        <v>6.9386916386191606</v>
      </c>
      <c r="F45" s="675">
        <f ca="1">AltmanData!F48</f>
        <v>7.67029125775636</v>
      </c>
      <c r="G45" s="675">
        <f ca="1">AltmanData!G48</f>
        <v>6.1842081316861863</v>
      </c>
      <c r="H45" s="675">
        <f ca="1">AltmanData!H48</f>
        <v>6.9840802287429193</v>
      </c>
      <c r="I45" s="675">
        <f ca="1">AltmanData!I48</f>
        <v>7.7449195925146848</v>
      </c>
      <c r="J45" s="675">
        <f ca="1">AltmanData!J48</f>
        <v>5.9436737434458111</v>
      </c>
      <c r="K45" s="675">
        <f ca="1">AltmanData!K48</f>
        <v>5.7981264386627203</v>
      </c>
      <c r="L45" s="675">
        <f ca="1">AltmanData!L48</f>
        <v>5.6268713992312431</v>
      </c>
      <c r="M45" s="675">
        <f ca="1">AltmanData!M48</f>
        <v>4.8932863169328442</v>
      </c>
      <c r="N45"/>
      <c r="O45"/>
      <c r="R45"/>
      <c r="S45"/>
      <c r="T45"/>
      <c r="U45"/>
      <c r="V45"/>
    </row>
    <row r="46" spans="2:22" ht="13.5" thickBot="1">
      <c r="B46" s="749" t="s">
        <v>702</v>
      </c>
      <c r="C46" s="676">
        <f ca="1">AltmanData!C49</f>
        <v>14.32536356503687</v>
      </c>
      <c r="D46" s="676">
        <f ca="1">AltmanData!D49</f>
        <v>13.250858486519531</v>
      </c>
      <c r="E46" s="676">
        <f ca="1">AltmanData!E49</f>
        <v>11.800505437172529</v>
      </c>
      <c r="F46" s="676">
        <f ca="1">AltmanData!F49</f>
        <v>13.161068072809424</v>
      </c>
      <c r="G46" s="676">
        <f ca="1">AltmanData!G49</f>
        <v>10.707991915834043</v>
      </c>
      <c r="H46" s="676">
        <f ca="1">AltmanData!H49</f>
        <v>11.999152226174305</v>
      </c>
      <c r="I46" s="676">
        <f ca="1">AltmanData!I49</f>
        <v>13.214596637967013</v>
      </c>
      <c r="J46" s="676">
        <f ca="1">AltmanData!J49</f>
        <v>9.982146764635754</v>
      </c>
      <c r="K46" s="676">
        <f ca="1">AltmanData!K49</f>
        <v>9.6827560167897992</v>
      </c>
      <c r="L46" s="676">
        <f ca="1">AltmanData!L49</f>
        <v>9.9659993379213869</v>
      </c>
      <c r="M46" s="676">
        <f ca="1">AltmanData!M49</f>
        <v>9.3981034637627019</v>
      </c>
      <c r="N46"/>
      <c r="O46"/>
      <c r="R46"/>
      <c r="S46"/>
      <c r="T46"/>
      <c r="U46"/>
      <c r="V46"/>
    </row>
    <row r="47" spans="2:22" ht="13.5" thickTop="1">
      <c r="B47" s="658"/>
      <c r="C47" s="666"/>
      <c r="D47" s="666"/>
      <c r="E47" s="666"/>
      <c r="F47" s="666"/>
      <c r="G47" s="666"/>
      <c r="H47" s="666"/>
      <c r="I47" s="666"/>
      <c r="J47" s="666"/>
      <c r="K47" s="666"/>
      <c r="L47" s="666"/>
      <c r="M47" s="666"/>
      <c r="N47"/>
      <c r="O47"/>
      <c r="R47"/>
      <c r="S47"/>
      <c r="T47"/>
      <c r="U47"/>
      <c r="V47"/>
    </row>
    <row r="48" spans="2:22" ht="15">
      <c r="B48" s="658"/>
      <c r="C48" s="623"/>
      <c r="D48" s="623"/>
      <c r="E48" s="624"/>
      <c r="F48" s="1067" t="s">
        <v>690</v>
      </c>
      <c r="G48" s="1067"/>
      <c r="H48" s="1067"/>
      <c r="I48" s="1067"/>
      <c r="K48" s="1067" t="s">
        <v>702</v>
      </c>
      <c r="L48" s="1067"/>
      <c r="M48" s="1067"/>
      <c r="N48" s="1067"/>
      <c r="R48"/>
      <c r="S48"/>
      <c r="T48"/>
      <c r="U48"/>
      <c r="V48"/>
    </row>
    <row r="49" spans="2:14">
      <c r="B49" s="893" t="s">
        <v>696</v>
      </c>
      <c r="C49" s="625">
        <f ca="1">AltmanData!L33</f>
        <v>7.8691623348605952E-2</v>
      </c>
      <c r="D49" s="625">
        <f ca="1">AltmanData!M33</f>
        <v>7.6471953251903882E-2</v>
      </c>
      <c r="E49" s="624"/>
      <c r="F49" s="1080" t="s">
        <v>693</v>
      </c>
      <c r="G49" s="1080"/>
      <c r="H49" s="1080" t="s">
        <v>95</v>
      </c>
      <c r="I49" s="1080"/>
      <c r="K49" s="1080" t="s">
        <v>693</v>
      </c>
      <c r="L49" s="1080"/>
      <c r="M49" s="1080" t="s">
        <v>95</v>
      </c>
      <c r="N49" s="1080"/>
    </row>
    <row r="50" spans="2:14">
      <c r="B50" s="896" t="s">
        <v>697</v>
      </c>
      <c r="C50" s="626">
        <f ca="1">AltmanData!L34</f>
        <v>0.85342401019087344</v>
      </c>
      <c r="D50" s="626">
        <f ca="1">AltmanData!M34</f>
        <v>0.88888888888888884</v>
      </c>
      <c r="E50" s="624"/>
      <c r="F50" s="1071">
        <f ca="1">AltmanData!L48</f>
        <v>5.6268713992312431</v>
      </c>
      <c r="G50" s="1072"/>
      <c r="H50" s="1071">
        <f ca="1">AltmanData!M48</f>
        <v>4.8932863169328442</v>
      </c>
      <c r="I50" s="1072"/>
      <c r="K50" s="1096">
        <f ca="1">AltmanData!L49</f>
        <v>9.9659993379213869</v>
      </c>
      <c r="L50" s="1096"/>
      <c r="M50" s="1096">
        <f ca="1">AltmanData!M49</f>
        <v>9.3981034637627019</v>
      </c>
      <c r="N50" s="1096"/>
    </row>
    <row r="51" spans="2:14">
      <c r="B51" s="893" t="s">
        <v>698</v>
      </c>
      <c r="C51" s="625">
        <f ca="1">AltmanData!L35</f>
        <v>0.20094101210166218</v>
      </c>
      <c r="D51" s="625">
        <f ca="1">AltmanData!M35</f>
        <v>5.4300360736662237E-2</v>
      </c>
      <c r="E51" s="624"/>
      <c r="F51" s="1073"/>
      <c r="G51" s="1074"/>
      <c r="H51" s="1073"/>
      <c r="I51" s="1074"/>
      <c r="K51" s="1096"/>
      <c r="L51" s="1096"/>
      <c r="M51" s="1096"/>
      <c r="N51" s="1096"/>
    </row>
    <row r="52" spans="2:14">
      <c r="B52" s="896" t="s">
        <v>699</v>
      </c>
      <c r="C52" s="626">
        <f ca="1">AltmanData!L36</f>
        <v>5.0640918230562999</v>
      </c>
      <c r="D52" s="626">
        <f ca="1">AltmanData!M36</f>
        <v>5.3654964271448229</v>
      </c>
      <c r="E52" s="624"/>
      <c r="F52" s="1073"/>
      <c r="G52" s="1074"/>
      <c r="H52" s="1073"/>
      <c r="I52" s="1074"/>
      <c r="K52" s="1096"/>
      <c r="L52" s="1096"/>
      <c r="M52" s="1096"/>
      <c r="N52" s="1096"/>
    </row>
    <row r="53" spans="2:14" ht="13.5" thickBot="1">
      <c r="B53" s="895" t="s">
        <v>700</v>
      </c>
      <c r="C53" s="628">
        <f ca="1">AltmanData!L37</f>
        <v>0.63672412730373318</v>
      </c>
      <c r="D53" s="628">
        <f ca="1">AltmanData!M37</f>
        <v>0.15874522709533151</v>
      </c>
      <c r="E53" s="624"/>
      <c r="F53" s="1075"/>
      <c r="G53" s="1076"/>
      <c r="H53" s="1075"/>
      <c r="I53" s="1076"/>
      <c r="K53" s="1096"/>
      <c r="L53" s="1096"/>
      <c r="M53" s="1096"/>
      <c r="N53" s="1096"/>
    </row>
    <row r="54" spans="2:14" ht="13.5" thickTop="1"/>
    <row r="55" spans="2:14" ht="14.25" outlineLevel="1">
      <c r="B55" s="1114" t="s">
        <v>706</v>
      </c>
      <c r="C55" s="1115"/>
      <c r="D55" s="1115"/>
      <c r="E55" s="1115"/>
      <c r="F55" s="1115"/>
      <c r="G55" s="1115"/>
      <c r="H55" s="1115"/>
      <c r="I55" s="1115"/>
      <c r="J55" s="1115"/>
    </row>
    <row r="56" spans="2:14" ht="34.5" customHeight="1" outlineLevel="1">
      <c r="B56" s="1097" t="s">
        <v>718</v>
      </c>
      <c r="C56" s="1097"/>
      <c r="D56" s="1097"/>
      <c r="E56" s="1097"/>
      <c r="F56" s="1097"/>
      <c r="G56" s="1097"/>
      <c r="H56" s="1097"/>
      <c r="I56" s="1097"/>
      <c r="J56" s="1097"/>
      <c r="K56" s="1097"/>
      <c r="L56" s="1097"/>
      <c r="M56" s="1097"/>
      <c r="N56" s="1005"/>
    </row>
    <row r="57" spans="2:14" ht="20.25" customHeight="1" outlineLevel="1">
      <c r="B57" s="1098" t="s">
        <v>719</v>
      </c>
      <c r="C57" s="1098"/>
      <c r="D57" s="1098"/>
      <c r="E57" s="1098"/>
      <c r="F57" s="1098"/>
      <c r="G57" s="1098"/>
      <c r="H57" s="1098"/>
      <c r="I57" s="1098"/>
      <c r="J57" s="1098"/>
      <c r="K57" s="1098"/>
      <c r="L57" s="1098"/>
      <c r="M57" s="1098"/>
      <c r="N57" s="1006"/>
    </row>
    <row r="58" spans="2:14" ht="36.75" customHeight="1" outlineLevel="1">
      <c r="B58" s="1098" t="s">
        <v>720</v>
      </c>
      <c r="C58" s="1098"/>
      <c r="D58" s="1098"/>
      <c r="E58" s="1098"/>
      <c r="F58" s="1098"/>
      <c r="G58" s="1098"/>
      <c r="H58" s="1098"/>
      <c r="I58" s="1098"/>
      <c r="J58" s="1098"/>
      <c r="K58" s="1098"/>
      <c r="L58" s="1098"/>
      <c r="M58" s="1098"/>
      <c r="N58" s="1006"/>
    </row>
    <row r="59" spans="2:14" ht="34.5" customHeight="1" outlineLevel="1">
      <c r="B59" s="1097" t="s">
        <v>721</v>
      </c>
      <c r="C59" s="1097"/>
      <c r="D59" s="1097"/>
      <c r="E59" s="1097"/>
      <c r="F59" s="1097"/>
      <c r="G59" s="1097"/>
      <c r="H59" s="1097"/>
      <c r="I59" s="1097"/>
      <c r="J59" s="1097"/>
      <c r="K59" s="1097"/>
      <c r="L59" s="1097"/>
      <c r="M59" s="1097"/>
      <c r="N59" s="1005"/>
    </row>
    <row r="60" spans="2:14" ht="12.75" customHeight="1" outlineLevel="1">
      <c r="B60" s="1005"/>
      <c r="C60" s="1005"/>
      <c r="D60" s="1005"/>
      <c r="E60" s="1005"/>
      <c r="F60" s="1005"/>
      <c r="G60" s="1005"/>
      <c r="H60" s="1005"/>
      <c r="I60" s="1005"/>
      <c r="J60" s="1005"/>
      <c r="K60" s="1005"/>
      <c r="L60" s="1005"/>
      <c r="M60" s="1005"/>
      <c r="N60" s="1005"/>
    </row>
    <row r="61" spans="2:14" outlineLevel="1">
      <c r="B61" s="1065" t="s">
        <v>702</v>
      </c>
      <c r="C61" s="1066"/>
      <c r="D61" s="1066"/>
      <c r="E61" s="1066"/>
      <c r="F61" s="1066"/>
      <c r="G61" s="1066"/>
      <c r="H61" s="1066"/>
      <c r="I61" s="1066"/>
      <c r="J61" s="1066"/>
    </row>
    <row r="62" spans="2:14" ht="36" customHeight="1" outlineLevel="1">
      <c r="B62" s="1116" t="s">
        <v>703</v>
      </c>
      <c r="C62" s="1116"/>
      <c r="D62" s="1116"/>
      <c r="E62" s="1116"/>
      <c r="F62" s="1116"/>
      <c r="G62" s="1116"/>
      <c r="H62" s="1116"/>
      <c r="I62" s="1116"/>
      <c r="J62" s="1116"/>
      <c r="K62" s="1116"/>
      <c r="L62" s="1116"/>
      <c r="M62" s="1116"/>
      <c r="N62" s="1004"/>
    </row>
    <row r="63" spans="2:14" ht="34.5" customHeight="1" outlineLevel="1">
      <c r="B63" s="1116" t="s">
        <v>704</v>
      </c>
      <c r="C63" s="1116"/>
      <c r="D63" s="1116"/>
      <c r="E63" s="1116"/>
      <c r="F63" s="1116"/>
      <c r="G63" s="1116"/>
      <c r="H63" s="1116"/>
      <c r="I63" s="1116"/>
      <c r="J63" s="1116"/>
      <c r="K63" s="1116"/>
      <c r="L63" s="1116"/>
      <c r="M63" s="1116"/>
      <c r="N63" s="1004"/>
    </row>
    <row r="64" spans="2:14" ht="12.75" customHeight="1" outlineLevel="1">
      <c r="B64" s="1116" t="s">
        <v>705</v>
      </c>
      <c r="C64" s="1116"/>
      <c r="D64" s="1116"/>
      <c r="E64" s="1116"/>
      <c r="F64" s="1116"/>
      <c r="G64" s="1116"/>
      <c r="H64" s="1116"/>
      <c r="I64" s="1116"/>
      <c r="J64" s="1116"/>
      <c r="K64" s="1116"/>
      <c r="L64" s="1116"/>
      <c r="M64" s="1116"/>
      <c r="N64" s="1004"/>
    </row>
    <row r="66" spans="2:15" ht="17.25" customHeight="1">
      <c r="B66" s="1093" t="s">
        <v>822</v>
      </c>
      <c r="C66" s="1094"/>
      <c r="D66" s="1094"/>
      <c r="E66" s="1094"/>
      <c r="F66" s="1094"/>
      <c r="G66" s="1094"/>
      <c r="H66" s="1094"/>
      <c r="I66" s="1094"/>
      <c r="J66" s="1094"/>
      <c r="K66" s="1094"/>
      <c r="L66" s="1094"/>
      <c r="M66" s="1095"/>
    </row>
    <row r="67" spans="2:15" ht="178.5" customHeight="1" outlineLevel="1">
      <c r="B67" s="1105" t="s">
        <v>819</v>
      </c>
      <c r="C67" s="1106"/>
      <c r="D67" s="1106"/>
      <c r="E67" s="1106"/>
      <c r="F67" s="1106"/>
      <c r="G67" s="1106"/>
      <c r="H67" s="1106"/>
      <c r="I67" s="1106"/>
      <c r="J67" s="1106"/>
      <c r="K67" s="1106"/>
      <c r="L67" s="1106"/>
      <c r="M67" s="1107"/>
    </row>
    <row r="68" spans="2:15" ht="103.5" customHeight="1" outlineLevel="1">
      <c r="B68" s="1105" t="s">
        <v>820</v>
      </c>
      <c r="C68" s="1106"/>
      <c r="D68" s="1106"/>
      <c r="E68" s="1106"/>
      <c r="F68" s="1106"/>
      <c r="G68" s="1106"/>
      <c r="H68" s="1106"/>
      <c r="I68" s="1106"/>
      <c r="J68" s="1106"/>
      <c r="K68" s="1106"/>
      <c r="L68" s="1106"/>
      <c r="M68" s="1107"/>
    </row>
    <row r="69" spans="2:15" ht="86.25" customHeight="1" outlineLevel="1">
      <c r="B69" s="1108" t="s">
        <v>821</v>
      </c>
      <c r="C69" s="1109"/>
      <c r="D69" s="1109"/>
      <c r="E69" s="1109"/>
      <c r="F69" s="1109"/>
      <c r="G69" s="1109"/>
      <c r="H69" s="1109"/>
      <c r="I69" s="1109"/>
      <c r="J69" s="1109"/>
      <c r="K69" s="1109"/>
      <c r="L69" s="1109"/>
      <c r="M69" s="1110"/>
    </row>
    <row r="71" spans="2:15">
      <c r="C71" s="599">
        <f ca="1">BeneishData!B3</f>
        <v>2000</v>
      </c>
      <c r="D71" s="599">
        <f ca="1">BeneishData!C3</f>
        <v>2001</v>
      </c>
      <c r="E71" s="599">
        <f ca="1">BeneishData!D3</f>
        <v>2002</v>
      </c>
      <c r="F71" s="599">
        <f ca="1">BeneishData!E3</f>
        <v>2003</v>
      </c>
      <c r="G71" s="599">
        <f ca="1">BeneishData!F3</f>
        <v>2004</v>
      </c>
      <c r="H71" s="599">
        <f ca="1">BeneishData!G3</f>
        <v>2005</v>
      </c>
      <c r="I71" s="599">
        <f ca="1">BeneishData!H3</f>
        <v>2006</v>
      </c>
      <c r="J71" s="599">
        <f ca="1">BeneishData!I3</f>
        <v>2007</v>
      </c>
      <c r="K71" s="599">
        <f ca="1">BeneishData!J3</f>
        <v>2008</v>
      </c>
      <c r="L71" s="664">
        <f ca="1">BeneishData!K3</f>
        <v>2009</v>
      </c>
      <c r="M71" s="664" t="str">
        <f ca="1">BeneishData!L3</f>
        <v>TTM</v>
      </c>
      <c r="N71" s="321"/>
      <c r="O71" s="321"/>
    </row>
    <row r="72" spans="2:15" ht="15">
      <c r="B72" s="902" t="s">
        <v>825</v>
      </c>
      <c r="C72" s="900" t="s">
        <v>824</v>
      </c>
      <c r="D72" s="900">
        <f ca="1">BeneishData!C49</f>
        <v>-2.8587037160686544</v>
      </c>
      <c r="E72" s="900">
        <f ca="1">BeneishData!D49</f>
        <v>-2.7292049464284012</v>
      </c>
      <c r="F72" s="900">
        <f ca="1">BeneishData!E49</f>
        <v>-2.9041826412429814</v>
      </c>
      <c r="G72" s="900">
        <f ca="1">BeneishData!F49</f>
        <v>-2.9894530145967746</v>
      </c>
      <c r="H72" s="900">
        <f ca="1">BeneishData!G49</f>
        <v>-2.8311786033497195</v>
      </c>
      <c r="I72" s="900">
        <f ca="1">BeneishData!H49</f>
        <v>-2.7779207400320827</v>
      </c>
      <c r="J72" s="900">
        <f ca="1">BeneishData!I49</f>
        <v>-2.6453868022859939</v>
      </c>
      <c r="K72" s="900">
        <f ca="1">BeneishData!J49</f>
        <v>-3.019724729725858</v>
      </c>
      <c r="L72" s="900">
        <f ca="1">BeneishData!K49</f>
        <v>-2.7773939743593314</v>
      </c>
      <c r="M72" s="900">
        <f ca="1">BeneishData!L49</f>
        <v>-2.9409525997574733</v>
      </c>
    </row>
    <row r="73" spans="2:15" ht="15">
      <c r="B73" s="902" t="s">
        <v>826</v>
      </c>
      <c r="C73" s="900" t="s">
        <v>824</v>
      </c>
      <c r="D73" s="900">
        <f ca="1">BeneishData!C50</f>
        <v>-2.3734736335860882</v>
      </c>
      <c r="E73" s="900">
        <f ca="1">BeneishData!D50</f>
        <v>-2.4075827162389558</v>
      </c>
      <c r="F73" s="900">
        <f ca="1">BeneishData!E50</f>
        <v>-2.645672068482908</v>
      </c>
      <c r="G73" s="900">
        <f ca="1">BeneishData!F50</f>
        <v>-2.6886970907498746</v>
      </c>
      <c r="H73" s="900">
        <f ca="1">BeneishData!G50</f>
        <v>-2.6342106081542225</v>
      </c>
      <c r="I73" s="900">
        <f ca="1">BeneishData!H50</f>
        <v>-2.4422057571486615</v>
      </c>
      <c r="J73" s="900">
        <f ca="1">BeneishData!I50</f>
        <v>-2.3525868063672424</v>
      </c>
      <c r="K73" s="900">
        <f ca="1">BeneishData!J50</f>
        <v>-2.7661496449184177</v>
      </c>
      <c r="L73" s="900">
        <f ca="1">BeneishData!K50</f>
        <v>-2.4266991978492394</v>
      </c>
      <c r="M73" s="900">
        <f ca="1">BeneishData!L50</f>
        <v>-2.6454541841182744</v>
      </c>
    </row>
    <row r="74" spans="2:15">
      <c r="B74" s="321"/>
      <c r="C74" s="599"/>
      <c r="D74" s="599"/>
      <c r="E74" s="599"/>
      <c r="F74" s="599"/>
      <c r="G74" s="599"/>
      <c r="H74" s="599"/>
      <c r="I74" s="599"/>
      <c r="J74" s="599"/>
      <c r="K74" s="599"/>
      <c r="L74" s="664"/>
      <c r="M74" s="664"/>
    </row>
    <row r="75" spans="2:15">
      <c r="B75" s="897" t="s">
        <v>802</v>
      </c>
      <c r="C75" s="903">
        <f ca="1">BeneishData!C30</f>
        <v>1.0906561745396333</v>
      </c>
      <c r="D75" s="903">
        <f ca="1">BeneishData!D30</f>
        <v>1.1443116692026452</v>
      </c>
      <c r="E75" s="903">
        <f ca="1">BeneishData!E30</f>
        <v>0.9270111618438811</v>
      </c>
      <c r="F75" s="903">
        <f ca="1">BeneishData!F30</f>
        <v>0.99486051969858291</v>
      </c>
      <c r="G75" s="903">
        <f ca="1">BeneishData!G30</f>
        <v>0.99873477794039023</v>
      </c>
      <c r="H75" s="903">
        <f ca="1">BeneishData!H30</f>
        <v>1.0878213465721407</v>
      </c>
      <c r="I75" s="903">
        <f ca="1">BeneishData!I30</f>
        <v>1.0702829471462114</v>
      </c>
      <c r="J75" s="903">
        <f ca="1">BeneishData!J30</f>
        <v>0.84154024517279669</v>
      </c>
      <c r="K75" s="903">
        <f ca="1">BeneishData!K30</f>
        <v>1.2536203034489672</v>
      </c>
      <c r="L75" s="903">
        <f ca="1">BeneishData!L30</f>
        <v>0.97469981477147027</v>
      </c>
      <c r="M75" s="903">
        <f ca="1">BeneishData!M30</f>
        <v>0</v>
      </c>
    </row>
    <row r="76" spans="2:15">
      <c r="B76" s="898" t="s">
        <v>803</v>
      </c>
      <c r="C76" s="904">
        <f ca="1">BeneishData!C31</f>
        <v>0.99651135355707376</v>
      </c>
      <c r="D76" s="904">
        <f ca="1">BeneishData!D31</f>
        <v>1.0979076151780627</v>
      </c>
      <c r="E76" s="904">
        <f ca="1">BeneishData!E31</f>
        <v>1.0089981010821329</v>
      </c>
      <c r="F76" s="904">
        <f ca="1">BeneishData!F31</f>
        <v>0.96770449341364828</v>
      </c>
      <c r="G76" s="904">
        <f ca="1">BeneishData!G31</f>
        <v>1.0107205276531495</v>
      </c>
      <c r="H76" s="904">
        <f ca="1">BeneishData!H31</f>
        <v>0.97613506173019904</v>
      </c>
      <c r="I76" s="904">
        <f ca="1">BeneishData!I31</f>
        <v>1.0339099075254947</v>
      </c>
      <c r="J76" s="904">
        <f ca="1">BeneishData!J31</f>
        <v>0.99294166569840336</v>
      </c>
      <c r="K76" s="904">
        <f ca="1">BeneishData!K31</f>
        <v>1.0026973077169037</v>
      </c>
      <c r="L76" s="904">
        <f ca="1">BeneishData!L31</f>
        <v>0.99131460827507822</v>
      </c>
      <c r="M76" s="904">
        <f ca="1">BeneishData!M31</f>
        <v>0</v>
      </c>
    </row>
    <row r="77" spans="2:15">
      <c r="B77" s="897" t="s">
        <v>804</v>
      </c>
      <c r="C77" s="903">
        <f ca="1">BeneishData!C32</f>
        <v>0.99849103811542161</v>
      </c>
      <c r="D77" s="903">
        <f ca="1">BeneishData!D32</f>
        <v>0.95266570690763419</v>
      </c>
      <c r="E77" s="903">
        <f ca="1">BeneishData!E32</f>
        <v>1.0245515925054898</v>
      </c>
      <c r="F77" s="903">
        <f ca="1">BeneishData!F32</f>
        <v>0.89269603460789637</v>
      </c>
      <c r="G77" s="903">
        <f ca="1">BeneishData!G32</f>
        <v>1.0847367776320964</v>
      </c>
      <c r="H77" s="903">
        <f ca="1">BeneishData!H32</f>
        <v>1.0721741964318909</v>
      </c>
      <c r="I77" s="903">
        <f ca="1">BeneishData!I32</f>
        <v>1.0738940765697627</v>
      </c>
      <c r="J77" s="903">
        <f ca="1">BeneishData!J32</f>
        <v>0.94285835083623526</v>
      </c>
      <c r="K77" s="903">
        <f ca="1">BeneishData!K32</f>
        <v>0.89663992403112447</v>
      </c>
      <c r="L77" s="903">
        <f ca="1">BeneishData!L32</f>
        <v>1.0076993249911563</v>
      </c>
      <c r="M77" s="903">
        <f ca="1">BeneishData!M32</f>
        <v>0</v>
      </c>
    </row>
    <row r="78" spans="2:15">
      <c r="B78" s="898" t="s">
        <v>805</v>
      </c>
      <c r="C78" s="904">
        <f ca="1">BeneishData!C33</f>
        <v>0.9821096881415583</v>
      </c>
      <c r="D78" s="904">
        <f ca="1">BeneishData!D33</f>
        <v>0.97372088393390399</v>
      </c>
      <c r="E78" s="904">
        <f ca="1">BeneishData!E33</f>
        <v>1.0756491515027602</v>
      </c>
      <c r="F78" s="904">
        <f ca="1">BeneishData!F33</f>
        <v>1.043622885383007</v>
      </c>
      <c r="G78" s="904">
        <f ca="1">BeneishData!G33</f>
        <v>1.0519989072033513</v>
      </c>
      <c r="H78" s="904">
        <f ca="1">BeneishData!H33</f>
        <v>1.0425900277008311</v>
      </c>
      <c r="I78" s="904">
        <f ca="1">BeneishData!I33</f>
        <v>1.1979823978744604</v>
      </c>
      <c r="J78" s="904">
        <f ca="1">BeneishData!J33</f>
        <v>1.1069757771078075</v>
      </c>
      <c r="K78" s="904">
        <f ca="1">BeneishData!K33</f>
        <v>0.97013523666416224</v>
      </c>
      <c r="L78" s="904">
        <f ca="1">BeneishData!L33</f>
        <v>1.011487576637625</v>
      </c>
      <c r="M78" s="904">
        <f ca="1">BeneishData!M33</f>
        <v>0</v>
      </c>
    </row>
    <row r="79" spans="2:15">
      <c r="B79" s="897" t="s">
        <v>806</v>
      </c>
      <c r="C79" s="903">
        <f ca="1">BeneishData!C34</f>
        <v>1.0240105977810896</v>
      </c>
      <c r="D79" s="903">
        <f ca="1">BeneishData!D34</f>
        <v>1.2732113316790739</v>
      </c>
      <c r="E79" s="903">
        <f ca="1">BeneishData!E34</f>
        <v>0.98070427098932467</v>
      </c>
      <c r="F79" s="903">
        <f ca="1">BeneishData!F34</f>
        <v>0.9569172833311117</v>
      </c>
      <c r="G79" s="903">
        <f ca="1">BeneishData!G34</f>
        <v>0.9216612219714958</v>
      </c>
      <c r="H79" s="903">
        <f ca="1">BeneishData!H34</f>
        <v>1.1596969856624249</v>
      </c>
      <c r="I79" s="903">
        <f ca="1">BeneishData!I34</f>
        <v>0.99322793750204919</v>
      </c>
      <c r="J79" s="903">
        <f ca="1">BeneishData!J34</f>
        <v>0.93706416020553285</v>
      </c>
      <c r="K79" s="903">
        <f ca="1">BeneishData!K34</f>
        <v>1.1227879950653517</v>
      </c>
      <c r="L79" s="903">
        <f ca="1">BeneishData!L34</f>
        <v>0.9433282749481694</v>
      </c>
      <c r="M79" s="903">
        <f ca="1">BeneishData!M34</f>
        <v>0</v>
      </c>
    </row>
    <row r="80" spans="2:15">
      <c r="B80" s="898" t="s">
        <v>807</v>
      </c>
      <c r="C80" s="904">
        <f ca="1">BeneishData!C35</f>
        <v>0.83824747918544684</v>
      </c>
      <c r="D80" s="904">
        <f ca="1">BeneishData!D35</f>
        <v>0.82681064971672236</v>
      </c>
      <c r="E80" s="904">
        <f ca="1">BeneishData!E35</f>
        <v>1.0704298332377695</v>
      </c>
      <c r="F80" s="904">
        <f ca="1">BeneishData!F35</f>
        <v>1.0253613393033389</v>
      </c>
      <c r="G80" s="904">
        <f ca="1">BeneishData!G35</f>
        <v>0.97239061126157911</v>
      </c>
      <c r="H80" s="904">
        <f ca="1">BeneishData!H35</f>
        <v>1.0452384773509522</v>
      </c>
      <c r="I80" s="904">
        <f ca="1">BeneishData!I35</f>
        <v>0.97215240081376664</v>
      </c>
      <c r="J80" s="904">
        <f ca="1">BeneishData!J35</f>
        <v>0.94974424168091098</v>
      </c>
      <c r="K80" s="904">
        <f ca="1">BeneishData!K35</f>
        <v>0.99436436889591007</v>
      </c>
      <c r="L80" s="904">
        <f ca="1">BeneishData!L35</f>
        <v>0.98768540781757008</v>
      </c>
      <c r="M80" s="904">
        <f ca="1">BeneishData!M35</f>
        <v>0</v>
      </c>
    </row>
    <row r="81" spans="2:13">
      <c r="B81" s="897" t="s">
        <v>808</v>
      </c>
      <c r="C81" s="903">
        <f ca="1">BeneishData!C36</f>
        <v>-5.843779274657626E-3</v>
      </c>
      <c r="D81" s="903">
        <f ca="1">BeneishData!D36</f>
        <v>-3.1264030039590218E-2</v>
      </c>
      <c r="E81" s="903">
        <f ca="1">BeneishData!E36</f>
        <v>-4.0560310145563605E-2</v>
      </c>
      <c r="F81" s="903">
        <f ca="1">BeneishData!F36</f>
        <v>-3.5783828646215723E-2</v>
      </c>
      <c r="G81" s="903">
        <f ca="1">BeneishData!G36</f>
        <v>-5.2706697930472016E-2</v>
      </c>
      <c r="H81" s="903">
        <f ca="1">BeneishData!H36</f>
        <v>-2.9269432299836466E-2</v>
      </c>
      <c r="I81" s="903">
        <f ca="1">BeneishData!I36</f>
        <v>-2.7017032979731449E-2</v>
      </c>
      <c r="J81" s="903">
        <f ca="1">BeneishData!J36</f>
        <v>-4.353513166662553E-2</v>
      </c>
      <c r="K81" s="903">
        <f ca="1">BeneishData!K36</f>
        <v>-2.7983809660783628E-2</v>
      </c>
      <c r="L81" s="903">
        <f ca="1">BeneishData!L36</f>
        <v>-3.2424108178807247E-2</v>
      </c>
      <c r="M81" s="903">
        <f ca="1">BeneishData!M36</f>
        <v>0</v>
      </c>
    </row>
    <row r="82" spans="2:13" ht="13.5" thickBot="1">
      <c r="B82" s="899" t="s">
        <v>809</v>
      </c>
      <c r="C82" s="905">
        <f ca="1">BeneishData!C37</f>
        <v>0.88289645003177719</v>
      </c>
      <c r="D82" s="905">
        <f ca="1">BeneishData!D37</f>
        <v>0.95230618231103437</v>
      </c>
      <c r="E82" s="905">
        <f ca="1">BeneishData!E37</f>
        <v>0.92830761449268784</v>
      </c>
      <c r="F82" s="905">
        <f ca="1">BeneishData!F37</f>
        <v>1.0175179086405806</v>
      </c>
      <c r="G82" s="905">
        <f ca="1">BeneishData!G37</f>
        <v>0.96467566245275982</v>
      </c>
      <c r="H82" s="905">
        <f ca="1">BeneishData!H37</f>
        <v>0.91187110144367611</v>
      </c>
      <c r="I82" s="905">
        <f ca="1">BeneishData!I37</f>
        <v>1.1198879428563453</v>
      </c>
      <c r="J82" s="905">
        <f ca="1">BeneishData!J37</f>
        <v>1.0204358552615591</v>
      </c>
      <c r="K82" s="905">
        <f ca="1">BeneishData!K37</f>
        <v>0.99147069874444549</v>
      </c>
      <c r="L82" s="905">
        <f ca="1">BeneishData!L37</f>
        <v>0.98421416464903821</v>
      </c>
      <c r="M82" s="905">
        <f ca="1">BeneishData!M37</f>
        <v>0</v>
      </c>
    </row>
    <row r="83" spans="2:13" ht="13.5" thickTop="1"/>
  </sheetData>
  <mergeCells count="44">
    <mergeCell ref="B66:M66"/>
    <mergeCell ref="B67:M67"/>
    <mergeCell ref="B68:M68"/>
    <mergeCell ref="B69:M69"/>
    <mergeCell ref="B8:M8"/>
    <mergeCell ref="B55:J55"/>
    <mergeCell ref="H49:I49"/>
    <mergeCell ref="B62:M62"/>
    <mergeCell ref="B63:M63"/>
    <mergeCell ref="B64:M64"/>
    <mergeCell ref="B56:M56"/>
    <mergeCell ref="B57:M57"/>
    <mergeCell ref="B58:M58"/>
    <mergeCell ref="B59:M59"/>
    <mergeCell ref="B33:M33"/>
    <mergeCell ref="B24:M24"/>
    <mergeCell ref="B7:M7"/>
    <mergeCell ref="K49:L49"/>
    <mergeCell ref="M49:N49"/>
    <mergeCell ref="K50:L53"/>
    <mergeCell ref="M50:N53"/>
    <mergeCell ref="B30:M30"/>
    <mergeCell ref="B31:M31"/>
    <mergeCell ref="B32:M32"/>
    <mergeCell ref="N39:O39"/>
    <mergeCell ref="N40:O40"/>
    <mergeCell ref="N37:O37"/>
    <mergeCell ref="N41:O41"/>
    <mergeCell ref="B25:M25"/>
    <mergeCell ref="B26:M26"/>
    <mergeCell ref="B27:M27"/>
    <mergeCell ref="B28:M28"/>
    <mergeCell ref="B29:M29"/>
    <mergeCell ref="N35:O35"/>
    <mergeCell ref="B61:J61"/>
    <mergeCell ref="F48:I48"/>
    <mergeCell ref="N43:O43"/>
    <mergeCell ref="C35:L35"/>
    <mergeCell ref="F50:G53"/>
    <mergeCell ref="H50:I53"/>
    <mergeCell ref="N42:O42"/>
    <mergeCell ref="N38:O38"/>
    <mergeCell ref="K48:N48"/>
    <mergeCell ref="F49:G49"/>
  </mergeCells>
  <conditionalFormatting sqref="C13:M21">
    <cfRule type="expression" dxfId="60" priority="36" stopIfTrue="1">
      <formula>C$11="N/A"</formula>
    </cfRule>
  </conditionalFormatting>
  <conditionalFormatting sqref="D11">
    <cfRule type="expression" dxfId="59" priority="34" stopIfTrue="1">
      <formula>D$11&lt;C$11</formula>
    </cfRule>
    <cfRule type="expression" dxfId="58" priority="35" stopIfTrue="1">
      <formula>D$11&gt;C$11</formula>
    </cfRule>
  </conditionalFormatting>
  <conditionalFormatting sqref="E11:N11">
    <cfRule type="expression" dxfId="57" priority="32" stopIfTrue="1">
      <formula>E$11&lt;D$11</formula>
    </cfRule>
    <cfRule type="expression" dxfId="56" priority="33" stopIfTrue="1">
      <formula>E$11&gt;D$11</formula>
    </cfRule>
  </conditionalFormatting>
  <conditionalFormatting sqref="F50 H50">
    <cfRule type="cellIs" dxfId="55" priority="28" stopIfTrue="1" operator="lessThan">
      <formula>1.8</formula>
    </cfRule>
    <cfRule type="cellIs" dxfId="54" priority="29" stopIfTrue="1" operator="between">
      <formula>1.8</formula>
      <formula>2.6999</formula>
    </cfRule>
    <cfRule type="cellIs" dxfId="53" priority="30" stopIfTrue="1" operator="between">
      <formula>2.7</formula>
      <formula>2.99999</formula>
    </cfRule>
    <cfRule type="cellIs" dxfId="29" priority="31" stopIfTrue="1" operator="greaterThanOrEqual">
      <formula>3</formula>
    </cfRule>
  </conditionalFormatting>
  <conditionalFormatting sqref="K50:N53">
    <cfRule type="cellIs" dxfId="52" priority="21" stopIfTrue="1" operator="lessThan">
      <formula>1.1</formula>
    </cfRule>
    <cfRule type="cellIs" dxfId="51" priority="22" stopIfTrue="1" operator="between">
      <formula>1.1</formula>
      <formula>2.5999</formula>
    </cfRule>
    <cfRule type="cellIs" dxfId="50" priority="23" stopIfTrue="1" operator="greaterThanOrEqual">
      <formula>2.6</formula>
    </cfRule>
  </conditionalFormatting>
  <conditionalFormatting sqref="M72">
    <cfRule type="expression" dxfId="49" priority="12" stopIfTrue="1">
      <formula>M72="NA"</formula>
    </cfRule>
    <cfRule type="expression" dxfId="48" priority="19" stopIfTrue="1">
      <formula>M72&lt;-2.22</formula>
    </cfRule>
    <cfRule type="expression" dxfId="47" priority="20" stopIfTrue="1">
      <formula>M72&gt;-2.22</formula>
    </cfRule>
  </conditionalFormatting>
  <conditionalFormatting sqref="M73">
    <cfRule type="expression" dxfId="46" priority="17" stopIfTrue="1">
      <formula>M73&lt;-2.22</formula>
    </cfRule>
    <cfRule type="expression" dxfId="45" priority="18" stopIfTrue="1">
      <formula>M73&gt;-2.22</formula>
    </cfRule>
  </conditionalFormatting>
  <conditionalFormatting sqref="C72:L72">
    <cfRule type="expression" dxfId="44" priority="15" stopIfTrue="1">
      <formula>C72&lt;-2.22</formula>
    </cfRule>
    <cfRule type="expression" dxfId="43" priority="16" stopIfTrue="1">
      <formula>C72&gt;-2.22</formula>
    </cfRule>
  </conditionalFormatting>
  <conditionalFormatting sqref="C73:L73">
    <cfRule type="expression" dxfId="42" priority="13" stopIfTrue="1">
      <formula>C73&lt;-2.22</formula>
    </cfRule>
    <cfRule type="expression" dxfId="41" priority="14" stopIfTrue="1">
      <formula>C73&gt;-2.22</formula>
    </cfRule>
  </conditionalFormatting>
  <conditionalFormatting sqref="C72:L72">
    <cfRule type="expression" dxfId="40" priority="9" stopIfTrue="1">
      <formula>C72="NA"</formula>
    </cfRule>
    <cfRule type="expression" dxfId="39" priority="10" stopIfTrue="1">
      <formula>C72&lt;-2.22</formula>
    </cfRule>
    <cfRule type="expression" dxfId="38" priority="11" stopIfTrue="1">
      <formula>C72&gt;-2.22</formula>
    </cfRule>
  </conditionalFormatting>
  <conditionalFormatting sqref="C73:L73">
    <cfRule type="expression" dxfId="37" priority="7" stopIfTrue="1">
      <formula>C73&lt;-2.22</formula>
    </cfRule>
    <cfRule type="expression" dxfId="36" priority="8" stopIfTrue="1">
      <formula>C73&gt;-2.22</formula>
    </cfRule>
  </conditionalFormatting>
  <conditionalFormatting sqref="C73:L73">
    <cfRule type="expression" dxfId="35" priority="4" stopIfTrue="1">
      <formula>C73="NA"</formula>
    </cfRule>
    <cfRule type="expression" dxfId="34" priority="5" stopIfTrue="1">
      <formula>C73&lt;-2.22</formula>
    </cfRule>
    <cfRule type="expression" dxfId="33" priority="6" stopIfTrue="1">
      <formula>C73&gt;-2.22</formula>
    </cfRule>
  </conditionalFormatting>
  <conditionalFormatting sqref="M73">
    <cfRule type="expression" dxfId="32" priority="1" stopIfTrue="1">
      <formula>M73="NA"</formula>
    </cfRule>
    <cfRule type="expression" dxfId="31" priority="2" stopIfTrue="1">
      <formula>M73&lt;-2.22</formula>
    </cfRule>
    <cfRule type="expression" dxfId="30" priority="3" stopIfTrue="1">
      <formula>M73&gt;-2.22</formula>
    </cfRule>
  </conditionalFormatting>
  <pageMargins left="0.25" right="0.25" top="0.25" bottom="0.25" header="0.3" footer="0.3"/>
  <pageSetup scale="53" orientation="portrait" horizontalDpi="0" verticalDpi="0" r:id="rId1"/>
  <rowBreaks count="1" manualBreakCount="1">
    <brk id="54" max="14" man="1"/>
  </rowBreaks>
  <drawing r:id="rId2"/>
</worksheet>
</file>

<file path=xl/worksheets/sheet14.xml><?xml version="1.0" encoding="utf-8"?>
<worksheet xmlns="http://schemas.openxmlformats.org/spreadsheetml/2006/main" xmlns:r="http://schemas.openxmlformats.org/officeDocument/2006/relationships">
  <sheetPr codeName="Sheet25"/>
  <dimension ref="A1:L35"/>
  <sheetViews>
    <sheetView zoomScale="75" zoomScaleNormal="75" workbookViewId="0">
      <selection activeCell="B22" sqref="B22"/>
    </sheetView>
  </sheetViews>
  <sheetFormatPr defaultRowHeight="12.75"/>
  <cols>
    <col min="1" max="1" width="28.85546875" bestFit="1" customWidth="1"/>
    <col min="2" max="12" width="11.85546875" customWidth="1"/>
  </cols>
  <sheetData>
    <row r="1" spans="1:12" ht="25.5" customHeight="1">
      <c r="A1" s="173"/>
      <c r="B1" s="548">
        <f ca="1">Statements!E5</f>
        <v>2000</v>
      </c>
      <c r="C1" s="548">
        <f ca="1">Statements!F5</f>
        <v>2001</v>
      </c>
      <c r="D1" s="548">
        <f ca="1">Statements!G5</f>
        <v>2002</v>
      </c>
      <c r="E1" s="548">
        <f ca="1">Statements!H5</f>
        <v>2003</v>
      </c>
      <c r="F1" s="548">
        <f ca="1">Statements!I5</f>
        <v>2004</v>
      </c>
      <c r="G1" s="548">
        <f ca="1">Statements!J5</f>
        <v>2005</v>
      </c>
      <c r="H1" s="548">
        <f ca="1">Statements!K5</f>
        <v>2006</v>
      </c>
      <c r="I1" s="548">
        <f ca="1">Statements!L5</f>
        <v>2007</v>
      </c>
      <c r="J1" s="548">
        <f ca="1">Statements!M5</f>
        <v>2008</v>
      </c>
      <c r="K1" s="548">
        <f ca="1">Statements!N5</f>
        <v>2009</v>
      </c>
      <c r="L1" s="548" t="str">
        <f ca="1">Statements!S5</f>
        <v>TTM</v>
      </c>
    </row>
    <row r="2" spans="1:12">
      <c r="A2" s="173" t="s">
        <v>22</v>
      </c>
      <c r="B2" s="550">
        <f ca="1">Statements!E31</f>
        <v>2177</v>
      </c>
      <c r="C2" s="550">
        <f ca="1">Statements!F31</f>
        <v>3969</v>
      </c>
      <c r="D2" s="550">
        <f ca="1">Statements!G31</f>
        <v>3050</v>
      </c>
      <c r="E2" s="550">
        <f ca="1">Statements!H31</f>
        <v>4347</v>
      </c>
      <c r="F2" s="550">
        <f ca="1">Statements!I31</f>
        <v>4847</v>
      </c>
      <c r="G2" s="550">
        <f ca="1">Statements!J31</f>
        <v>4872</v>
      </c>
      <c r="H2" s="550">
        <f ca="1">Statements!K31</f>
        <v>5080</v>
      </c>
      <c r="I2" s="550">
        <f ca="1">Statements!L31</f>
        <v>5981</v>
      </c>
      <c r="J2" s="550">
        <f ca="1">Statements!M31</f>
        <v>5807</v>
      </c>
      <c r="K2" s="550">
        <f ca="1">Statements!N31</f>
        <v>6824</v>
      </c>
      <c r="L2" s="550">
        <f ca="1">Statements!S31</f>
        <v>7102</v>
      </c>
    </row>
    <row r="3" spans="1:12">
      <c r="A3" s="173" t="s">
        <v>33</v>
      </c>
      <c r="B3" s="550">
        <f ca="1">Statements!E52</f>
        <v>20834</v>
      </c>
      <c r="C3" s="550">
        <f ca="1">Statements!F52</f>
        <v>22417</v>
      </c>
      <c r="D3" s="550">
        <f ca="1">Statements!G52</f>
        <v>24501</v>
      </c>
      <c r="E3" s="550">
        <f ca="1">Statements!H52</f>
        <v>27342</v>
      </c>
      <c r="F3" s="550">
        <f ca="1">Statements!I52</f>
        <v>31327</v>
      </c>
      <c r="G3" s="550">
        <f ca="1">Statements!J52</f>
        <v>29427</v>
      </c>
      <c r="H3" s="550">
        <f ca="1">Statements!K52</f>
        <v>29963</v>
      </c>
      <c r="I3" s="550">
        <f ca="1">Statements!L52</f>
        <v>43269</v>
      </c>
      <c r="J3" s="550">
        <f ca="1">Statements!M52</f>
        <v>40519</v>
      </c>
      <c r="K3" s="550">
        <f ca="1">Statements!N52</f>
        <v>48671</v>
      </c>
      <c r="L3" s="550">
        <f ca="1">Statements!S52</f>
        <v>47403</v>
      </c>
    </row>
    <row r="4" spans="1:12" ht="15">
      <c r="A4" s="547" t="s">
        <v>458</v>
      </c>
      <c r="B4" s="552">
        <f t="shared" ref="B4:L4" ca="1" si="0">IF(B3=0,"NA",B2/B3)</f>
        <v>0.10449265623500048</v>
      </c>
      <c r="C4" s="552">
        <f t="shared" ca="1" si="0"/>
        <v>0.17705312932149708</v>
      </c>
      <c r="D4" s="552">
        <f t="shared" ca="1" si="0"/>
        <v>0.12448471490959552</v>
      </c>
      <c r="E4" s="552">
        <f t="shared" ca="1" si="0"/>
        <v>0.15898617511520738</v>
      </c>
      <c r="F4" s="552">
        <f t="shared" ca="1" si="0"/>
        <v>0.15472276311169278</v>
      </c>
      <c r="G4" s="552">
        <f t="shared" ca="1" si="0"/>
        <v>0.16556223876032217</v>
      </c>
      <c r="H4" s="552">
        <f t="shared" ca="1" si="0"/>
        <v>0.16954243567066049</v>
      </c>
      <c r="I4" s="552">
        <f t="shared" ca="1" si="0"/>
        <v>0.13822829277311702</v>
      </c>
      <c r="J4" s="552">
        <f t="shared" ca="1" si="0"/>
        <v>0.14331548162590391</v>
      </c>
      <c r="K4" s="552">
        <f t="shared" ca="1" si="0"/>
        <v>0.14020669392451357</v>
      </c>
      <c r="L4" s="552">
        <f t="shared" ca="1" si="0"/>
        <v>0.14982174124000591</v>
      </c>
    </row>
    <row r="5" spans="1:12">
      <c r="A5" s="218"/>
      <c r="B5" s="218"/>
      <c r="C5" s="218"/>
      <c r="D5" s="218"/>
      <c r="E5" s="218"/>
      <c r="F5" s="550"/>
      <c r="G5" s="550"/>
      <c r="H5" s="550"/>
      <c r="I5" s="550"/>
      <c r="J5" s="549"/>
      <c r="K5" s="549"/>
      <c r="L5" s="549"/>
    </row>
    <row r="6" spans="1:12" ht="15">
      <c r="A6" s="553" t="s">
        <v>46</v>
      </c>
      <c r="B6" s="556">
        <f ca="1">Statements!E72</f>
        <v>3585</v>
      </c>
      <c r="C6" s="556">
        <f ca="1">Statements!F72</f>
        <v>4110</v>
      </c>
      <c r="D6" s="556">
        <f ca="1">Statements!G72</f>
        <v>4742</v>
      </c>
      <c r="E6" s="556">
        <f ca="1">Statements!H72</f>
        <v>5456</v>
      </c>
      <c r="F6" s="556">
        <f ca="1">Statements!I72</f>
        <v>5968</v>
      </c>
      <c r="G6" s="556">
        <f ca="1">Statements!J72</f>
        <v>6423</v>
      </c>
      <c r="H6" s="556">
        <f ca="1">Statements!K72</f>
        <v>5957</v>
      </c>
      <c r="I6" s="556">
        <f ca="1">Statements!L72</f>
        <v>7150</v>
      </c>
      <c r="J6" s="556">
        <f ca="1">Statements!M72</f>
        <v>7571</v>
      </c>
      <c r="K6" s="556">
        <f ca="1">Statements!N72</f>
        <v>8186</v>
      </c>
      <c r="L6" s="556">
        <f ca="1">Statements!S72</f>
        <v>8639</v>
      </c>
    </row>
    <row r="7" spans="1:12">
      <c r="A7" s="173"/>
      <c r="B7" s="173"/>
      <c r="C7" s="173"/>
      <c r="D7" s="173"/>
      <c r="E7" s="173"/>
      <c r="F7" s="550"/>
      <c r="G7" s="550"/>
      <c r="H7" s="550"/>
      <c r="I7" s="550"/>
      <c r="J7" s="549"/>
      <c r="K7" s="549"/>
      <c r="L7" s="549"/>
    </row>
    <row r="8" spans="1:12">
      <c r="A8" s="173" t="s">
        <v>623</v>
      </c>
      <c r="B8" s="550">
        <f ca="1">Statements!E60</f>
        <v>835</v>
      </c>
      <c r="C8" s="550">
        <f ca="1">Statements!F60</f>
        <v>1219</v>
      </c>
      <c r="D8" s="550">
        <f ca="1">Statements!G60</f>
        <v>2701</v>
      </c>
      <c r="E8" s="550">
        <f ca="1">Statements!H60</f>
        <v>2517</v>
      </c>
      <c r="F8" s="550">
        <f ca="1">Statements!I60</f>
        <v>1157</v>
      </c>
      <c r="G8" s="550">
        <f ca="1">Statements!J60</f>
        <v>1154</v>
      </c>
      <c r="H8" s="550">
        <f ca="1">Statements!K60</f>
        <v>1314</v>
      </c>
      <c r="I8" s="550">
        <f ca="1">Statements!L60</f>
        <v>3277</v>
      </c>
      <c r="J8" s="550">
        <f ca="1">Statements!M60</f>
        <v>2781</v>
      </c>
      <c r="K8" s="550">
        <f ca="1">Statements!N60</f>
        <v>5059</v>
      </c>
      <c r="L8" s="550">
        <f ca="1">Statements!S60</f>
        <v>4419</v>
      </c>
    </row>
    <row r="9" spans="1:12" ht="15">
      <c r="A9" s="553" t="s">
        <v>622</v>
      </c>
      <c r="B9" s="552">
        <f t="shared" ref="B9:L9" ca="1" si="1">IF(B3=0,"NA",B8/B3)</f>
        <v>4.007871748104061E-2</v>
      </c>
      <c r="C9" s="552">
        <f t="shared" ca="1" si="1"/>
        <v>5.4378373555783559E-2</v>
      </c>
      <c r="D9" s="552">
        <f t="shared" ca="1" si="1"/>
        <v>0.1102403983510877</v>
      </c>
      <c r="E9" s="552">
        <f t="shared" ca="1" si="1"/>
        <v>9.205617730963353E-2</v>
      </c>
      <c r="F9" s="552">
        <f t="shared" ca="1" si="1"/>
        <v>3.693299709515753E-2</v>
      </c>
      <c r="G9" s="552">
        <f t="shared" ca="1" si="1"/>
        <v>3.9215686274509803E-2</v>
      </c>
      <c r="H9" s="552">
        <f t="shared" ca="1" si="1"/>
        <v>4.3854086706938557E-2</v>
      </c>
      <c r="I9" s="552">
        <f t="shared" ca="1" si="1"/>
        <v>7.5735515033857961E-2</v>
      </c>
      <c r="J9" s="552">
        <f t="shared" ca="1" si="1"/>
        <v>6.8634467780547395E-2</v>
      </c>
      <c r="K9" s="552">
        <f t="shared" ca="1" si="1"/>
        <v>0.10394279961373303</v>
      </c>
      <c r="L9" s="552">
        <f t="shared" ca="1" si="1"/>
        <v>9.3221947977976075E-2</v>
      </c>
    </row>
    <row r="10" spans="1:12">
      <c r="A10" s="173"/>
      <c r="B10" s="173"/>
      <c r="C10" s="173"/>
      <c r="D10" s="173"/>
      <c r="E10" s="173"/>
      <c r="F10" s="550"/>
      <c r="G10" s="550"/>
      <c r="H10" s="550"/>
      <c r="I10" s="550"/>
      <c r="J10" s="549"/>
      <c r="K10" s="549"/>
      <c r="L10" s="549"/>
    </row>
    <row r="11" spans="1:12">
      <c r="A11" s="173" t="s">
        <v>101</v>
      </c>
      <c r="B11" s="550">
        <f ca="1">Statements!E48</f>
        <v>6620</v>
      </c>
      <c r="C11" s="550">
        <f ca="1">Statements!F48</f>
        <v>7171</v>
      </c>
      <c r="D11" s="550">
        <f ca="1">Statements!G48</f>
        <v>7352</v>
      </c>
      <c r="E11" s="550">
        <f ca="1">Statements!H48</f>
        <v>8396</v>
      </c>
      <c r="F11" s="550">
        <f ca="1">Statements!I48</f>
        <v>12094</v>
      </c>
      <c r="G11" s="550">
        <f ca="1">Statements!J48</f>
        <v>10250</v>
      </c>
      <c r="H11" s="550">
        <f ca="1">Statements!K48</f>
        <v>8441</v>
      </c>
      <c r="I11" s="550">
        <f ca="1">Statements!L48</f>
        <v>12105</v>
      </c>
      <c r="J11" s="550">
        <f ca="1">Statements!M48</f>
        <v>12176</v>
      </c>
      <c r="K11" s="550">
        <f ca="1">Statements!N48</f>
        <v>17551</v>
      </c>
      <c r="L11" s="550">
        <f ca="1">Statements!S48</f>
        <v>17208</v>
      </c>
    </row>
    <row r="12" spans="1:12">
      <c r="A12" s="173" t="s">
        <v>100</v>
      </c>
      <c r="B12" s="550">
        <f ca="1">Statements!E59</f>
        <v>9321</v>
      </c>
      <c r="C12" s="550">
        <f ca="1">Statements!F59</f>
        <v>8429</v>
      </c>
      <c r="D12" s="550">
        <f ca="1">Statements!G59</f>
        <v>7341</v>
      </c>
      <c r="E12" s="550">
        <f ca="1">Statements!H59</f>
        <v>7886</v>
      </c>
      <c r="F12" s="550">
        <f ca="1">Statements!I59</f>
        <v>10971</v>
      </c>
      <c r="G12" s="550">
        <f ca="1">Statements!J59</f>
        <v>9836</v>
      </c>
      <c r="H12" s="550">
        <f ca="1">Statements!K59</f>
        <v>8890</v>
      </c>
      <c r="I12" s="550">
        <f ca="1">Statements!L59</f>
        <v>13225</v>
      </c>
      <c r="J12" s="550">
        <f ca="1">Statements!M59</f>
        <v>12988</v>
      </c>
      <c r="K12" s="550">
        <f ca="1">Statements!N59</f>
        <v>13721</v>
      </c>
      <c r="L12" s="550">
        <f ca="1">Statements!S59</f>
        <v>13583</v>
      </c>
    </row>
    <row r="13" spans="1:12" ht="15">
      <c r="A13" s="553" t="s">
        <v>110</v>
      </c>
      <c r="B13" s="555">
        <f t="shared" ref="B13:K13" ca="1" si="2">IF(B12=0,0,B11/B12)</f>
        <v>0.71022422486857628</v>
      </c>
      <c r="C13" s="555">
        <f t="shared" ca="1" si="2"/>
        <v>0.85075335152449871</v>
      </c>
      <c r="D13" s="555">
        <f t="shared" ca="1" si="2"/>
        <v>1.0014984334559325</v>
      </c>
      <c r="E13" s="555">
        <f t="shared" ca="1" si="2"/>
        <v>1.0646715698706568</v>
      </c>
      <c r="F13" s="555">
        <f t="shared" ca="1" si="2"/>
        <v>1.1023607693008841</v>
      </c>
      <c r="G13" s="555">
        <f t="shared" ca="1" si="2"/>
        <v>1.0420902806018706</v>
      </c>
      <c r="H13" s="555">
        <f t="shared" ca="1" si="2"/>
        <v>0.94949381327334081</v>
      </c>
      <c r="I13" s="555">
        <f t="shared" ca="1" si="2"/>
        <v>0.91531190926275996</v>
      </c>
      <c r="J13" s="555">
        <f t="shared" ca="1" si="2"/>
        <v>0.93748075146288878</v>
      </c>
      <c r="K13" s="555">
        <f t="shared" ca="1" si="2"/>
        <v>1.2791341738940309</v>
      </c>
      <c r="L13" s="555">
        <f ca="1">IF(L12=0,0,L11/L12)</f>
        <v>1.266877714790547</v>
      </c>
    </row>
    <row r="14" spans="1:12">
      <c r="A14" s="173"/>
      <c r="B14" s="173"/>
      <c r="C14" s="173"/>
      <c r="D14" s="173"/>
      <c r="E14" s="173"/>
      <c r="F14" s="550"/>
      <c r="G14" s="550"/>
      <c r="H14" s="550"/>
      <c r="I14" s="550"/>
      <c r="J14" s="549"/>
      <c r="K14" s="549"/>
      <c r="L14" s="549"/>
    </row>
    <row r="15" spans="1:12" ht="15">
      <c r="A15" s="547" t="s">
        <v>621</v>
      </c>
      <c r="B15" s="554">
        <f ca="1">Statements!E37</f>
        <v>2487</v>
      </c>
      <c r="C15" s="554">
        <f ca="1">Statements!F37</f>
        <v>2487</v>
      </c>
      <c r="D15" s="554">
        <f ca="1">Statements!G37</f>
        <v>2483</v>
      </c>
      <c r="E15" s="554">
        <f ca="1">Statements!H37</f>
        <v>2462</v>
      </c>
      <c r="F15" s="554">
        <f ca="1">Statements!I37</f>
        <v>2429</v>
      </c>
      <c r="G15" s="554">
        <f ca="1">Statements!J37</f>
        <v>2393</v>
      </c>
      <c r="H15" s="554">
        <f ca="1">Statements!K37</f>
        <v>2350</v>
      </c>
      <c r="I15" s="554">
        <f ca="1">Statements!L37</f>
        <v>2331</v>
      </c>
      <c r="J15" s="554">
        <f ca="1">Statements!M37</f>
        <v>2336</v>
      </c>
      <c r="K15" s="554">
        <f ca="1">Statements!N37</f>
        <v>2329</v>
      </c>
      <c r="L15" s="554">
        <f ca="1">Statements!S37</f>
        <v>2327</v>
      </c>
    </row>
    <row r="16" spans="1:12">
      <c r="A16" s="218" t="s">
        <v>620</v>
      </c>
      <c r="B16" s="550">
        <f ca="1">Statements!E7</f>
        <v>20458</v>
      </c>
      <c r="C16" s="550">
        <f ca="1">Statements!F7</f>
        <v>20092</v>
      </c>
      <c r="D16" s="550">
        <f ca="1">Statements!G7</f>
        <v>19564</v>
      </c>
      <c r="E16" s="550">
        <f ca="1">Statements!H7</f>
        <v>21044</v>
      </c>
      <c r="F16" s="550">
        <f ca="1">Statements!I7</f>
        <v>21962</v>
      </c>
      <c r="G16" s="550">
        <f ca="1">Statements!J7</f>
        <v>23104</v>
      </c>
      <c r="H16" s="550">
        <f ca="1">Statements!K7</f>
        <v>24088</v>
      </c>
      <c r="I16" s="550">
        <f ca="1">Statements!L7</f>
        <v>28857</v>
      </c>
      <c r="J16" s="550">
        <f ca="1">Statements!M7</f>
        <v>31944</v>
      </c>
      <c r="K16" s="550">
        <f ca="1">Statements!N7</f>
        <v>30990</v>
      </c>
      <c r="L16" s="550">
        <f ca="1">Statements!S7</f>
        <v>31346</v>
      </c>
    </row>
    <row r="17" spans="1:12">
      <c r="A17" s="173" t="s">
        <v>619</v>
      </c>
      <c r="B17" s="550">
        <f ca="1">Statements!E11</f>
        <v>14254</v>
      </c>
      <c r="C17" s="550">
        <f ca="1">Statements!F11</f>
        <v>14048</v>
      </c>
      <c r="D17" s="550">
        <f ca="1">Statements!G11</f>
        <v>12459</v>
      </c>
      <c r="E17" s="550">
        <f ca="1">Statements!H11</f>
        <v>13282</v>
      </c>
      <c r="F17" s="550">
        <f ca="1">Statements!I11</f>
        <v>14324</v>
      </c>
      <c r="G17" s="550">
        <f ca="1">Statements!J11</f>
        <v>14909</v>
      </c>
      <c r="H17" s="550">
        <f ca="1">Statements!K11</f>
        <v>15924</v>
      </c>
      <c r="I17" s="550">
        <f ca="1">Statements!L11</f>
        <v>18451</v>
      </c>
      <c r="J17" s="550">
        <f ca="1">Statements!M11</f>
        <v>20570</v>
      </c>
      <c r="K17" s="550">
        <f ca="1">Statements!N11</f>
        <v>19902</v>
      </c>
      <c r="L17" s="550">
        <f ca="1">Statements!S11</f>
        <v>20307</v>
      </c>
    </row>
    <row r="18" spans="1:12" ht="15">
      <c r="A18" s="553" t="s">
        <v>468</v>
      </c>
      <c r="B18" s="552">
        <f t="shared" ref="B18:L18" ca="1" si="3">IF(B16=0,"NA",B17/B16)</f>
        <v>0.69674454980936551</v>
      </c>
      <c r="C18" s="552">
        <f t="shared" ca="1" si="3"/>
        <v>0.69918375472825001</v>
      </c>
      <c r="D18" s="552">
        <f t="shared" ca="1" si="3"/>
        <v>0.63683295849519528</v>
      </c>
      <c r="E18" s="552">
        <f t="shared" ca="1" si="3"/>
        <v>0.6311537730469492</v>
      </c>
      <c r="F18" s="552">
        <f t="shared" ca="1" si="3"/>
        <v>0.65221746653310264</v>
      </c>
      <c r="G18" s="552">
        <f t="shared" ca="1" si="3"/>
        <v>0.64529951523545703</v>
      </c>
      <c r="H18" s="552">
        <f t="shared" ca="1" si="3"/>
        <v>0.6610760544669545</v>
      </c>
      <c r="I18" s="552">
        <f t="shared" ca="1" si="3"/>
        <v>0.63939425442700215</v>
      </c>
      <c r="J18" s="552">
        <f t="shared" ca="1" si="3"/>
        <v>0.64393939393939392</v>
      </c>
      <c r="K18" s="552">
        <f t="shared" ca="1" si="3"/>
        <v>0.6422071636011617</v>
      </c>
      <c r="L18" s="552">
        <f t="shared" ca="1" si="3"/>
        <v>0.64783385439928542</v>
      </c>
    </row>
    <row r="19" spans="1:12">
      <c r="A19" s="173"/>
      <c r="B19" s="173"/>
      <c r="C19" s="173"/>
      <c r="D19" s="173"/>
      <c r="E19" s="173"/>
      <c r="F19" s="550"/>
      <c r="G19" s="550"/>
      <c r="H19" s="550"/>
      <c r="I19" s="550"/>
      <c r="J19" s="549"/>
      <c r="K19" s="549"/>
      <c r="L19" s="549"/>
    </row>
    <row r="20" spans="1:12">
      <c r="A20" s="173" t="s">
        <v>618</v>
      </c>
      <c r="B20" s="551">
        <f t="shared" ref="B20:L20" ca="1" si="4">IF(B3=0,"NA",B16/B3)</f>
        <v>0.98195257751751941</v>
      </c>
      <c r="C20" s="551">
        <f t="shared" ca="1" si="4"/>
        <v>0.89628407012535127</v>
      </c>
      <c r="D20" s="551">
        <f t="shared" ca="1" si="4"/>
        <v>0.79849802048895968</v>
      </c>
      <c r="E20" s="551">
        <f t="shared" ca="1" si="4"/>
        <v>0.76965840099480654</v>
      </c>
      <c r="F20" s="551">
        <f t="shared" ca="1" si="4"/>
        <v>0.70105659654611041</v>
      </c>
      <c r="G20" s="551">
        <f t="shared" ca="1" si="4"/>
        <v>0.78512930302103512</v>
      </c>
      <c r="H20" s="551">
        <f t="shared" ca="1" si="4"/>
        <v>0.80392484063678538</v>
      </c>
      <c r="I20" s="551">
        <f t="shared" ca="1" si="4"/>
        <v>0.66692089024474799</v>
      </c>
      <c r="J20" s="551">
        <f t="shared" ca="1" si="4"/>
        <v>0.7883708877316814</v>
      </c>
      <c r="K20" s="551">
        <f t="shared" ca="1" si="4"/>
        <v>0.63672412730373318</v>
      </c>
      <c r="L20" s="551">
        <f t="shared" ca="1" si="4"/>
        <v>0.6612661645887391</v>
      </c>
    </row>
    <row r="21" spans="1:12">
      <c r="A21" s="173"/>
      <c r="B21" s="173"/>
      <c r="C21" s="173"/>
      <c r="D21" s="173"/>
      <c r="E21" s="173"/>
      <c r="F21" s="173"/>
      <c r="G21" s="173"/>
      <c r="H21" s="173"/>
      <c r="I21" s="551"/>
      <c r="J21" s="551"/>
      <c r="K21" s="551"/>
      <c r="L21" s="551"/>
    </row>
    <row r="22" spans="1:12">
      <c r="A22" s="295" t="s">
        <v>624</v>
      </c>
      <c r="B22" s="557" t="e">
        <f ca="1">IF(LOOKUP("NA",B1:B20)="NA",1,0)</f>
        <v>#N/A</v>
      </c>
      <c r="C22" s="557" t="e">
        <f t="shared" ref="C22:L22" ca="1" si="5">IF(LOOKUP("NA",C1:C20)="NA",1,0)</f>
        <v>#N/A</v>
      </c>
      <c r="D22" s="557" t="e">
        <f t="shared" ca="1" si="5"/>
        <v>#N/A</v>
      </c>
      <c r="E22" s="557" t="e">
        <f t="shared" ca="1" si="5"/>
        <v>#N/A</v>
      </c>
      <c r="F22" s="557" t="e">
        <f t="shared" ca="1" si="5"/>
        <v>#N/A</v>
      </c>
      <c r="G22" s="557" t="e">
        <f t="shared" ca="1" si="5"/>
        <v>#N/A</v>
      </c>
      <c r="H22" s="557" t="e">
        <f t="shared" ca="1" si="5"/>
        <v>#N/A</v>
      </c>
      <c r="I22" s="557" t="e">
        <f t="shared" ca="1" si="5"/>
        <v>#N/A</v>
      </c>
      <c r="J22" s="557" t="e">
        <f t="shared" ca="1" si="5"/>
        <v>#N/A</v>
      </c>
      <c r="K22" s="557" t="e">
        <f t="shared" ca="1" si="5"/>
        <v>#N/A</v>
      </c>
      <c r="L22" s="557" t="e">
        <f t="shared" ca="1" si="5"/>
        <v>#N/A</v>
      </c>
    </row>
    <row r="23" spans="1:12">
      <c r="A23" s="33" t="s">
        <v>625</v>
      </c>
      <c r="B23" s="32" t="str">
        <f t="shared" ref="B23:G23" ca="1" si="6">IF(ISERROR(B22),"error",B22)</f>
        <v>error</v>
      </c>
      <c r="C23" s="32" t="str">
        <f t="shared" ca="1" si="6"/>
        <v>error</v>
      </c>
      <c r="D23" s="32" t="str">
        <f t="shared" ca="1" si="6"/>
        <v>error</v>
      </c>
      <c r="E23" s="32" t="str">
        <f t="shared" ca="1" si="6"/>
        <v>error</v>
      </c>
      <c r="F23" s="32" t="str">
        <f t="shared" ca="1" si="6"/>
        <v>error</v>
      </c>
      <c r="G23" s="32" t="str">
        <f t="shared" ca="1" si="6"/>
        <v>error</v>
      </c>
      <c r="H23" s="32">
        <f ca="1">IF(ISERROR(H22),0,H22)</f>
        <v>0</v>
      </c>
      <c r="I23" s="32">
        <f ca="1">IF(ISERROR(I22),0,I22)</f>
        <v>0</v>
      </c>
      <c r="J23" s="32">
        <f ca="1">IF(ISERROR(J22),0,J22)</f>
        <v>0</v>
      </c>
      <c r="K23" s="32">
        <f ca="1">IF(ISERROR(K22),0,K22)</f>
        <v>0</v>
      </c>
      <c r="L23" s="32">
        <f ca="1">IF(ISERROR(L22),0,L22)</f>
        <v>0</v>
      </c>
    </row>
    <row r="24" spans="1:12">
      <c r="A24" s="173"/>
      <c r="B24" s="173"/>
      <c r="C24" s="173"/>
      <c r="D24" s="173"/>
      <c r="E24" s="173"/>
      <c r="F24" s="173"/>
      <c r="G24" s="173"/>
      <c r="H24" s="173"/>
      <c r="I24" s="550"/>
      <c r="J24" s="549"/>
      <c r="K24" s="549"/>
      <c r="L24" s="549"/>
    </row>
    <row r="25" spans="1:12" ht="15">
      <c r="A25" s="218"/>
      <c r="B25" s="548">
        <f t="shared" ref="B25:K25" ca="1" si="7">B1</f>
        <v>2000</v>
      </c>
      <c r="C25" s="548">
        <f t="shared" ca="1" si="7"/>
        <v>2001</v>
      </c>
      <c r="D25" s="548">
        <f t="shared" ca="1" si="7"/>
        <v>2002</v>
      </c>
      <c r="E25" s="548">
        <f t="shared" ca="1" si="7"/>
        <v>2003</v>
      </c>
      <c r="F25" s="548">
        <f t="shared" ca="1" si="7"/>
        <v>2004</v>
      </c>
      <c r="G25" s="548">
        <f t="shared" ca="1" si="7"/>
        <v>2005</v>
      </c>
      <c r="H25" s="548">
        <f t="shared" ca="1" si="7"/>
        <v>2006</v>
      </c>
      <c r="I25" s="548">
        <f t="shared" ca="1" si="7"/>
        <v>2007</v>
      </c>
      <c r="J25" s="548">
        <f t="shared" ca="1" si="7"/>
        <v>2008</v>
      </c>
      <c r="K25" s="548">
        <f t="shared" ca="1" si="7"/>
        <v>2009</v>
      </c>
      <c r="L25" s="548" t="str">
        <f ca="1">L1</f>
        <v>TTM</v>
      </c>
    </row>
    <row r="26" spans="1:12">
      <c r="A26" t="s">
        <v>617</v>
      </c>
      <c r="B26" s="558">
        <f t="shared" ref="B26:L26" ca="1" si="8">--(B2&gt;0)</f>
        <v>1</v>
      </c>
      <c r="C26" s="558">
        <f t="shared" ca="1" si="8"/>
        <v>1</v>
      </c>
      <c r="D26" s="558">
        <f t="shared" ca="1" si="8"/>
        <v>1</v>
      </c>
      <c r="E26" s="558">
        <f t="shared" ca="1" si="8"/>
        <v>1</v>
      </c>
      <c r="F26" s="558">
        <f t="shared" ca="1" si="8"/>
        <v>1</v>
      </c>
      <c r="G26" s="558">
        <f t="shared" ca="1" si="8"/>
        <v>1</v>
      </c>
      <c r="H26" s="558">
        <f t="shared" ca="1" si="8"/>
        <v>1</v>
      </c>
      <c r="I26" s="558">
        <f t="shared" ca="1" si="8"/>
        <v>1</v>
      </c>
      <c r="J26" s="558">
        <f t="shared" ca="1" si="8"/>
        <v>1</v>
      </c>
      <c r="K26" s="558">
        <f t="shared" ca="1" si="8"/>
        <v>1</v>
      </c>
      <c r="L26" s="558">
        <f t="shared" ca="1" si="8"/>
        <v>1</v>
      </c>
    </row>
    <row r="27" spans="1:12">
      <c r="A27" t="s">
        <v>616</v>
      </c>
      <c r="B27" s="558">
        <f t="shared" ref="B27:L27" ca="1" si="9">--(B6&gt;0)</f>
        <v>1</v>
      </c>
      <c r="C27" s="558">
        <f t="shared" ca="1" si="9"/>
        <v>1</v>
      </c>
      <c r="D27" s="558">
        <f t="shared" ca="1" si="9"/>
        <v>1</v>
      </c>
      <c r="E27" s="558">
        <f t="shared" ca="1" si="9"/>
        <v>1</v>
      </c>
      <c r="F27" s="558">
        <f t="shared" ca="1" si="9"/>
        <v>1</v>
      </c>
      <c r="G27" s="558">
        <f t="shared" ca="1" si="9"/>
        <v>1</v>
      </c>
      <c r="H27" s="558">
        <f t="shared" ca="1" si="9"/>
        <v>1</v>
      </c>
      <c r="I27" s="558">
        <f t="shared" ca="1" si="9"/>
        <v>1</v>
      </c>
      <c r="J27" s="558">
        <f t="shared" ca="1" si="9"/>
        <v>1</v>
      </c>
      <c r="K27" s="558">
        <f t="shared" ca="1" si="9"/>
        <v>1</v>
      </c>
      <c r="L27" s="558">
        <f t="shared" ca="1" si="9"/>
        <v>1</v>
      </c>
    </row>
    <row r="28" spans="1:12">
      <c r="A28" t="s">
        <v>615</v>
      </c>
      <c r="B28" s="558">
        <f t="shared" ref="B28:L28" ca="1" si="10">--(B4&gt;A4)</f>
        <v>0</v>
      </c>
      <c r="C28" s="558">
        <f t="shared" ca="1" si="10"/>
        <v>1</v>
      </c>
      <c r="D28" s="558">
        <f t="shared" ca="1" si="10"/>
        <v>0</v>
      </c>
      <c r="E28" s="558">
        <f t="shared" ca="1" si="10"/>
        <v>1</v>
      </c>
      <c r="F28" s="558">
        <f t="shared" ca="1" si="10"/>
        <v>0</v>
      </c>
      <c r="G28" s="558">
        <f t="shared" ca="1" si="10"/>
        <v>1</v>
      </c>
      <c r="H28" s="558">
        <f t="shared" ca="1" si="10"/>
        <v>1</v>
      </c>
      <c r="I28" s="558">
        <f t="shared" ca="1" si="10"/>
        <v>0</v>
      </c>
      <c r="J28" s="558">
        <f t="shared" ca="1" si="10"/>
        <v>1</v>
      </c>
      <c r="K28" s="558">
        <f t="shared" ca="1" si="10"/>
        <v>0</v>
      </c>
      <c r="L28" s="558">
        <f t="shared" ca="1" si="10"/>
        <v>1</v>
      </c>
    </row>
    <row r="29" spans="1:12">
      <c r="A29" t="s">
        <v>614</v>
      </c>
      <c r="B29" s="558">
        <f t="shared" ref="B29:L29" ca="1" si="11">--(B6&gt;B2)</f>
        <v>1</v>
      </c>
      <c r="C29" s="558">
        <f t="shared" ca="1" si="11"/>
        <v>1</v>
      </c>
      <c r="D29" s="558">
        <f t="shared" ca="1" si="11"/>
        <v>1</v>
      </c>
      <c r="E29" s="558">
        <f t="shared" ca="1" si="11"/>
        <v>1</v>
      </c>
      <c r="F29" s="558">
        <f t="shared" ca="1" si="11"/>
        <v>1</v>
      </c>
      <c r="G29" s="558">
        <f t="shared" ca="1" si="11"/>
        <v>1</v>
      </c>
      <c r="H29" s="558">
        <f t="shared" ca="1" si="11"/>
        <v>1</v>
      </c>
      <c r="I29" s="558">
        <f t="shared" ca="1" si="11"/>
        <v>1</v>
      </c>
      <c r="J29" s="558">
        <f t="shared" ca="1" si="11"/>
        <v>1</v>
      </c>
      <c r="K29" s="558">
        <f t="shared" ca="1" si="11"/>
        <v>1</v>
      </c>
      <c r="L29" s="558">
        <f t="shared" ca="1" si="11"/>
        <v>1</v>
      </c>
    </row>
    <row r="30" spans="1:12">
      <c r="A30" t="s">
        <v>613</v>
      </c>
      <c r="B30" s="558">
        <f t="shared" ref="B30:L30" ca="1" si="12">--(B9&lt;A9)</f>
        <v>1</v>
      </c>
      <c r="C30" s="558">
        <f t="shared" ca="1" si="12"/>
        <v>0</v>
      </c>
      <c r="D30" s="558">
        <f t="shared" ca="1" si="12"/>
        <v>0</v>
      </c>
      <c r="E30" s="558">
        <f t="shared" ca="1" si="12"/>
        <v>1</v>
      </c>
      <c r="F30" s="558">
        <f t="shared" ca="1" si="12"/>
        <v>1</v>
      </c>
      <c r="G30" s="558">
        <f t="shared" ca="1" si="12"/>
        <v>0</v>
      </c>
      <c r="H30" s="558">
        <f t="shared" ca="1" si="12"/>
        <v>0</v>
      </c>
      <c r="I30" s="558">
        <f t="shared" ca="1" si="12"/>
        <v>0</v>
      </c>
      <c r="J30" s="558">
        <f t="shared" ca="1" si="12"/>
        <v>1</v>
      </c>
      <c r="K30" s="558">
        <f t="shared" ca="1" si="12"/>
        <v>0</v>
      </c>
      <c r="L30" s="558">
        <f t="shared" ca="1" si="12"/>
        <v>1</v>
      </c>
    </row>
    <row r="31" spans="1:12">
      <c r="A31" t="s">
        <v>612</v>
      </c>
      <c r="B31" s="558">
        <f t="shared" ref="B31:L31" ca="1" si="13">--(B13&gt;A13)</f>
        <v>0</v>
      </c>
      <c r="C31" s="558">
        <f t="shared" ca="1" si="13"/>
        <v>1</v>
      </c>
      <c r="D31" s="558">
        <f t="shared" ca="1" si="13"/>
        <v>1</v>
      </c>
      <c r="E31" s="558">
        <f t="shared" ca="1" si="13"/>
        <v>1</v>
      </c>
      <c r="F31" s="558">
        <f t="shared" ca="1" si="13"/>
        <v>1</v>
      </c>
      <c r="G31" s="558">
        <f t="shared" ca="1" si="13"/>
        <v>0</v>
      </c>
      <c r="H31" s="558">
        <f t="shared" ca="1" si="13"/>
        <v>0</v>
      </c>
      <c r="I31" s="558">
        <f t="shared" ca="1" si="13"/>
        <v>0</v>
      </c>
      <c r="J31" s="558">
        <f t="shared" ca="1" si="13"/>
        <v>1</v>
      </c>
      <c r="K31" s="558">
        <f t="shared" ca="1" si="13"/>
        <v>1</v>
      </c>
      <c r="L31" s="558">
        <f t="shared" ca="1" si="13"/>
        <v>0</v>
      </c>
    </row>
    <row r="32" spans="1:12">
      <c r="A32" t="s">
        <v>611</v>
      </c>
      <c r="B32" s="558">
        <f t="shared" ref="B32:L32" ca="1" si="14">--(B15&lt;=A15)</f>
        <v>1</v>
      </c>
      <c r="C32" s="558">
        <f t="shared" ca="1" si="14"/>
        <v>1</v>
      </c>
      <c r="D32" s="558">
        <f t="shared" ca="1" si="14"/>
        <v>1</v>
      </c>
      <c r="E32" s="558">
        <f t="shared" ca="1" si="14"/>
        <v>1</v>
      </c>
      <c r="F32" s="558">
        <f t="shared" ca="1" si="14"/>
        <v>1</v>
      </c>
      <c r="G32" s="558">
        <f t="shared" ca="1" si="14"/>
        <v>1</v>
      </c>
      <c r="H32" s="558">
        <f t="shared" ca="1" si="14"/>
        <v>1</v>
      </c>
      <c r="I32" s="558">
        <f t="shared" ca="1" si="14"/>
        <v>1</v>
      </c>
      <c r="J32" s="558">
        <f t="shared" ca="1" si="14"/>
        <v>0</v>
      </c>
      <c r="K32" s="558">
        <f t="shared" ca="1" si="14"/>
        <v>1</v>
      </c>
      <c r="L32" s="558">
        <f t="shared" ca="1" si="14"/>
        <v>1</v>
      </c>
    </row>
    <row r="33" spans="1:12">
      <c r="A33" t="s">
        <v>610</v>
      </c>
      <c r="B33" s="558">
        <f t="shared" ref="B33:L33" ca="1" si="15">--(B18&gt;A18)</f>
        <v>0</v>
      </c>
      <c r="C33" s="558">
        <f t="shared" ca="1" si="15"/>
        <v>1</v>
      </c>
      <c r="D33" s="558">
        <f t="shared" ca="1" si="15"/>
        <v>0</v>
      </c>
      <c r="E33" s="558">
        <f t="shared" ca="1" si="15"/>
        <v>0</v>
      </c>
      <c r="F33" s="558">
        <f t="shared" ca="1" si="15"/>
        <v>1</v>
      </c>
      <c r="G33" s="558">
        <f t="shared" ca="1" si="15"/>
        <v>0</v>
      </c>
      <c r="H33" s="558">
        <f t="shared" ca="1" si="15"/>
        <v>1</v>
      </c>
      <c r="I33" s="558">
        <f t="shared" ca="1" si="15"/>
        <v>0</v>
      </c>
      <c r="J33" s="558">
        <f t="shared" ca="1" si="15"/>
        <v>1</v>
      </c>
      <c r="K33" s="558">
        <f t="shared" ca="1" si="15"/>
        <v>0</v>
      </c>
      <c r="L33" s="558">
        <f t="shared" ca="1" si="15"/>
        <v>1</v>
      </c>
    </row>
    <row r="34" spans="1:12">
      <c r="A34" t="s">
        <v>609</v>
      </c>
      <c r="B34" s="558">
        <f t="shared" ref="B34:L34" ca="1" si="16">--(B20&gt;A20)</f>
        <v>0</v>
      </c>
      <c r="C34" s="558">
        <f t="shared" ca="1" si="16"/>
        <v>0</v>
      </c>
      <c r="D34" s="558">
        <f t="shared" ca="1" si="16"/>
        <v>0</v>
      </c>
      <c r="E34" s="558">
        <f t="shared" ca="1" si="16"/>
        <v>0</v>
      </c>
      <c r="F34" s="558">
        <f t="shared" ca="1" si="16"/>
        <v>0</v>
      </c>
      <c r="G34" s="558">
        <f t="shared" ca="1" si="16"/>
        <v>1</v>
      </c>
      <c r="H34" s="558">
        <f t="shared" ca="1" si="16"/>
        <v>1</v>
      </c>
      <c r="I34" s="558">
        <f t="shared" ca="1" si="16"/>
        <v>0</v>
      </c>
      <c r="J34" s="558">
        <f t="shared" ca="1" si="16"/>
        <v>1</v>
      </c>
      <c r="K34" s="558">
        <f t="shared" ca="1" si="16"/>
        <v>0</v>
      </c>
      <c r="L34" s="558">
        <f t="shared" ca="1" si="16"/>
        <v>1</v>
      </c>
    </row>
    <row r="35" spans="1:12" ht="15">
      <c r="A35" s="547" t="s">
        <v>608</v>
      </c>
      <c r="B35" s="548">
        <f ca="1">IF(B23=1,"N/A",SUM(B26:B34))</f>
        <v>5</v>
      </c>
      <c r="C35" s="548">
        <f t="shared" ref="C35:L35" ca="1" si="17">IF(C23=1,"N/A",SUM(C26:C34))</f>
        <v>7</v>
      </c>
      <c r="D35" s="548">
        <f t="shared" ca="1" si="17"/>
        <v>5</v>
      </c>
      <c r="E35" s="548">
        <f t="shared" ca="1" si="17"/>
        <v>7</v>
      </c>
      <c r="F35" s="548">
        <f t="shared" ca="1" si="17"/>
        <v>7</v>
      </c>
      <c r="G35" s="548">
        <f t="shared" ca="1" si="17"/>
        <v>6</v>
      </c>
      <c r="H35" s="548">
        <f t="shared" ca="1" si="17"/>
        <v>7</v>
      </c>
      <c r="I35" s="548">
        <f t="shared" ca="1" si="17"/>
        <v>4</v>
      </c>
      <c r="J35" s="548">
        <f t="shared" ca="1" si="17"/>
        <v>8</v>
      </c>
      <c r="K35" s="548">
        <f t="shared" ca="1" si="17"/>
        <v>5</v>
      </c>
      <c r="L35" s="548">
        <f t="shared" ca="1" si="17"/>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24"/>
  <dimension ref="A1:M49"/>
  <sheetViews>
    <sheetView zoomScale="75" zoomScaleNormal="75" workbookViewId="0">
      <selection activeCell="C2" sqref="C2"/>
    </sheetView>
  </sheetViews>
  <sheetFormatPr defaultRowHeight="12.75"/>
  <cols>
    <col min="1" max="1" width="26" bestFit="1" customWidth="1"/>
    <col min="2" max="2" width="6.85546875" customWidth="1"/>
    <col min="3" max="12" width="11.42578125" customWidth="1"/>
    <col min="13" max="13" width="12.85546875" bestFit="1" customWidth="1"/>
  </cols>
  <sheetData>
    <row r="1" spans="1:13" ht="36" customHeight="1">
      <c r="B1" s="168" t="s">
        <v>689</v>
      </c>
      <c r="C1" s="615">
        <v>9</v>
      </c>
      <c r="D1" s="615">
        <v>8</v>
      </c>
      <c r="E1" s="615">
        <v>7</v>
      </c>
      <c r="F1" s="615">
        <v>6</v>
      </c>
      <c r="G1" s="615">
        <v>5</v>
      </c>
      <c r="H1" s="615">
        <v>4</v>
      </c>
      <c r="I1" s="615">
        <v>3</v>
      </c>
      <c r="J1" s="615">
        <v>2</v>
      </c>
      <c r="K1" s="615">
        <v>1</v>
      </c>
      <c r="L1" s="615">
        <v>0</v>
      </c>
      <c r="M1" t="s">
        <v>95</v>
      </c>
    </row>
    <row r="2" spans="1:13">
      <c r="A2" s="173" t="s">
        <v>423</v>
      </c>
      <c r="B2" s="616">
        <v>5196</v>
      </c>
      <c r="C2" s="614" t="str">
        <f ca="1">[1]!RCHGetElementNumber(Ticker,$B2+C$1)</f>
        <v>2000/12</v>
      </c>
      <c r="D2" s="614" t="str">
        <f ca="1">[1]!RCHGetElementNumber(Ticker,$B2+D$1)</f>
        <v>2001/12</v>
      </c>
      <c r="E2" s="614" t="str">
        <f ca="1">[1]!RCHGetElementNumber(Ticker,$B2+E$1)</f>
        <v>2002/12</v>
      </c>
      <c r="F2" s="614" t="str">
        <f ca="1">[1]!RCHGetElementNumber(Ticker,$B2+F$1)</f>
        <v>2003/12</v>
      </c>
      <c r="G2" s="614" t="str">
        <f ca="1">[1]!RCHGetElementNumber(Ticker,$B2+G$1)</f>
        <v>2004/12</v>
      </c>
      <c r="H2" s="614" t="str">
        <f ca="1">[1]!RCHGetElementNumber(Ticker,$B2+H$1)</f>
        <v>2005/12</v>
      </c>
      <c r="I2" s="614" t="str">
        <f ca="1">[1]!RCHGetElementNumber(Ticker,$B2+I$1)</f>
        <v>2006/12</v>
      </c>
      <c r="J2" s="614" t="str">
        <f ca="1">[1]!RCHGetElementNumber(Ticker,$B2+J$1)</f>
        <v>2007/12</v>
      </c>
      <c r="K2" s="614" t="str">
        <f ca="1">[1]!RCHGetElementNumber(Ticker,$B2+K$1)</f>
        <v>2008/12</v>
      </c>
      <c r="L2" s="614" t="str">
        <f ca="1">[1]!RCHGetElementNumber(Ticker,$B2+L$1)</f>
        <v>2009/12</v>
      </c>
      <c r="M2" s="618" t="str">
        <f ca="1">[1]!RCHGetElementNumber(Ticker,8006)</f>
        <v>2010/03</v>
      </c>
    </row>
    <row r="3" spans="1:13">
      <c r="A3" s="173" t="s">
        <v>106</v>
      </c>
      <c r="B3" s="616">
        <v>5206</v>
      </c>
      <c r="C3" s="614" t="str">
        <f ca="1">[1]!RCHGetElementNumber(Ticker,$B3+C$1)</f>
        <v>2001-02-02</v>
      </c>
      <c r="D3" s="614" t="str">
        <f ca="1">[1]!RCHGetElementNumber(Ticker,$B3+D$1)</f>
        <v>2002-01-29</v>
      </c>
      <c r="E3" s="614" t="str">
        <f ca="1">[1]!RCHGetElementNumber(Ticker,$B3+E$1)</f>
        <v>2003-02-14</v>
      </c>
      <c r="F3" s="614" t="str">
        <f ca="1">[1]!RCHGetElementNumber(Ticker,$B3+F$1)</f>
        <v>2004-02-11</v>
      </c>
      <c r="G3" s="614" t="str">
        <f ca="1">[1]!RCHGetElementNumber(Ticker,$B3+G$1)</f>
        <v>2005-02-17</v>
      </c>
      <c r="H3" s="614" t="str">
        <f ca="1">[1]!RCHGetElementNumber(Ticker,$B3+H$1)</f>
        <v>2006-02-07</v>
      </c>
      <c r="I3" s="614" t="str">
        <f ca="1">[1]!RCHGetElementNumber(Ticker,$B3+I$1)</f>
        <v>2007-02-14</v>
      </c>
      <c r="J3" s="614" t="str">
        <f ca="1">[1]!RCHGetElementNumber(Ticker,$B3+J$1)</f>
        <v>2008-02-14</v>
      </c>
      <c r="K3" s="614" t="str">
        <f ca="1">[1]!RCHGetElementNumber(Ticker,$B3+K$1)</f>
        <v>2009-02-13</v>
      </c>
      <c r="L3" s="614" t="str">
        <f ca="1">[1]!RCHGetElementNumber(Ticker,$B3+L$1)</f>
        <v>2010-02-12</v>
      </c>
      <c r="M3" s="618" t="str">
        <f ca="1">[1]!RCHGetElementNumber(Ticker,8026)</f>
        <v>2010-04-21</v>
      </c>
    </row>
    <row r="4" spans="1:13">
      <c r="A4" t="s">
        <v>115</v>
      </c>
      <c r="B4" s="616">
        <v>5286</v>
      </c>
      <c r="C4" s="612">
        <f ca="1">[1]!RCHGetElementNumber(Ticker,$B4+C$1)</f>
        <v>20458</v>
      </c>
      <c r="D4" s="612">
        <f ca="1">[1]!RCHGetElementNumber(Ticker,$B4+D$1)</f>
        <v>20092</v>
      </c>
      <c r="E4" s="612">
        <f ca="1">[1]!RCHGetElementNumber(Ticker,$B4+E$1)</f>
        <v>19564</v>
      </c>
      <c r="F4" s="612">
        <f ca="1">[1]!RCHGetElementNumber(Ticker,$B4+F$1)</f>
        <v>21044</v>
      </c>
      <c r="G4" s="612">
        <f ca="1">[1]!RCHGetElementNumber(Ticker,$B4+G$1)</f>
        <v>21962</v>
      </c>
      <c r="H4" s="612">
        <f ca="1">[1]!RCHGetElementNumber(Ticker,$B4+H$1)</f>
        <v>23104</v>
      </c>
      <c r="I4" s="612">
        <f ca="1">[1]!RCHGetElementNumber(Ticker,$B4+I$1)</f>
        <v>24088</v>
      </c>
      <c r="J4" s="612">
        <f ca="1">[1]!RCHGetElementNumber(Ticker,$B4+J$1)</f>
        <v>28857</v>
      </c>
      <c r="K4" s="612">
        <f ca="1">[1]!RCHGetElementNumber(Ticker,$B4+K$1)</f>
        <v>31944</v>
      </c>
      <c r="L4" s="612">
        <f ca="1">[1]!RCHGetElementNumber(Ticker,$B4+L$1)</f>
        <v>30990</v>
      </c>
      <c r="M4" s="619">
        <f ca="1">[1]!RCHGetElementNumber(Ticker,8186)</f>
        <v>7525</v>
      </c>
    </row>
    <row r="5" spans="1:13">
      <c r="A5" s="173" t="s">
        <v>323</v>
      </c>
      <c r="B5" s="616">
        <v>5296</v>
      </c>
      <c r="C5" s="612">
        <f ca="1">[1]!RCHGetElementNumber(Ticker,$B5+C$1)</f>
        <v>20458</v>
      </c>
      <c r="D5" s="612">
        <f ca="1">[1]!RCHGetElementNumber(Ticker,$B5+D$1)</f>
        <v>20092</v>
      </c>
      <c r="E5" s="612">
        <f ca="1">[1]!RCHGetElementNumber(Ticker,$B5+E$1)</f>
        <v>19564</v>
      </c>
      <c r="F5" s="612">
        <f ca="1">[1]!RCHGetElementNumber(Ticker,$B5+F$1)</f>
        <v>21044</v>
      </c>
      <c r="G5" s="612">
        <f ca="1">[1]!RCHGetElementNumber(Ticker,$B5+G$1)</f>
        <v>21962</v>
      </c>
      <c r="H5" s="612">
        <f ca="1">[1]!RCHGetElementNumber(Ticker,$B5+H$1)</f>
        <v>23104</v>
      </c>
      <c r="I5" s="612">
        <f ca="1">[1]!RCHGetElementNumber(Ticker,$B5+I$1)</f>
        <v>24088</v>
      </c>
      <c r="J5" s="612">
        <f ca="1">[1]!RCHGetElementNumber(Ticker,$B5+J$1)</f>
        <v>28857</v>
      </c>
      <c r="K5" s="612">
        <f ca="1">[1]!RCHGetElementNumber(Ticker,$B5+K$1)</f>
        <v>31944</v>
      </c>
      <c r="L5" s="612">
        <f ca="1">[1]!RCHGetElementNumber(Ticker,$B5+L$1)</f>
        <v>30990</v>
      </c>
      <c r="M5" s="619">
        <f ca="1">[1]!RCHGetElementNumber(Ticker,8206)</f>
        <v>7525</v>
      </c>
    </row>
    <row r="6" spans="1:13">
      <c r="A6" s="173" t="s">
        <v>122</v>
      </c>
      <c r="B6" s="616">
        <v>5396</v>
      </c>
      <c r="C6" s="612">
        <f ca="1">[1]!RCHGetElementNumber(Ticker,$B6+C$1)</f>
        <v>4464</v>
      </c>
      <c r="D6" s="612">
        <f ca="1">[1]!RCHGetElementNumber(Ticker,$B6+D$1)</f>
        <v>6155</v>
      </c>
      <c r="E6" s="612">
        <f ca="1">[1]!RCHGetElementNumber(Ticker,$B6+E$1)</f>
        <v>6264</v>
      </c>
      <c r="F6" s="612">
        <f ca="1">[1]!RCHGetElementNumber(Ticker,$B6+F$1)</f>
        <v>6071</v>
      </c>
      <c r="G6" s="612">
        <f ca="1">[1]!RCHGetElementNumber(Ticker,$B6+G$1)</f>
        <v>6591</v>
      </c>
      <c r="H6" s="612">
        <f ca="1">[1]!RCHGetElementNumber(Ticker,$B6+H$1)</f>
        <v>7017</v>
      </c>
      <c r="I6" s="612">
        <f ca="1">[1]!RCHGetElementNumber(Ticker,$B6+I$1)</f>
        <v>7246</v>
      </c>
      <c r="J6" s="612">
        <f ca="1">[1]!RCHGetElementNumber(Ticker,$B6+J$1)</f>
        <v>8415</v>
      </c>
      <c r="K6" s="612">
        <f ca="1">[1]!RCHGetElementNumber(Ticker,$B6+K$1)</f>
        <v>10024</v>
      </c>
      <c r="L6" s="612">
        <f ca="1">[1]!RCHGetElementNumber(Ticker,$B6+L$1)</f>
        <v>9780</v>
      </c>
      <c r="M6" s="619">
        <f ca="1">[1]!RCHGetElementNumber(Ticker,8406)</f>
        <v>2574</v>
      </c>
    </row>
    <row r="7" spans="1:13" ht="15">
      <c r="A7" s="218" t="s">
        <v>29</v>
      </c>
      <c r="B7" s="617">
        <v>6116</v>
      </c>
      <c r="C7" s="612">
        <f ca="1">[1]!RCHGetElementNumber(Ticker,$B7+C$1)</f>
        <v>6620</v>
      </c>
      <c r="D7" s="612">
        <f ca="1">[1]!RCHGetElementNumber(Ticker,$B7+D$1)</f>
        <v>7171</v>
      </c>
      <c r="E7" s="612">
        <f ca="1">[1]!RCHGetElementNumber(Ticker,$B7+E$1)</f>
        <v>7352</v>
      </c>
      <c r="F7" s="612">
        <f ca="1">[1]!RCHGetElementNumber(Ticker,$B7+F$1)</f>
        <v>8396</v>
      </c>
      <c r="G7" s="612">
        <f ca="1">[1]!RCHGetElementNumber(Ticker,$B7+G$1)</f>
        <v>12094</v>
      </c>
      <c r="H7" s="612">
        <f ca="1">[1]!RCHGetElementNumber(Ticker,$B7+H$1)</f>
        <v>10250</v>
      </c>
      <c r="I7" s="612">
        <f ca="1">[1]!RCHGetElementNumber(Ticker,$B7+I$1)</f>
        <v>8441</v>
      </c>
      <c r="J7" s="612">
        <f ca="1">[1]!RCHGetElementNumber(Ticker,$B7+J$1)</f>
        <v>12105</v>
      </c>
      <c r="K7" s="612">
        <f ca="1">[1]!RCHGetElementNumber(Ticker,$B7+K$1)</f>
        <v>12176</v>
      </c>
      <c r="L7" s="612">
        <f ca="1">[1]!RCHGetElementNumber(Ticker,$B7+L$1)</f>
        <v>17551</v>
      </c>
      <c r="M7" s="620">
        <f ca="1">[1]!RCHGetElementNumber(Ticker,9846)</f>
        <v>17208</v>
      </c>
    </row>
    <row r="8" spans="1:13" ht="15">
      <c r="A8" s="218" t="s">
        <v>33</v>
      </c>
      <c r="B8" s="617">
        <v>6266</v>
      </c>
      <c r="C8" s="612">
        <f ca="1">[1]!RCHGetElementNumber(Ticker,$B8+C$1)</f>
        <v>20834</v>
      </c>
      <c r="D8" s="612">
        <f ca="1">[1]!RCHGetElementNumber(Ticker,$B8+D$1)</f>
        <v>22417</v>
      </c>
      <c r="E8" s="612">
        <f ca="1">[1]!RCHGetElementNumber(Ticker,$B8+E$1)</f>
        <v>24501</v>
      </c>
      <c r="F8" s="612">
        <f ca="1">[1]!RCHGetElementNumber(Ticker,$B8+F$1)</f>
        <v>27342</v>
      </c>
      <c r="G8" s="612">
        <f ca="1">[1]!RCHGetElementNumber(Ticker,$B8+G$1)</f>
        <v>31327</v>
      </c>
      <c r="H8" s="612">
        <f ca="1">[1]!RCHGetElementNumber(Ticker,$B8+H$1)</f>
        <v>29427</v>
      </c>
      <c r="I8" s="612">
        <f ca="1">[1]!RCHGetElementNumber(Ticker,$B8+I$1)</f>
        <v>29963</v>
      </c>
      <c r="J8" s="612">
        <f ca="1">[1]!RCHGetElementNumber(Ticker,$B8+J$1)</f>
        <v>43269</v>
      </c>
      <c r="K8" s="612">
        <f ca="1">[1]!RCHGetElementNumber(Ticker,$B8+K$1)</f>
        <v>40519</v>
      </c>
      <c r="L8" s="612">
        <f ca="1">[1]!RCHGetElementNumber(Ticker,$B8+L$1)</f>
        <v>48671</v>
      </c>
      <c r="M8" s="620">
        <f ca="1">[1]!RCHGetElementNumber(Ticker,10146)</f>
        <v>47403</v>
      </c>
    </row>
    <row r="9" spans="1:13">
      <c r="A9" s="164" t="s">
        <v>39</v>
      </c>
      <c r="B9" s="617">
        <v>6366</v>
      </c>
      <c r="C9" s="612">
        <f ca="1">[1]!RCHGetElementNumber(Ticker,$B9+C$1)</f>
        <v>9321</v>
      </c>
      <c r="D9" s="612">
        <f ca="1">[1]!RCHGetElementNumber(Ticker,$B9+D$1)</f>
        <v>8429</v>
      </c>
      <c r="E9" s="612">
        <f ca="1">[1]!RCHGetElementNumber(Ticker,$B9+E$1)</f>
        <v>7341</v>
      </c>
      <c r="F9" s="612">
        <f ca="1">[1]!RCHGetElementNumber(Ticker,$B9+F$1)</f>
        <v>7886</v>
      </c>
      <c r="G9" s="612">
        <f ca="1">[1]!RCHGetElementNumber(Ticker,$B9+G$1)</f>
        <v>10971</v>
      </c>
      <c r="H9" s="612">
        <f ca="1">[1]!RCHGetElementNumber(Ticker,$B9+H$1)</f>
        <v>9836</v>
      </c>
      <c r="I9" s="612">
        <f ca="1">[1]!RCHGetElementNumber(Ticker,$B9+I$1)</f>
        <v>8890</v>
      </c>
      <c r="J9" s="612">
        <f ca="1">[1]!RCHGetElementNumber(Ticker,$B9+J$1)</f>
        <v>13225</v>
      </c>
      <c r="K9" s="612">
        <f ca="1">[1]!RCHGetElementNumber(Ticker,$B9+K$1)</f>
        <v>12988</v>
      </c>
      <c r="L9" s="612">
        <f ca="1">[1]!RCHGetElementNumber(Ticker,$B9+L$1)</f>
        <v>13721</v>
      </c>
      <c r="M9" s="619">
        <f ca="1">[1]!RCHGetElementNumber(Ticker,10346)</f>
        <v>13583</v>
      </c>
    </row>
    <row r="10" spans="1:13">
      <c r="A10" s="164" t="s">
        <v>40</v>
      </c>
      <c r="B10" s="617">
        <v>6376</v>
      </c>
      <c r="C10" s="612">
        <f ca="1">[1]!RCHGetElementNumber(Ticker,$B10+C$1)</f>
        <v>835</v>
      </c>
      <c r="D10" s="612">
        <f ca="1">[1]!RCHGetElementNumber(Ticker,$B10+D$1)</f>
        <v>1219</v>
      </c>
      <c r="E10" s="612">
        <f ca="1">[1]!RCHGetElementNumber(Ticker,$B10+E$1)</f>
        <v>2701</v>
      </c>
      <c r="F10" s="612">
        <f ca="1">[1]!RCHGetElementNumber(Ticker,$B10+F$1)</f>
        <v>2517</v>
      </c>
      <c r="G10" s="612">
        <f ca="1">[1]!RCHGetElementNumber(Ticker,$B10+G$1)</f>
        <v>1157</v>
      </c>
      <c r="H10" s="612">
        <f ca="1">[1]!RCHGetElementNumber(Ticker,$B10+H$1)</f>
        <v>1154</v>
      </c>
      <c r="I10" s="612">
        <f ca="1">[1]!RCHGetElementNumber(Ticker,$B10+I$1)</f>
        <v>1314</v>
      </c>
      <c r="J10" s="612">
        <f ca="1">[1]!RCHGetElementNumber(Ticker,$B10+J$1)</f>
        <v>3277</v>
      </c>
      <c r="K10" s="612">
        <f ca="1">[1]!RCHGetElementNumber(Ticker,$B10+K$1)</f>
        <v>2781</v>
      </c>
      <c r="L10" s="612">
        <f ca="1">[1]!RCHGetElementNumber(Ticker,$B10+L$1)</f>
        <v>5059</v>
      </c>
      <c r="M10" s="619">
        <f ca="1">[1]!RCHGetElementNumber(Ticker,10366)</f>
        <v>4419</v>
      </c>
    </row>
    <row r="11" spans="1:13">
      <c r="A11" s="164" t="s">
        <v>1</v>
      </c>
      <c r="B11" s="617">
        <v>6456</v>
      </c>
      <c r="C11" s="612">
        <f ca="1">[1]!RCHGetElementNumber(Ticker,$B11+C$1)</f>
        <v>11518</v>
      </c>
      <c r="D11" s="612">
        <f ca="1">[1]!RCHGetElementNumber(Ticker,$B11+D$1)</f>
        <v>11051</v>
      </c>
      <c r="E11" s="612">
        <f ca="1">[1]!RCHGetElementNumber(Ticker,$B11+E$1)</f>
        <v>12701</v>
      </c>
      <c r="F11" s="612">
        <f ca="1">[1]!RCHGetElementNumber(Ticker,$B11+F$1)</f>
        <v>13252</v>
      </c>
      <c r="G11" s="612">
        <f ca="1">[1]!RCHGetElementNumber(Ticker,$B11+G$1)</f>
        <v>15392</v>
      </c>
      <c r="H11" s="612">
        <f ca="1">[1]!RCHGetElementNumber(Ticker,$B11+H$1)</f>
        <v>13072</v>
      </c>
      <c r="I11" s="612">
        <f ca="1">[1]!RCHGetElementNumber(Ticker,$B11+I$1)</f>
        <v>13043</v>
      </c>
      <c r="J11" s="612">
        <f ca="1">[1]!RCHGetElementNumber(Ticker,$B11+J$1)</f>
        <v>21525</v>
      </c>
      <c r="K11" s="612">
        <f ca="1">[1]!RCHGetElementNumber(Ticker,$B11+K$1)</f>
        <v>20047</v>
      </c>
      <c r="L11" s="612">
        <f ca="1">[1]!RCHGetElementNumber(Ticker,$B11+L$1)</f>
        <v>23872</v>
      </c>
      <c r="M11" s="619">
        <f ca="1">[1]!RCHGetElementNumber(Ticker,10526)</f>
        <v>22531</v>
      </c>
    </row>
    <row r="12" spans="1:13">
      <c r="A12" s="164" t="s">
        <v>674</v>
      </c>
      <c r="B12" s="617">
        <v>6516</v>
      </c>
      <c r="C12" s="612">
        <f ca="1">[1]!RCHGetElementNumber(Ticker,$B12+C$1)</f>
        <v>21265</v>
      </c>
      <c r="D12" s="612">
        <f ca="1">[1]!RCHGetElementNumber(Ticker,$B12+D$1)</f>
        <v>23443</v>
      </c>
      <c r="E12" s="612">
        <f ca="1">[1]!RCHGetElementNumber(Ticker,$B12+E$1)</f>
        <v>24506</v>
      </c>
      <c r="F12" s="612">
        <f ca="1">[1]!RCHGetElementNumber(Ticker,$B12+F$1)</f>
        <v>26687</v>
      </c>
      <c r="G12" s="612">
        <f ca="1">[1]!RCHGetElementNumber(Ticker,$B12+G$1)</f>
        <v>29105</v>
      </c>
      <c r="H12" s="612">
        <f ca="1">[1]!RCHGetElementNumber(Ticker,$B12+H$1)</f>
        <v>31299</v>
      </c>
      <c r="I12" s="612">
        <f ca="1">[1]!RCHGetElementNumber(Ticker,$B12+I$1)</f>
        <v>33468</v>
      </c>
      <c r="J12" s="612">
        <f ca="1">[1]!RCHGetElementNumber(Ticker,$B12+J$1)</f>
        <v>36235</v>
      </c>
      <c r="K12" s="612">
        <f ca="1">[1]!RCHGetElementNumber(Ticker,$B12+K$1)</f>
        <v>38513</v>
      </c>
      <c r="L12" s="612">
        <f ca="1">[1]!RCHGetElementNumber(Ticker,$B12+L$1)</f>
        <v>41537</v>
      </c>
      <c r="M12" s="619">
        <f ca="1">[1]!RCHGetElementNumber(Ticker,10646)</f>
        <v>42136</v>
      </c>
    </row>
    <row r="13" spans="1:13">
      <c r="A13" t="s">
        <v>42</v>
      </c>
      <c r="B13" s="659"/>
      <c r="C13" s="175"/>
      <c r="D13" s="175"/>
      <c r="E13" s="175"/>
      <c r="F13" s="175"/>
      <c r="G13" s="175"/>
      <c r="H13" s="175"/>
      <c r="I13" s="175"/>
      <c r="J13" s="175"/>
      <c r="K13" s="175"/>
      <c r="L13" s="175"/>
      <c r="M13" s="619"/>
    </row>
    <row r="14" spans="1:13">
      <c r="A14" s="164" t="s">
        <v>675</v>
      </c>
      <c r="B14" s="617">
        <v>6546</v>
      </c>
      <c r="C14" s="612">
        <f ca="1">[1]!RCHGetElementNumber(Ticker,$B14+C$1)</f>
        <v>10151</v>
      </c>
      <c r="D14" s="612">
        <f ca="1">[1]!RCHGetElementNumber(Ticker,$B14+D$1)</f>
        <v>12585</v>
      </c>
      <c r="E14" s="612">
        <f ca="1">[1]!RCHGetElementNumber(Ticker,$B14+E$1)</f>
        <v>14501</v>
      </c>
      <c r="F14" s="612">
        <f ca="1">[1]!RCHGetElementNumber(Ticker,$B14+F$1)</f>
        <v>16607</v>
      </c>
      <c r="G14" s="612">
        <f ca="1">[1]!RCHGetElementNumber(Ticker,$B14+G$1)</f>
        <v>17092</v>
      </c>
      <c r="H14" s="612">
        <f ca="1">[1]!RCHGetElementNumber(Ticker,$B14+H$1)</f>
        <v>17509</v>
      </c>
      <c r="I14" s="612">
        <f ca="1">[1]!RCHGetElementNumber(Ticker,$B14+I$1)</f>
        <v>18234</v>
      </c>
      <c r="J14" s="612">
        <f ca="1">[1]!RCHGetElementNumber(Ticker,$B14+J$1)</f>
        <v>25021</v>
      </c>
      <c r="K14" s="612">
        <f ca="1">[1]!RCHGetElementNumber(Ticker,$B14+K$1)</f>
        <v>23253</v>
      </c>
      <c r="L14" s="612">
        <f ca="1">[1]!RCHGetElementNumber(Ticker,$B14+L$1)</f>
        <v>29858</v>
      </c>
      <c r="M14" s="619">
        <f ca="1">[1]!RCHGetElementNumber(Ticker,10706)</f>
        <v>29291</v>
      </c>
    </row>
    <row r="15" spans="1:13">
      <c r="A15" t="s">
        <v>105</v>
      </c>
      <c r="C15" s="139">
        <f ca="1">[1]!RCHGetYahooHistory(Ticker,YEAR(C3),MONTH(C3),DAY(C3),YEAR(C3),MONTH(C3),DAY(C3),"d","A",0)</f>
        <v>45.95</v>
      </c>
      <c r="D15" s="139">
        <f ca="1">[1]!RCHGetYahooHistory(Ticker,YEAR(D3),MONTH(D3),DAY(D3),YEAR(D3),MONTH(D3),DAY(D3),"d","A",0)</f>
        <v>35.409999999999997</v>
      </c>
      <c r="E15" s="139">
        <f ca="1">[1]!RCHGetYahooHistory(Ticker,YEAR(E3),MONTH(E3),DAY(E3),YEAR(E3),MONTH(E3),DAY(E3),"d","A",0)</f>
        <v>33.380000000000003</v>
      </c>
      <c r="F15" s="139">
        <f ca="1">[1]!RCHGetYahooHistory(Ticker,YEAR(F3),MONTH(F3),DAY(F3),YEAR(F3),MONTH(F3),DAY(F3),"d","A",0)</f>
        <v>43.24</v>
      </c>
      <c r="G15" s="139">
        <f ca="1">[1]!RCHGetYahooHistory(Ticker,YEAR(G3),MONTH(G3),DAY(G3),YEAR(G3),MONTH(G3),DAY(G3),"d","A",0)</f>
        <v>36.69</v>
      </c>
      <c r="H15" s="139">
        <f ca="1">[1]!RCHGetYahooHistory(Ticker,YEAR(H3),MONTH(H3),DAY(H3),YEAR(H3),MONTH(H3),DAY(H3),"d","A",0)</f>
        <v>35.93</v>
      </c>
      <c r="I15" s="139">
        <f ca="1">[1]!RCHGetYahooHistory(Ticker,YEAR(I3),MONTH(I3),DAY(I3),YEAR(I3),MONTH(I3),DAY(I3),"d","A",0)</f>
        <v>43.12</v>
      </c>
      <c r="J15" s="139">
        <f ca="1">[1]!RCHGetYahooHistory(Ticker,YEAR(J3),MONTH(J3),DAY(J3),YEAR(J3),MONTH(J3),DAY(J3),"d","A",0)</f>
        <v>54.08</v>
      </c>
      <c r="K15" s="139">
        <f ca="1">[1]!RCHGetYahooHistory(Ticker,YEAR(K3),MONTH(K3),DAY(K3),YEAR(K3),MONTH(K3),DAY(K3),"d","A",0)</f>
        <v>41.68</v>
      </c>
      <c r="L15" s="139">
        <f ca="1">[1]!RCHGetYahooHistory(Ticker,YEAR(L3),MONTH(L3),DAY(L3),YEAR(L3),MONTH(L3),DAY(L3),"d","A",0)</f>
        <v>53.09</v>
      </c>
      <c r="M15" s="139">
        <f ca="1">[1]!RCHGetYahooQuotes(Ticker,"l1")</f>
        <v>52.4</v>
      </c>
    </row>
    <row r="16" spans="1:13">
      <c r="A16" t="s">
        <v>102</v>
      </c>
      <c r="B16" s="617">
        <v>6646</v>
      </c>
      <c r="C16" s="660">
        <f ca="1">[1]!RCHGetElementNumber(Ticker,$B16+C$1)</f>
        <v>2484.8000000000002</v>
      </c>
      <c r="D16" s="660">
        <f ca="1">[1]!RCHGetElementNumber(Ticker,$B16+D$1)</f>
        <v>2486.1999999999998</v>
      </c>
      <c r="E16" s="660">
        <f ca="1">[1]!RCHGetElementNumber(Ticker,$B16+E$1)</f>
        <v>2471</v>
      </c>
      <c r="F16" s="660">
        <f ca="1">[1]!RCHGetElementNumber(Ticker,$B16+F$1)</f>
        <v>2441.5</v>
      </c>
      <c r="G16" s="660">
        <f ca="1">[1]!RCHGetElementNumber(Ticker,$B16+G$1)</f>
        <v>2409.3000000000002</v>
      </c>
      <c r="H16" s="660">
        <f ca="1">[1]!RCHGetElementNumber(Ticker,$B16+H$1)</f>
        <v>2369</v>
      </c>
      <c r="I16" s="660">
        <f ca="1">[1]!RCHGetElementNumber(Ticker,$B16+I$1)</f>
        <v>2318</v>
      </c>
      <c r="J16" s="660">
        <f ca="1">[1]!RCHGetElementNumber(Ticker,$B16+J$1)</f>
        <v>2318</v>
      </c>
      <c r="K16" s="660">
        <f ca="1">[1]!RCHGetElementNumber(Ticker,$B16+K$1)</f>
        <v>2314.6999999999998</v>
      </c>
      <c r="L16" s="660">
        <f ca="1">[1]!RCHGetElementNumber(Ticker,$B16+L$1)</f>
        <v>2303</v>
      </c>
      <c r="M16" s="661">
        <f ca="1">[1]!RCHGetElementNumber(Ticker,10906)</f>
        <v>2306</v>
      </c>
    </row>
    <row r="18" spans="1:13">
      <c r="A18" s="150" t="s">
        <v>676</v>
      </c>
      <c r="B18" s="150"/>
      <c r="C18" s="170">
        <f t="shared" ref="C18:J18" ca="1" si="0">C7-C9</f>
        <v>-2701</v>
      </c>
      <c r="D18" s="170">
        <f t="shared" ca="1" si="0"/>
        <v>-1258</v>
      </c>
      <c r="E18" s="170">
        <f t="shared" ca="1" si="0"/>
        <v>11</v>
      </c>
      <c r="F18" s="170">
        <f t="shared" ca="1" si="0"/>
        <v>510</v>
      </c>
      <c r="G18" s="170">
        <f t="shared" ca="1" si="0"/>
        <v>1123</v>
      </c>
      <c r="H18" s="170">
        <f t="shared" ca="1" si="0"/>
        <v>414</v>
      </c>
      <c r="I18" s="170">
        <f t="shared" ca="1" si="0"/>
        <v>-449</v>
      </c>
      <c r="J18" s="170">
        <f t="shared" ca="1" si="0"/>
        <v>-1120</v>
      </c>
      <c r="K18" s="170">
        <f ca="1">K7-K9</f>
        <v>-812</v>
      </c>
      <c r="L18" s="170">
        <f ca="1">L7-L9</f>
        <v>3830</v>
      </c>
      <c r="M18" s="170">
        <f ca="1">IF(ISBLANK(PioAltZ!N37),M7-M9,PioAltZ!N37)</f>
        <v>3625</v>
      </c>
    </row>
    <row r="19" spans="1:13">
      <c r="A19" s="150" t="s">
        <v>33</v>
      </c>
      <c r="B19" s="150"/>
      <c r="C19" s="170">
        <f t="shared" ref="C19:J19" ca="1" si="1">C8</f>
        <v>20834</v>
      </c>
      <c r="D19" s="170">
        <f t="shared" ca="1" si="1"/>
        <v>22417</v>
      </c>
      <c r="E19" s="170">
        <f t="shared" ca="1" si="1"/>
        <v>24501</v>
      </c>
      <c r="F19" s="170">
        <f t="shared" ca="1" si="1"/>
        <v>27342</v>
      </c>
      <c r="G19" s="170">
        <f t="shared" ca="1" si="1"/>
        <v>31327</v>
      </c>
      <c r="H19" s="170">
        <f t="shared" ca="1" si="1"/>
        <v>29427</v>
      </c>
      <c r="I19" s="170">
        <f t="shared" ca="1" si="1"/>
        <v>29963</v>
      </c>
      <c r="J19" s="170">
        <f t="shared" ca="1" si="1"/>
        <v>43269</v>
      </c>
      <c r="K19" s="170">
        <f ca="1">K8</f>
        <v>40519</v>
      </c>
      <c r="L19" s="170">
        <f ca="1">L8</f>
        <v>48671</v>
      </c>
      <c r="M19" s="170">
        <f ca="1">IF(ISBLANK(PioAltZ!N38),M8,PioAltZ!N38)</f>
        <v>47403</v>
      </c>
    </row>
    <row r="20" spans="1:13">
      <c r="A20" s="150" t="s">
        <v>1</v>
      </c>
      <c r="B20" s="150"/>
      <c r="C20" s="170">
        <f t="shared" ref="C20:J20" ca="1" si="2">C11</f>
        <v>11518</v>
      </c>
      <c r="D20" s="170">
        <f t="shared" ca="1" si="2"/>
        <v>11051</v>
      </c>
      <c r="E20" s="170">
        <f t="shared" ca="1" si="2"/>
        <v>12701</v>
      </c>
      <c r="F20" s="170">
        <f t="shared" ca="1" si="2"/>
        <v>13252</v>
      </c>
      <c r="G20" s="170">
        <f t="shared" ca="1" si="2"/>
        <v>15392</v>
      </c>
      <c r="H20" s="170">
        <f t="shared" ca="1" si="2"/>
        <v>13072</v>
      </c>
      <c r="I20" s="170">
        <f t="shared" ca="1" si="2"/>
        <v>13043</v>
      </c>
      <c r="J20" s="170">
        <f t="shared" ca="1" si="2"/>
        <v>21525</v>
      </c>
      <c r="K20" s="170">
        <f ca="1">K11</f>
        <v>20047</v>
      </c>
      <c r="L20" s="170">
        <f ca="1">L11</f>
        <v>23872</v>
      </c>
      <c r="M20" s="170">
        <f ca="1">IF(ISBLANK(PioAltZ!N39),M11,PioAltZ!N39)</f>
        <v>22531</v>
      </c>
    </row>
    <row r="21" spans="1:13">
      <c r="A21" s="150" t="s">
        <v>674</v>
      </c>
      <c r="B21" s="150"/>
      <c r="C21" s="170">
        <f t="shared" ref="C21:J21" ca="1" si="3">C12</f>
        <v>21265</v>
      </c>
      <c r="D21" s="170">
        <f t="shared" ca="1" si="3"/>
        <v>23443</v>
      </c>
      <c r="E21" s="170">
        <f t="shared" ca="1" si="3"/>
        <v>24506</v>
      </c>
      <c r="F21" s="170">
        <f t="shared" ca="1" si="3"/>
        <v>26687</v>
      </c>
      <c r="G21" s="170">
        <f t="shared" ca="1" si="3"/>
        <v>29105</v>
      </c>
      <c r="H21" s="170">
        <f t="shared" ca="1" si="3"/>
        <v>31299</v>
      </c>
      <c r="I21" s="170">
        <f t="shared" ca="1" si="3"/>
        <v>33468</v>
      </c>
      <c r="J21" s="170">
        <f t="shared" ca="1" si="3"/>
        <v>36235</v>
      </c>
      <c r="K21" s="170">
        <f ca="1">K12</f>
        <v>38513</v>
      </c>
      <c r="L21" s="170">
        <f ca="1">L12</f>
        <v>41537</v>
      </c>
      <c r="M21" s="170">
        <f ca="1">IF(ISBLANK(PioAltZ!N40),M12,PioAltZ!N40)</f>
        <v>42136</v>
      </c>
    </row>
    <row r="22" spans="1:13">
      <c r="A22" s="150" t="s">
        <v>122</v>
      </c>
      <c r="B22" s="150"/>
      <c r="C22" s="170">
        <f t="shared" ref="C22:J22" ca="1" si="4">C6</f>
        <v>4464</v>
      </c>
      <c r="D22" s="170">
        <f t="shared" ca="1" si="4"/>
        <v>6155</v>
      </c>
      <c r="E22" s="170">
        <f t="shared" ca="1" si="4"/>
        <v>6264</v>
      </c>
      <c r="F22" s="170">
        <f t="shared" ca="1" si="4"/>
        <v>6071</v>
      </c>
      <c r="G22" s="170">
        <f t="shared" ca="1" si="4"/>
        <v>6591</v>
      </c>
      <c r="H22" s="170">
        <f t="shared" ca="1" si="4"/>
        <v>7017</v>
      </c>
      <c r="I22" s="170">
        <f t="shared" ca="1" si="4"/>
        <v>7246</v>
      </c>
      <c r="J22" s="170">
        <f t="shared" ca="1" si="4"/>
        <v>8415</v>
      </c>
      <c r="K22" s="170">
        <f ca="1">K6</f>
        <v>10024</v>
      </c>
      <c r="L22" s="170">
        <f ca="1">L6</f>
        <v>9780</v>
      </c>
      <c r="M22" s="170">
        <f ca="1">IF(ISBLANK(PioAltZ!N41),M6,PioAltZ!N41)</f>
        <v>2574</v>
      </c>
    </row>
    <row r="23" spans="1:13">
      <c r="A23" s="150" t="s">
        <v>723</v>
      </c>
      <c r="B23" s="622">
        <v>941</v>
      </c>
      <c r="C23" s="170">
        <f t="shared" ref="C23:J23" ca="1" si="5">C15*C16</f>
        <v>114176.56000000001</v>
      </c>
      <c r="D23" s="170">
        <f t="shared" ca="1" si="5"/>
        <v>88036.34199999999</v>
      </c>
      <c r="E23" s="170">
        <f t="shared" ca="1" si="5"/>
        <v>82481.98000000001</v>
      </c>
      <c r="F23" s="170">
        <f t="shared" ca="1" si="5"/>
        <v>105570.46</v>
      </c>
      <c r="G23" s="170">
        <f t="shared" ca="1" si="5"/>
        <v>88397.217000000004</v>
      </c>
      <c r="H23" s="170">
        <f t="shared" ca="1" si="5"/>
        <v>85118.17</v>
      </c>
      <c r="I23" s="170">
        <f t="shared" ca="1" si="5"/>
        <v>99952.159999999989</v>
      </c>
      <c r="J23" s="170">
        <f t="shared" ca="1" si="5"/>
        <v>125357.44</v>
      </c>
      <c r="K23" s="170">
        <f ca="1">K15*K16</f>
        <v>96476.695999999996</v>
      </c>
      <c r="L23" s="170">
        <f ca="1">[1]!RCHGetElementNumber(Ticker,$B$23+L$1)/1000</f>
        <v>120890</v>
      </c>
      <c r="M23" s="170">
        <f ca="1">IF(ISBLANK(PioAltZ!N42),[1]!RCHGetElementNumber(Ticker,$B$23+L$1)/1000,PioAltZ!N42)</f>
        <v>120890</v>
      </c>
    </row>
    <row r="24" spans="1:13">
      <c r="A24" s="150" t="s">
        <v>678</v>
      </c>
      <c r="B24" s="150"/>
      <c r="C24" s="170">
        <f t="shared" ref="C24:J24" ca="1" si="6">C5</f>
        <v>20458</v>
      </c>
      <c r="D24" s="170">
        <f t="shared" ca="1" si="6"/>
        <v>20092</v>
      </c>
      <c r="E24" s="170">
        <f t="shared" ca="1" si="6"/>
        <v>19564</v>
      </c>
      <c r="F24" s="170">
        <f t="shared" ca="1" si="6"/>
        <v>21044</v>
      </c>
      <c r="G24" s="170">
        <f t="shared" ca="1" si="6"/>
        <v>21962</v>
      </c>
      <c r="H24" s="170">
        <f t="shared" ca="1" si="6"/>
        <v>23104</v>
      </c>
      <c r="I24" s="170">
        <f t="shared" ca="1" si="6"/>
        <v>24088</v>
      </c>
      <c r="J24" s="170">
        <f t="shared" ca="1" si="6"/>
        <v>28857</v>
      </c>
      <c r="K24" s="170">
        <f ca="1">K5</f>
        <v>31944</v>
      </c>
      <c r="L24" s="170">
        <f ca="1">L5</f>
        <v>30990</v>
      </c>
      <c r="M24" s="170">
        <f ca="1">IF(ISBLANK(PioAltZ!N43),M5,PioAltZ!N43)</f>
        <v>7525</v>
      </c>
    </row>
    <row r="26" spans="1:13" ht="12" customHeight="1">
      <c r="A26" t="s">
        <v>684</v>
      </c>
    </row>
    <row r="27" spans="1:13" ht="12" customHeight="1">
      <c r="A27" t="s">
        <v>685</v>
      </c>
    </row>
    <row r="28" spans="1:13" ht="12" customHeight="1">
      <c r="A28" t="s">
        <v>686</v>
      </c>
    </row>
    <row r="29" spans="1:13" ht="12" customHeight="1">
      <c r="A29" t="s">
        <v>687</v>
      </c>
    </row>
    <row r="30" spans="1:13" ht="12" customHeight="1">
      <c r="A30" t="s">
        <v>688</v>
      </c>
    </row>
    <row r="31" spans="1:13" ht="12" customHeight="1"/>
    <row r="32" spans="1:13" ht="12" customHeight="1"/>
    <row r="33" spans="1:13" ht="12" customHeight="1">
      <c r="A33" t="s">
        <v>679</v>
      </c>
      <c r="C33" s="621">
        <f ca="1">C18/C19</f>
        <v>-0.1296438513967553</v>
      </c>
      <c r="D33" s="621">
        <f t="shared" ref="D33:L33" ca="1" si="7">D18/D19</f>
        <v>-5.6118124637551857E-2</v>
      </c>
      <c r="E33" s="621">
        <f t="shared" ca="1" si="7"/>
        <v>4.4896126688706583E-4</v>
      </c>
      <c r="F33" s="621">
        <f t="shared" ca="1" si="7"/>
        <v>1.8652622339258285E-2</v>
      </c>
      <c r="G33" s="621">
        <f t="shared" ca="1" si="7"/>
        <v>3.58476713378236E-2</v>
      </c>
      <c r="H33" s="621">
        <f t="shared" ca="1" si="7"/>
        <v>1.4068712406973188E-2</v>
      </c>
      <c r="I33" s="621">
        <f t="shared" ca="1" si="7"/>
        <v>-1.4985148349631211E-2</v>
      </c>
      <c r="J33" s="621">
        <f t="shared" ca="1" si="7"/>
        <v>-2.5884582495551086E-2</v>
      </c>
      <c r="K33" s="621">
        <f t="shared" ca="1" si="7"/>
        <v>-2.0039981243367311E-2</v>
      </c>
      <c r="L33" s="621">
        <f t="shared" ca="1" si="7"/>
        <v>7.8691623348605952E-2</v>
      </c>
      <c r="M33" s="621">
        <f ca="1">M18/M19</f>
        <v>7.6471953251903882E-2</v>
      </c>
    </row>
    <row r="34" spans="1:13" ht="12" customHeight="1">
      <c r="A34" t="s">
        <v>680</v>
      </c>
      <c r="C34" s="621">
        <f ca="1">C21/C19</f>
        <v>1.0206873380051837</v>
      </c>
      <c r="D34" s="621">
        <f t="shared" ref="D34:L34" ca="1" si="8">D21/D19</f>
        <v>1.0457688361511353</v>
      </c>
      <c r="E34" s="621">
        <f t="shared" ca="1" si="8"/>
        <v>1.0002040733031305</v>
      </c>
      <c r="F34" s="621">
        <f t="shared" ca="1" si="8"/>
        <v>0.97604418111330549</v>
      </c>
      <c r="G34" s="621">
        <f t="shared" ca="1" si="8"/>
        <v>0.92907076962364732</v>
      </c>
      <c r="H34" s="621">
        <f t="shared" ca="1" si="8"/>
        <v>1.063615047405444</v>
      </c>
      <c r="I34" s="621">
        <f t="shared" ca="1" si="8"/>
        <v>1.1169776057137135</v>
      </c>
      <c r="J34" s="621">
        <f t="shared" ca="1" si="8"/>
        <v>0.83743557743419073</v>
      </c>
      <c r="K34" s="621">
        <f t="shared" ca="1" si="8"/>
        <v>0.95049236160813444</v>
      </c>
      <c r="L34" s="621">
        <f t="shared" ca="1" si="8"/>
        <v>0.85342401019087344</v>
      </c>
      <c r="M34" s="621">
        <f ca="1">M21/M19</f>
        <v>0.88888888888888884</v>
      </c>
    </row>
    <row r="35" spans="1:13" ht="12" customHeight="1">
      <c r="A35" t="s">
        <v>681</v>
      </c>
      <c r="C35" s="621">
        <f ca="1">C22/C19</f>
        <v>0.21426514351540751</v>
      </c>
      <c r="D35" s="621">
        <f t="shared" ref="D35:L35" ca="1" si="9">D22/D19</f>
        <v>0.27456840790471515</v>
      </c>
      <c r="E35" s="621">
        <f t="shared" ca="1" si="9"/>
        <v>0.25566303416187092</v>
      </c>
      <c r="F35" s="621">
        <f t="shared" ca="1" si="9"/>
        <v>0.22203935337575892</v>
      </c>
      <c r="G35" s="621">
        <f t="shared" ca="1" si="9"/>
        <v>0.21039359019376258</v>
      </c>
      <c r="H35" s="621">
        <f t="shared" ca="1" si="9"/>
        <v>0.23845448057906005</v>
      </c>
      <c r="I35" s="621">
        <f t="shared" ca="1" si="9"/>
        <v>0.2418315922971665</v>
      </c>
      <c r="J35" s="621">
        <f t="shared" ca="1" si="9"/>
        <v>0.19448103723219856</v>
      </c>
      <c r="K35" s="621">
        <f t="shared" ca="1" si="9"/>
        <v>0.24739011328018953</v>
      </c>
      <c r="L35" s="621">
        <f t="shared" ca="1" si="9"/>
        <v>0.20094101210166218</v>
      </c>
      <c r="M35" s="621">
        <f ca="1">M22/M19</f>
        <v>5.4300360736662237E-2</v>
      </c>
    </row>
    <row r="36" spans="1:13" ht="12" customHeight="1">
      <c r="A36" t="s">
        <v>682</v>
      </c>
      <c r="C36" s="621">
        <f ca="1">C23/C20</f>
        <v>9.9128807084563295</v>
      </c>
      <c r="D36" s="621">
        <f t="shared" ref="D36:L36" ca="1" si="10">D23/D20</f>
        <v>7.9663688353995106</v>
      </c>
      <c r="E36" s="621">
        <f t="shared" ca="1" si="10"/>
        <v>6.4941327454531148</v>
      </c>
      <c r="F36" s="621">
        <f t="shared" ca="1" si="10"/>
        <v>7.9663794144280118</v>
      </c>
      <c r="G36" s="621">
        <f t="shared" ca="1" si="10"/>
        <v>5.7430624350311854</v>
      </c>
      <c r="H36" s="621">
        <f t="shared" ca="1" si="10"/>
        <v>6.5114879130966949</v>
      </c>
      <c r="I36" s="621">
        <f t="shared" ca="1" si="10"/>
        <v>7.6632799202637418</v>
      </c>
      <c r="J36" s="621">
        <f t="shared" ca="1" si="10"/>
        <v>5.8238067363530783</v>
      </c>
      <c r="K36" s="621">
        <f t="shared" ca="1" si="10"/>
        <v>4.8125253653913305</v>
      </c>
      <c r="L36" s="621">
        <f t="shared" ca="1" si="10"/>
        <v>5.0640918230562999</v>
      </c>
      <c r="M36" s="621">
        <f ca="1">M23/M20</f>
        <v>5.3654964271448229</v>
      </c>
    </row>
    <row r="37" spans="1:13">
      <c r="A37" t="s">
        <v>683</v>
      </c>
      <c r="C37" s="621">
        <f ca="1">C24/C19</f>
        <v>0.98195257751751941</v>
      </c>
      <c r="D37" s="621">
        <f t="shared" ref="D37:L37" ca="1" si="11">D24/D19</f>
        <v>0.89628407012535127</v>
      </c>
      <c r="E37" s="621">
        <f t="shared" ca="1" si="11"/>
        <v>0.79849802048895968</v>
      </c>
      <c r="F37" s="621">
        <f t="shared" ca="1" si="11"/>
        <v>0.76965840099480654</v>
      </c>
      <c r="G37" s="621">
        <f t="shared" ca="1" si="11"/>
        <v>0.70105659654611041</v>
      </c>
      <c r="H37" s="621">
        <f t="shared" ca="1" si="11"/>
        <v>0.78512930302103512</v>
      </c>
      <c r="I37" s="621">
        <f t="shared" ca="1" si="11"/>
        <v>0.80392484063678538</v>
      </c>
      <c r="J37" s="621">
        <f t="shared" ca="1" si="11"/>
        <v>0.66692089024474799</v>
      </c>
      <c r="K37" s="621">
        <f t="shared" ca="1" si="11"/>
        <v>0.7883708877316814</v>
      </c>
      <c r="L37" s="621">
        <f t="shared" ca="1" si="11"/>
        <v>0.63672412730373318</v>
      </c>
      <c r="M37" s="621">
        <f ca="1">M24/M19</f>
        <v>0.15874522709533151</v>
      </c>
    </row>
    <row r="39" spans="1:13">
      <c r="A39" s="498" t="s">
        <v>731</v>
      </c>
      <c r="B39" s="674"/>
      <c r="C39" s="674"/>
      <c r="D39" s="674"/>
      <c r="E39" s="674"/>
      <c r="F39" s="674"/>
      <c r="G39" s="674"/>
      <c r="H39" s="674"/>
      <c r="I39" s="674"/>
      <c r="J39" s="674"/>
      <c r="K39" s="674"/>
      <c r="L39" s="674"/>
      <c r="M39" s="674"/>
    </row>
    <row r="40" spans="1:13">
      <c r="A40" t="s">
        <v>679</v>
      </c>
      <c r="C40">
        <f ca="1">IF(ISERROR(C33),"",C33)</f>
        <v>-0.1296438513967553</v>
      </c>
      <c r="D40">
        <f t="shared" ref="D40:M40" ca="1" si="12">IF(ISERROR(D33),"",D33)</f>
        <v>-5.6118124637551857E-2</v>
      </c>
      <c r="E40">
        <f t="shared" ca="1" si="12"/>
        <v>4.4896126688706583E-4</v>
      </c>
      <c r="F40">
        <f t="shared" ca="1" si="12"/>
        <v>1.8652622339258285E-2</v>
      </c>
      <c r="G40">
        <f t="shared" ca="1" si="12"/>
        <v>3.58476713378236E-2</v>
      </c>
      <c r="H40">
        <f t="shared" ca="1" si="12"/>
        <v>1.4068712406973188E-2</v>
      </c>
      <c r="I40">
        <f t="shared" ca="1" si="12"/>
        <v>-1.4985148349631211E-2</v>
      </c>
      <c r="J40">
        <f t="shared" ca="1" si="12"/>
        <v>-2.5884582495551086E-2</v>
      </c>
      <c r="K40">
        <f t="shared" ca="1" si="12"/>
        <v>-2.0039981243367311E-2</v>
      </c>
      <c r="L40">
        <f t="shared" ca="1" si="12"/>
        <v>7.8691623348605952E-2</v>
      </c>
      <c r="M40">
        <f t="shared" ca="1" si="12"/>
        <v>7.6471953251903882E-2</v>
      </c>
    </row>
    <row r="41" spans="1:13">
      <c r="A41" t="s">
        <v>680</v>
      </c>
      <c r="C41">
        <f t="shared" ref="C41:M44" ca="1" si="13">IF(ISERROR(C34),"",C34)</f>
        <v>1.0206873380051837</v>
      </c>
      <c r="D41">
        <f t="shared" ca="1" si="13"/>
        <v>1.0457688361511353</v>
      </c>
      <c r="E41">
        <f t="shared" ca="1" si="13"/>
        <v>1.0002040733031305</v>
      </c>
      <c r="F41">
        <f t="shared" ca="1" si="13"/>
        <v>0.97604418111330549</v>
      </c>
      <c r="G41">
        <f t="shared" ca="1" si="13"/>
        <v>0.92907076962364732</v>
      </c>
      <c r="H41">
        <f t="shared" ca="1" si="13"/>
        <v>1.063615047405444</v>
      </c>
      <c r="I41">
        <f t="shared" ca="1" si="13"/>
        <v>1.1169776057137135</v>
      </c>
      <c r="J41">
        <f t="shared" ca="1" si="13"/>
        <v>0.83743557743419073</v>
      </c>
      <c r="K41">
        <f t="shared" ca="1" si="13"/>
        <v>0.95049236160813444</v>
      </c>
      <c r="L41">
        <f t="shared" ca="1" si="13"/>
        <v>0.85342401019087344</v>
      </c>
      <c r="M41">
        <f t="shared" ca="1" si="13"/>
        <v>0.88888888888888884</v>
      </c>
    </row>
    <row r="42" spans="1:13">
      <c r="A42" t="s">
        <v>681</v>
      </c>
      <c r="C42">
        <f t="shared" ca="1" si="13"/>
        <v>0.21426514351540751</v>
      </c>
      <c r="D42">
        <f t="shared" ca="1" si="13"/>
        <v>0.27456840790471515</v>
      </c>
      <c r="E42">
        <f t="shared" ca="1" si="13"/>
        <v>0.25566303416187092</v>
      </c>
      <c r="F42">
        <f t="shared" ca="1" si="13"/>
        <v>0.22203935337575892</v>
      </c>
      <c r="G42">
        <f t="shared" ca="1" si="13"/>
        <v>0.21039359019376258</v>
      </c>
      <c r="H42">
        <f t="shared" ca="1" si="13"/>
        <v>0.23845448057906005</v>
      </c>
      <c r="I42">
        <f t="shared" ca="1" si="13"/>
        <v>0.2418315922971665</v>
      </c>
      <c r="J42">
        <f t="shared" ca="1" si="13"/>
        <v>0.19448103723219856</v>
      </c>
      <c r="K42">
        <f t="shared" ca="1" si="13"/>
        <v>0.24739011328018953</v>
      </c>
      <c r="L42">
        <f t="shared" ca="1" si="13"/>
        <v>0.20094101210166218</v>
      </c>
      <c r="M42">
        <f t="shared" ca="1" si="13"/>
        <v>5.4300360736662237E-2</v>
      </c>
    </row>
    <row r="43" spans="1:13">
      <c r="A43" t="s">
        <v>682</v>
      </c>
      <c r="C43">
        <f t="shared" ca="1" si="13"/>
        <v>9.9128807084563295</v>
      </c>
      <c r="D43">
        <f t="shared" ca="1" si="13"/>
        <v>7.9663688353995106</v>
      </c>
      <c r="E43">
        <f t="shared" ca="1" si="13"/>
        <v>6.4941327454531148</v>
      </c>
      <c r="F43">
        <f t="shared" ca="1" si="13"/>
        <v>7.9663794144280118</v>
      </c>
      <c r="G43">
        <f t="shared" ca="1" si="13"/>
        <v>5.7430624350311854</v>
      </c>
      <c r="H43">
        <f t="shared" ca="1" si="13"/>
        <v>6.5114879130966949</v>
      </c>
      <c r="I43">
        <f t="shared" ca="1" si="13"/>
        <v>7.6632799202637418</v>
      </c>
      <c r="J43">
        <f t="shared" ca="1" si="13"/>
        <v>5.8238067363530783</v>
      </c>
      <c r="K43">
        <f t="shared" ca="1" si="13"/>
        <v>4.8125253653913305</v>
      </c>
      <c r="L43">
        <f t="shared" ca="1" si="13"/>
        <v>5.0640918230562999</v>
      </c>
      <c r="M43">
        <f t="shared" ca="1" si="13"/>
        <v>5.3654964271448229</v>
      </c>
    </row>
    <row r="44" spans="1:13">
      <c r="A44" t="s">
        <v>683</v>
      </c>
      <c r="C44">
        <f t="shared" ca="1" si="13"/>
        <v>0.98195257751751941</v>
      </c>
      <c r="D44">
        <f t="shared" ca="1" si="13"/>
        <v>0.89628407012535127</v>
      </c>
      <c r="E44">
        <f t="shared" ca="1" si="13"/>
        <v>0.79849802048895968</v>
      </c>
      <c r="F44">
        <f t="shared" ca="1" si="13"/>
        <v>0.76965840099480654</v>
      </c>
      <c r="G44">
        <f t="shared" ca="1" si="13"/>
        <v>0.70105659654611041</v>
      </c>
      <c r="H44">
        <f t="shared" ca="1" si="13"/>
        <v>0.78512930302103512</v>
      </c>
      <c r="I44">
        <f t="shared" ca="1" si="13"/>
        <v>0.80392484063678538</v>
      </c>
      <c r="J44">
        <f t="shared" ca="1" si="13"/>
        <v>0.66692089024474799</v>
      </c>
      <c r="K44">
        <f t="shared" ca="1" si="13"/>
        <v>0.7883708877316814</v>
      </c>
      <c r="L44">
        <f t="shared" ca="1" si="13"/>
        <v>0.63672412730373318</v>
      </c>
      <c r="M44">
        <f t="shared" ca="1" si="13"/>
        <v>0.15874522709533151</v>
      </c>
    </row>
    <row r="46" spans="1:13">
      <c r="A46" s="498" t="s">
        <v>730</v>
      </c>
      <c r="C46" t="b">
        <f ca="1">OR(C40="",C41="",C42="",C43="",C44="")</f>
        <v>0</v>
      </c>
      <c r="D46" t="b">
        <f t="shared" ref="D46:M46" ca="1" si="14">OR(D40="",D41="",D42="",D43="",D44="")</f>
        <v>0</v>
      </c>
      <c r="E46" t="b">
        <f t="shared" ca="1" si="14"/>
        <v>0</v>
      </c>
      <c r="F46" t="b">
        <f t="shared" ca="1" si="14"/>
        <v>0</v>
      </c>
      <c r="G46" t="b">
        <f t="shared" ca="1" si="14"/>
        <v>0</v>
      </c>
      <c r="H46" t="b">
        <f t="shared" ca="1" si="14"/>
        <v>0</v>
      </c>
      <c r="I46" t="b">
        <f t="shared" ca="1" si="14"/>
        <v>0</v>
      </c>
      <c r="J46" t="b">
        <f t="shared" ca="1" si="14"/>
        <v>0</v>
      </c>
      <c r="K46" t="b">
        <f t="shared" ca="1" si="14"/>
        <v>0</v>
      </c>
      <c r="L46" t="b">
        <f t="shared" ca="1" si="14"/>
        <v>0</v>
      </c>
      <c r="M46" t="b">
        <f t="shared" ca="1" si="14"/>
        <v>0</v>
      </c>
    </row>
    <row r="48" spans="1:13">
      <c r="A48" t="s">
        <v>701</v>
      </c>
      <c r="C48">
        <f ca="1">IF(C46=TRUE,"",1.2*C40+1.4*C41+3.3*C42+0.6*C43+0.999*C44)</f>
        <v>8.9091636751457948</v>
      </c>
      <c r="D48">
        <f t="shared" ref="D48:M48" ca="1" si="15">IF(D46=TRUE,"",1.2*D40+1.4*D41+3.3*D42+0.6*D43+0.999*D44)</f>
        <v>7.9780194544270184</v>
      </c>
      <c r="E48">
        <f t="shared" ca="1" si="15"/>
        <v>6.9386916386191606</v>
      </c>
      <c r="F48">
        <f t="shared" ca="1" si="15"/>
        <v>7.67029125775636</v>
      </c>
      <c r="G48">
        <f t="shared" ca="1" si="15"/>
        <v>6.1842081316861863</v>
      </c>
      <c r="H48">
        <f t="shared" ca="1" si="15"/>
        <v>6.9840802287429193</v>
      </c>
      <c r="I48">
        <f t="shared" ca="1" si="15"/>
        <v>7.7449195925146848</v>
      </c>
      <c r="J48">
        <f t="shared" ca="1" si="15"/>
        <v>5.9436737434458111</v>
      </c>
      <c r="K48">
        <f t="shared" ca="1" si="15"/>
        <v>5.7981264386627203</v>
      </c>
      <c r="L48">
        <f t="shared" ca="1" si="15"/>
        <v>5.6268713992312431</v>
      </c>
      <c r="M48">
        <f t="shared" ca="1" si="15"/>
        <v>4.8932863169328442</v>
      </c>
    </row>
    <row r="49" spans="1:13">
      <c r="A49" t="s">
        <v>695</v>
      </c>
      <c r="C49">
        <f ca="1">IF(C46=TRUE,"",6.56*C40+3.26*C41+6.72*C42+1.05*C43)</f>
        <v>14.32536356503687</v>
      </c>
      <c r="D49">
        <f t="shared" ref="D49:M49" ca="1" si="16">IF(D46=TRUE,"",6.56*D40+3.26*D41+6.72*D42+1.05*D43)</f>
        <v>13.250858486519531</v>
      </c>
      <c r="E49">
        <f t="shared" ca="1" si="16"/>
        <v>11.800505437172529</v>
      </c>
      <c r="F49">
        <f t="shared" ca="1" si="16"/>
        <v>13.161068072809424</v>
      </c>
      <c r="G49">
        <f t="shared" ca="1" si="16"/>
        <v>10.707991915834043</v>
      </c>
      <c r="H49">
        <f t="shared" ca="1" si="16"/>
        <v>11.999152226174305</v>
      </c>
      <c r="I49">
        <f t="shared" ca="1" si="16"/>
        <v>13.214596637967013</v>
      </c>
      <c r="J49">
        <f t="shared" ca="1" si="16"/>
        <v>9.982146764635754</v>
      </c>
      <c r="K49">
        <f t="shared" ca="1" si="16"/>
        <v>9.6827560167897992</v>
      </c>
      <c r="L49">
        <f t="shared" ca="1" si="16"/>
        <v>9.9659993379213869</v>
      </c>
      <c r="M49">
        <f t="shared" ca="1" si="16"/>
        <v>9.3981034637627019</v>
      </c>
    </row>
  </sheetData>
  <pageMargins left="0.7" right="0.7" top="0.75" bottom="0.75" header="0.3" footer="0.3"/>
  <pageSetup orientation="portrait" horizontalDpi="0" verticalDpi="0" r:id="rId1"/>
  <legacyDrawing r:id="rId2"/>
</worksheet>
</file>

<file path=xl/worksheets/sheet16.xml><?xml version="1.0" encoding="utf-8"?>
<worksheet xmlns="http://schemas.openxmlformats.org/spreadsheetml/2006/main" xmlns:r="http://schemas.openxmlformats.org/officeDocument/2006/relationships">
  <sheetPr codeName="Sheet29"/>
  <dimension ref="A3:L50"/>
  <sheetViews>
    <sheetView topLeftCell="A3" zoomScale="75" zoomScaleNormal="75" workbookViewId="0">
      <selection activeCell="D47" sqref="D47"/>
    </sheetView>
  </sheetViews>
  <sheetFormatPr defaultRowHeight="12.75"/>
  <cols>
    <col min="1" max="1" width="31" bestFit="1" customWidth="1"/>
    <col min="2" max="12" width="11.5703125" bestFit="1" customWidth="1"/>
  </cols>
  <sheetData>
    <row r="3" spans="1:12">
      <c r="A3" s="498" t="s">
        <v>560</v>
      </c>
      <c r="B3" s="31">
        <f ca="1">Statements!E5</f>
        <v>2000</v>
      </c>
      <c r="C3" s="31">
        <f ca="1">Statements!F5</f>
        <v>2001</v>
      </c>
      <c r="D3" s="31">
        <f ca="1">Statements!G5</f>
        <v>2002</v>
      </c>
      <c r="E3" s="31">
        <f ca="1">Statements!H5</f>
        <v>2003</v>
      </c>
      <c r="F3" s="31">
        <f ca="1">Statements!I5</f>
        <v>2004</v>
      </c>
      <c r="G3" s="31">
        <f ca="1">Statements!J5</f>
        <v>2005</v>
      </c>
      <c r="H3" s="31">
        <f ca="1">Statements!K5</f>
        <v>2006</v>
      </c>
      <c r="I3" s="31">
        <f ca="1">Statements!L5</f>
        <v>2007</v>
      </c>
      <c r="J3" s="31">
        <f ca="1">Statements!M5</f>
        <v>2008</v>
      </c>
      <c r="K3" s="31">
        <f ca="1">Statements!N5</f>
        <v>2009</v>
      </c>
      <c r="L3" s="31" t="str">
        <f ca="1">Statements!S5</f>
        <v>TTM</v>
      </c>
    </row>
    <row r="4" spans="1:12">
      <c r="A4" s="33" t="s">
        <v>678</v>
      </c>
      <c r="B4" s="151">
        <f ca="1">Statements!E7</f>
        <v>20458</v>
      </c>
      <c r="C4" s="151">
        <f ca="1">Statements!F7</f>
        <v>20092</v>
      </c>
      <c r="D4" s="151">
        <f ca="1">Statements!G7</f>
        <v>19564</v>
      </c>
      <c r="E4" s="151">
        <f ca="1">Statements!H7</f>
        <v>21044</v>
      </c>
      <c r="F4" s="151">
        <f ca="1">Statements!I7</f>
        <v>21962</v>
      </c>
      <c r="G4" s="151">
        <f ca="1">Statements!J7</f>
        <v>23104</v>
      </c>
      <c r="H4" s="151">
        <f ca="1">Statements!K7</f>
        <v>24088</v>
      </c>
      <c r="I4" s="151">
        <f ca="1">Statements!L7</f>
        <v>28857</v>
      </c>
      <c r="J4" s="151">
        <f ca="1">Statements!M7</f>
        <v>31944</v>
      </c>
      <c r="K4" s="151">
        <f ca="1">Statements!N7</f>
        <v>30990</v>
      </c>
      <c r="L4" s="151">
        <f ca="1">Statements!S7</f>
        <v>31346</v>
      </c>
    </row>
    <row r="5" spans="1:12">
      <c r="A5" s="33" t="s">
        <v>15</v>
      </c>
      <c r="B5" s="151">
        <f ca="1">Statements!E9</f>
        <v>6204</v>
      </c>
      <c r="C5" s="151">
        <f ca="1">Statements!F9</f>
        <v>6044</v>
      </c>
      <c r="D5" s="151">
        <f ca="1">Statements!G9</f>
        <v>7105</v>
      </c>
      <c r="E5" s="151">
        <f ca="1">Statements!H9</f>
        <v>7762</v>
      </c>
      <c r="F5" s="151">
        <f ca="1">Statements!I9</f>
        <v>7638</v>
      </c>
      <c r="G5" s="151">
        <f ca="1">Statements!J9</f>
        <v>8195</v>
      </c>
      <c r="H5" s="151">
        <f ca="1">Statements!K9</f>
        <v>8164</v>
      </c>
      <c r="I5" s="151">
        <f ca="1">Statements!L9</f>
        <v>10406</v>
      </c>
      <c r="J5" s="151">
        <f ca="1">Statements!M9</f>
        <v>11374</v>
      </c>
      <c r="K5" s="151">
        <f ca="1">Statements!N9</f>
        <v>11088</v>
      </c>
      <c r="L5" s="151">
        <f ca="1">Statements!S9</f>
        <v>11039</v>
      </c>
    </row>
    <row r="6" spans="1:12">
      <c r="A6" s="33" t="s">
        <v>792</v>
      </c>
      <c r="B6" s="151">
        <f ca="1">Statements!E43</f>
        <v>1757</v>
      </c>
      <c r="C6" s="151">
        <f ca="1">Statements!F43</f>
        <v>1882</v>
      </c>
      <c r="D6" s="151">
        <f ca="1">Statements!G43</f>
        <v>2097</v>
      </c>
      <c r="E6" s="151">
        <f ca="1">Statements!H43</f>
        <v>2091</v>
      </c>
      <c r="F6" s="151">
        <f ca="1">Statements!I43</f>
        <v>2171</v>
      </c>
      <c r="G6" s="151">
        <f ca="1">Statements!J43</f>
        <v>2281</v>
      </c>
      <c r="H6" s="151">
        <f ca="1">Statements!K43</f>
        <v>2587</v>
      </c>
      <c r="I6" s="151">
        <f ca="1">Statements!L43</f>
        <v>3317</v>
      </c>
      <c r="J6" s="151">
        <f ca="1">Statements!M43</f>
        <v>3090</v>
      </c>
      <c r="K6" s="151">
        <f ca="1">Statements!N43</f>
        <v>3758</v>
      </c>
      <c r="L6" s="151">
        <f ca="1">Statements!S43</f>
        <v>3705</v>
      </c>
    </row>
    <row r="7" spans="1:12">
      <c r="A7" s="33" t="s">
        <v>793</v>
      </c>
      <c r="B7" s="151">
        <f ca="1">Statements!E48</f>
        <v>6620</v>
      </c>
      <c r="C7" s="151">
        <f ca="1">Statements!F48</f>
        <v>7171</v>
      </c>
      <c r="D7" s="151">
        <f ca="1">Statements!G48</f>
        <v>7352</v>
      </c>
      <c r="E7" s="151">
        <f ca="1">Statements!H48</f>
        <v>8396</v>
      </c>
      <c r="F7" s="151">
        <f ca="1">Statements!I48</f>
        <v>12094</v>
      </c>
      <c r="G7" s="151">
        <f ca="1">Statements!J48</f>
        <v>10250</v>
      </c>
      <c r="H7" s="151">
        <f ca="1">Statements!K48</f>
        <v>8441</v>
      </c>
      <c r="I7" s="151">
        <f ca="1">Statements!L48</f>
        <v>12105</v>
      </c>
      <c r="J7" s="151">
        <f ca="1">Statements!M48</f>
        <v>12176</v>
      </c>
      <c r="K7" s="151">
        <f ca="1">Statements!N48</f>
        <v>17551</v>
      </c>
      <c r="L7" s="151">
        <f ca="1">Statements!S48</f>
        <v>17208</v>
      </c>
    </row>
    <row r="8" spans="1:12">
      <c r="A8" s="33" t="s">
        <v>794</v>
      </c>
      <c r="B8" s="151">
        <f ca="1">Statements!E49</f>
        <v>4168</v>
      </c>
      <c r="C8" s="151">
        <f ca="1">Statements!F49</f>
        <v>4453</v>
      </c>
      <c r="D8" s="151">
        <f ca="1">Statements!G49</f>
        <v>5911</v>
      </c>
      <c r="E8" s="151">
        <f ca="1">Statements!H49</f>
        <v>6097</v>
      </c>
      <c r="F8" s="151">
        <f ca="1">Statements!I49</f>
        <v>6091</v>
      </c>
      <c r="G8" s="151">
        <f ca="1">Statements!J49</f>
        <v>5786</v>
      </c>
      <c r="H8" s="151">
        <f ca="1">Statements!K49</f>
        <v>6903</v>
      </c>
      <c r="I8" s="151">
        <f ca="1">Statements!L49</f>
        <v>8493</v>
      </c>
      <c r="J8" s="151">
        <f ca="1">Statements!M49</f>
        <v>8326</v>
      </c>
      <c r="K8" s="151">
        <f ca="1">Statements!N49</f>
        <v>9561</v>
      </c>
      <c r="L8" s="151">
        <f ca="1">Statements!S49</f>
        <v>9036</v>
      </c>
    </row>
    <row r="9" spans="1:12">
      <c r="A9" s="33" t="s">
        <v>795</v>
      </c>
      <c r="B9" s="151">
        <f ca="1">Statements!E69</f>
        <v>773</v>
      </c>
      <c r="C9" s="151">
        <f ca="1">Statements!F69</f>
        <v>803</v>
      </c>
      <c r="D9" s="151">
        <f ca="1">Statements!G69</f>
        <v>806</v>
      </c>
      <c r="E9" s="151">
        <f ca="1">Statements!H69</f>
        <v>850</v>
      </c>
      <c r="F9" s="151">
        <f ca="1">Statements!I69</f>
        <v>893</v>
      </c>
      <c r="G9" s="151">
        <f ca="1">Statements!J69</f>
        <v>932</v>
      </c>
      <c r="H9" s="151">
        <f ca="1">Statements!K69</f>
        <v>938</v>
      </c>
      <c r="I9" s="151">
        <f ca="1">Statements!L69</f>
        <v>1163</v>
      </c>
      <c r="J9" s="151">
        <f ca="1">Statements!M69</f>
        <v>1228</v>
      </c>
      <c r="K9" s="151">
        <f ca="1">Statements!N69</f>
        <v>1236</v>
      </c>
      <c r="L9" s="151">
        <f ca="1">Statements!S69</f>
        <v>1248</v>
      </c>
    </row>
    <row r="10" spans="1:12">
      <c r="A10" s="33" t="s">
        <v>33</v>
      </c>
      <c r="B10" s="151">
        <f ca="1">Statements!E52</f>
        <v>20834</v>
      </c>
      <c r="C10" s="151">
        <f ca="1">Statements!F52</f>
        <v>22417</v>
      </c>
      <c r="D10" s="151">
        <f ca="1">Statements!G52</f>
        <v>24501</v>
      </c>
      <c r="E10" s="151">
        <f ca="1">Statements!H52</f>
        <v>27342</v>
      </c>
      <c r="F10" s="151">
        <f ca="1">Statements!I52</f>
        <v>31327</v>
      </c>
      <c r="G10" s="151">
        <f ca="1">Statements!J52</f>
        <v>29427</v>
      </c>
      <c r="H10" s="151">
        <f ca="1">Statements!K52</f>
        <v>29963</v>
      </c>
      <c r="I10" s="151">
        <f ca="1">Statements!L52</f>
        <v>43269</v>
      </c>
      <c r="J10" s="151">
        <f ca="1">Statements!M52</f>
        <v>40519</v>
      </c>
      <c r="K10" s="151">
        <f ca="1">Statements!N52</f>
        <v>48671</v>
      </c>
      <c r="L10" s="151">
        <f ca="1">Statements!S52</f>
        <v>47403</v>
      </c>
    </row>
    <row r="11" spans="1:12">
      <c r="A11" s="33" t="s">
        <v>796</v>
      </c>
      <c r="B11" s="151">
        <f ca="1">Statements!E14</f>
        <v>10563</v>
      </c>
      <c r="C11" s="151">
        <f ca="1">Statements!F14</f>
        <v>8696</v>
      </c>
      <c r="D11" s="151">
        <f ca="1">Statements!G14</f>
        <v>7001</v>
      </c>
      <c r="E11" s="151">
        <f ca="1">Statements!H14</f>
        <v>8061</v>
      </c>
      <c r="F11" s="151">
        <f ca="1">Statements!I14</f>
        <v>8626</v>
      </c>
      <c r="G11" s="151">
        <f ca="1">Statements!J14</f>
        <v>8824</v>
      </c>
      <c r="H11" s="151">
        <f ca="1">Statements!K14</f>
        <v>9616</v>
      </c>
      <c r="I11" s="151">
        <f ca="1">Statements!L14</f>
        <v>11199</v>
      </c>
      <c r="J11" s="151">
        <f ca="1">Statements!M14</f>
        <v>11774</v>
      </c>
      <c r="K11" s="151">
        <f ca="1">Statements!N14</f>
        <v>11358</v>
      </c>
      <c r="L11" s="151">
        <f ca="1">Statements!S14</f>
        <v>11347</v>
      </c>
    </row>
    <row r="12" spans="1:12">
      <c r="A12" s="33" t="s">
        <v>797</v>
      </c>
      <c r="B12" s="151">
        <f ca="1">Statements!E30</f>
        <v>2177</v>
      </c>
      <c r="C12" s="151">
        <f ca="1">Statements!F30</f>
        <v>3979</v>
      </c>
      <c r="D12" s="151">
        <f ca="1">Statements!G30</f>
        <v>3976</v>
      </c>
      <c r="E12" s="151">
        <f ca="1">Statements!H30</f>
        <v>4347</v>
      </c>
      <c r="F12" s="151">
        <f ca="1">Statements!I30</f>
        <v>4847</v>
      </c>
      <c r="G12" s="151">
        <f ca="1">Statements!J30</f>
        <v>4872</v>
      </c>
      <c r="H12" s="151">
        <f ca="1">Statements!K30</f>
        <v>5080</v>
      </c>
      <c r="I12" s="151">
        <f ca="1">Statements!L30</f>
        <v>5981</v>
      </c>
      <c r="J12" s="151">
        <f ca="1">Statements!M30</f>
        <v>5807</v>
      </c>
      <c r="K12" s="151">
        <f ca="1">Statements!N30</f>
        <v>6824</v>
      </c>
      <c r="L12" s="151">
        <f ca="1">Statements!S30</f>
        <v>7102</v>
      </c>
    </row>
    <row r="13" spans="1:12">
      <c r="A13" s="33" t="s">
        <v>798</v>
      </c>
      <c r="B13" s="151">
        <f ca="1">Statements!E72</f>
        <v>3585</v>
      </c>
      <c r="C13" s="151">
        <f ca="1">Statements!F72</f>
        <v>4110</v>
      </c>
      <c r="D13" s="151">
        <f ca="1">Statements!G72</f>
        <v>4742</v>
      </c>
      <c r="E13" s="151">
        <f ca="1">Statements!H72</f>
        <v>5456</v>
      </c>
      <c r="F13" s="151">
        <f ca="1">Statements!I72</f>
        <v>5968</v>
      </c>
      <c r="G13" s="151">
        <f ca="1">Statements!J72</f>
        <v>6423</v>
      </c>
      <c r="H13" s="151">
        <f ca="1">Statements!K72</f>
        <v>5957</v>
      </c>
      <c r="I13" s="151">
        <f ca="1">Statements!L72</f>
        <v>7150</v>
      </c>
      <c r="J13" s="151">
        <f ca="1">Statements!M72</f>
        <v>7571</v>
      </c>
      <c r="K13" s="151">
        <f ca="1">Statements!N72</f>
        <v>8186</v>
      </c>
      <c r="L13" s="151">
        <f ca="1">Statements!S72</f>
        <v>8639</v>
      </c>
    </row>
    <row r="14" spans="1:12">
      <c r="A14" s="33" t="s">
        <v>100</v>
      </c>
      <c r="B14" s="151">
        <f ca="1">Statements!E59</f>
        <v>9321</v>
      </c>
      <c r="C14" s="151">
        <f ca="1">Statements!F59</f>
        <v>8429</v>
      </c>
      <c r="D14" s="151">
        <f ca="1">Statements!G59</f>
        <v>7341</v>
      </c>
      <c r="E14" s="151">
        <f ca="1">Statements!H59</f>
        <v>7886</v>
      </c>
      <c r="F14" s="151">
        <f ca="1">Statements!I59</f>
        <v>10971</v>
      </c>
      <c r="G14" s="151">
        <f ca="1">Statements!J59</f>
        <v>9836</v>
      </c>
      <c r="H14" s="151">
        <f ca="1">Statements!K59</f>
        <v>8890</v>
      </c>
      <c r="I14" s="151">
        <f ca="1">Statements!L59</f>
        <v>13225</v>
      </c>
      <c r="J14" s="151">
        <f ca="1">Statements!M59</f>
        <v>12988</v>
      </c>
      <c r="K14" s="151">
        <f ca="1">Statements!N59</f>
        <v>13721</v>
      </c>
      <c r="L14" s="151">
        <f ca="1">Statements!S59</f>
        <v>13583</v>
      </c>
    </row>
    <row r="15" spans="1:12">
      <c r="A15" s="33" t="s">
        <v>799</v>
      </c>
      <c r="B15" s="151">
        <f ca="1">Statements!E60</f>
        <v>835</v>
      </c>
      <c r="C15" s="151">
        <f ca="1">Statements!F60</f>
        <v>1219</v>
      </c>
      <c r="D15" s="151">
        <f ca="1">Statements!G60</f>
        <v>2701</v>
      </c>
      <c r="E15" s="151">
        <f ca="1">Statements!H60</f>
        <v>2517</v>
      </c>
      <c r="F15" s="151">
        <f ca="1">Statements!I60</f>
        <v>1157</v>
      </c>
      <c r="G15" s="151">
        <f ca="1">Statements!J60</f>
        <v>1154</v>
      </c>
      <c r="H15" s="151">
        <f ca="1">Statements!K60</f>
        <v>1314</v>
      </c>
      <c r="I15" s="151">
        <f ca="1">Statements!L60</f>
        <v>3277</v>
      </c>
      <c r="J15" s="151">
        <f ca="1">Statements!M60</f>
        <v>2781</v>
      </c>
      <c r="K15" s="151">
        <f ca="1">Statements!N60</f>
        <v>5059</v>
      </c>
      <c r="L15" s="151">
        <f ca="1">Statements!S60</f>
        <v>4419</v>
      </c>
    </row>
    <row r="17" spans="1:12">
      <c r="A17" s="33" t="s">
        <v>800</v>
      </c>
    </row>
    <row r="18" spans="1:12">
      <c r="A18" s="885" t="s">
        <v>801</v>
      </c>
      <c r="B18" s="886">
        <f ca="1">B10-B8-B7</f>
        <v>10046</v>
      </c>
      <c r="C18" s="886">
        <f t="shared" ref="C18:L18" ca="1" si="0">C10-C8-C7</f>
        <v>10793</v>
      </c>
      <c r="D18" s="886">
        <f t="shared" ca="1" si="0"/>
        <v>11238</v>
      </c>
      <c r="E18" s="886">
        <f t="shared" ca="1" si="0"/>
        <v>12849</v>
      </c>
      <c r="F18" s="886">
        <f t="shared" ca="1" si="0"/>
        <v>13142</v>
      </c>
      <c r="G18" s="886">
        <f t="shared" ca="1" si="0"/>
        <v>13391</v>
      </c>
      <c r="H18" s="886">
        <f t="shared" ca="1" si="0"/>
        <v>14619</v>
      </c>
      <c r="I18" s="886">
        <f t="shared" ca="1" si="0"/>
        <v>22671</v>
      </c>
      <c r="J18" s="886">
        <f t="shared" ca="1" si="0"/>
        <v>20017</v>
      </c>
      <c r="K18" s="886">
        <f t="shared" ca="1" si="0"/>
        <v>21559</v>
      </c>
      <c r="L18" s="886">
        <f t="shared" ca="1" si="0"/>
        <v>21159</v>
      </c>
    </row>
    <row r="20" spans="1:12">
      <c r="A20" s="887" t="s">
        <v>802</v>
      </c>
      <c r="C20" s="889">
        <f ca="1">(C6/C4)/(B6/B4)</f>
        <v>1.0906561745396333</v>
      </c>
      <c r="D20" s="889">
        <f t="shared" ref="D20:L20" ca="1" si="1">(D6/D4)/(C6/C4)</f>
        <v>1.1443116692026452</v>
      </c>
      <c r="E20" s="889">
        <f t="shared" ca="1" si="1"/>
        <v>0.9270111618438811</v>
      </c>
      <c r="F20" s="889">
        <f t="shared" ca="1" si="1"/>
        <v>0.99486051969858291</v>
      </c>
      <c r="G20" s="889">
        <f t="shared" ca="1" si="1"/>
        <v>0.99873477794039023</v>
      </c>
      <c r="H20" s="889">
        <f t="shared" ca="1" si="1"/>
        <v>1.0878213465721407</v>
      </c>
      <c r="I20" s="889">
        <f t="shared" ca="1" si="1"/>
        <v>1.0702829471462114</v>
      </c>
      <c r="J20" s="889">
        <f t="shared" ca="1" si="1"/>
        <v>0.84154024517279669</v>
      </c>
      <c r="K20" s="889">
        <f t="shared" ca="1" si="1"/>
        <v>1.2536203034489672</v>
      </c>
      <c r="L20" s="889">
        <f t="shared" ca="1" si="1"/>
        <v>0.97469981477147027</v>
      </c>
    </row>
    <row r="21" spans="1:12">
      <c r="A21" s="887" t="s">
        <v>803</v>
      </c>
      <c r="C21" s="889">
        <f ca="1">((B4-B5)/B4)/((C4-C5)/C4)</f>
        <v>0.99651135355707376</v>
      </c>
      <c r="D21" s="889">
        <f t="shared" ref="D21:L21" ca="1" si="2">((C4-C5)/C4)/((D4-D5)/D4)</f>
        <v>1.0979076151780627</v>
      </c>
      <c r="E21" s="889">
        <f t="shared" ca="1" si="2"/>
        <v>1.0089981010821329</v>
      </c>
      <c r="F21" s="889">
        <f t="shared" ca="1" si="2"/>
        <v>0.96770449341364828</v>
      </c>
      <c r="G21" s="889">
        <f t="shared" ca="1" si="2"/>
        <v>1.0107205276531495</v>
      </c>
      <c r="H21" s="889">
        <f t="shared" ca="1" si="2"/>
        <v>0.97613506173019904</v>
      </c>
      <c r="I21" s="889">
        <f t="shared" ca="1" si="2"/>
        <v>1.0339099075254947</v>
      </c>
      <c r="J21" s="889">
        <f t="shared" ca="1" si="2"/>
        <v>0.99294166569840336</v>
      </c>
      <c r="K21" s="889">
        <f t="shared" ca="1" si="2"/>
        <v>1.0026973077169037</v>
      </c>
      <c r="L21" s="889">
        <f t="shared" ca="1" si="2"/>
        <v>0.99131460827507822</v>
      </c>
    </row>
    <row r="22" spans="1:12">
      <c r="A22" s="887" t="s">
        <v>804</v>
      </c>
      <c r="C22" s="889">
        <f ca="1">(C18/C10)/(B18/B10)</f>
        <v>0.99849103811542161</v>
      </c>
      <c r="D22" s="889">
        <f t="shared" ref="D22:L22" ca="1" si="3">(D18/D10)/(C18/C10)</f>
        <v>0.95266570690763419</v>
      </c>
      <c r="E22" s="889">
        <f t="shared" ca="1" si="3"/>
        <v>1.0245515925054898</v>
      </c>
      <c r="F22" s="889">
        <f t="shared" ca="1" si="3"/>
        <v>0.89269603460789637</v>
      </c>
      <c r="G22" s="889">
        <f t="shared" ca="1" si="3"/>
        <v>1.0847367776320964</v>
      </c>
      <c r="H22" s="889">
        <f t="shared" ca="1" si="3"/>
        <v>1.0721741964318909</v>
      </c>
      <c r="I22" s="889">
        <f t="shared" ca="1" si="3"/>
        <v>1.0738940765697627</v>
      </c>
      <c r="J22" s="889">
        <f t="shared" ca="1" si="3"/>
        <v>0.94285835083623526</v>
      </c>
      <c r="K22" s="889">
        <f t="shared" ca="1" si="3"/>
        <v>0.89663992403112447</v>
      </c>
      <c r="L22" s="889">
        <f t="shared" ca="1" si="3"/>
        <v>1.0076993249911563</v>
      </c>
    </row>
    <row r="23" spans="1:12">
      <c r="A23" s="887" t="s">
        <v>805</v>
      </c>
      <c r="C23" s="889">
        <f ca="1">C4/B4</f>
        <v>0.9821096881415583</v>
      </c>
      <c r="D23" s="889">
        <f t="shared" ref="D23:L23" ca="1" si="4">D4/C4</f>
        <v>0.97372088393390399</v>
      </c>
      <c r="E23" s="889">
        <f t="shared" ca="1" si="4"/>
        <v>1.0756491515027602</v>
      </c>
      <c r="F23" s="889">
        <f t="shared" ca="1" si="4"/>
        <v>1.043622885383007</v>
      </c>
      <c r="G23" s="889">
        <f t="shared" ca="1" si="4"/>
        <v>1.0519989072033513</v>
      </c>
      <c r="H23" s="889">
        <f t="shared" ca="1" si="4"/>
        <v>1.0425900277008311</v>
      </c>
      <c r="I23" s="889">
        <f t="shared" ca="1" si="4"/>
        <v>1.1979823978744604</v>
      </c>
      <c r="J23" s="889">
        <f t="shared" ca="1" si="4"/>
        <v>1.1069757771078075</v>
      </c>
      <c r="K23" s="889">
        <f t="shared" ca="1" si="4"/>
        <v>0.97013523666416224</v>
      </c>
      <c r="L23" s="889">
        <f t="shared" ca="1" si="4"/>
        <v>1.011487576637625</v>
      </c>
    </row>
    <row r="24" spans="1:12">
      <c r="A24" s="887" t="s">
        <v>806</v>
      </c>
      <c r="C24" s="889">
        <f ca="1">(B9/(B9+B8))/(C9/(C9+C8))</f>
        <v>1.0240105977810896</v>
      </c>
      <c r="D24" s="889">
        <f t="shared" ref="D24:L24" ca="1" si="5">(C9/(C9+C8))/(D9/(D9+D8))</f>
        <v>1.2732113316790739</v>
      </c>
      <c r="E24" s="889">
        <f t="shared" ca="1" si="5"/>
        <v>0.98070427098932467</v>
      </c>
      <c r="F24" s="889">
        <f t="shared" ca="1" si="5"/>
        <v>0.9569172833311117</v>
      </c>
      <c r="G24" s="889">
        <f t="shared" ca="1" si="5"/>
        <v>0.9216612219714958</v>
      </c>
      <c r="H24" s="889">
        <f t="shared" ca="1" si="5"/>
        <v>1.1596969856624249</v>
      </c>
      <c r="I24" s="889">
        <f t="shared" ca="1" si="5"/>
        <v>0.99322793750204919</v>
      </c>
      <c r="J24" s="889">
        <f t="shared" ca="1" si="5"/>
        <v>0.93706416020553285</v>
      </c>
      <c r="K24" s="889">
        <f t="shared" ca="1" si="5"/>
        <v>1.1227879950653517</v>
      </c>
      <c r="L24" s="889">
        <f t="shared" ca="1" si="5"/>
        <v>0.9433282749481694</v>
      </c>
    </row>
    <row r="25" spans="1:12">
      <c r="A25" s="887" t="s">
        <v>807</v>
      </c>
      <c r="C25" s="889">
        <f ca="1">(C11/C4)/(B11/B4)</f>
        <v>0.83824747918544684</v>
      </c>
      <c r="D25" s="889">
        <f t="shared" ref="D25:L25" ca="1" si="6">(D11/D4)/(C11/C4)</f>
        <v>0.82681064971672236</v>
      </c>
      <c r="E25" s="889">
        <f t="shared" ca="1" si="6"/>
        <v>1.0704298332377695</v>
      </c>
      <c r="F25" s="889">
        <f t="shared" ca="1" si="6"/>
        <v>1.0253613393033389</v>
      </c>
      <c r="G25" s="889">
        <f t="shared" ca="1" si="6"/>
        <v>0.97239061126157911</v>
      </c>
      <c r="H25" s="889">
        <f t="shared" ca="1" si="6"/>
        <v>1.0452384773509522</v>
      </c>
      <c r="I25" s="889">
        <f t="shared" ca="1" si="6"/>
        <v>0.97215240081376664</v>
      </c>
      <c r="J25" s="889">
        <f t="shared" ca="1" si="6"/>
        <v>0.94974424168091098</v>
      </c>
      <c r="K25" s="889">
        <f t="shared" ca="1" si="6"/>
        <v>0.99436436889591007</v>
      </c>
      <c r="L25" s="889">
        <f t="shared" ca="1" si="6"/>
        <v>0.98768540781757008</v>
      </c>
    </row>
    <row r="26" spans="1:12">
      <c r="A26" s="887" t="s">
        <v>808</v>
      </c>
      <c r="C26" s="889">
        <f ca="1">(C12-C13)/C10</f>
        <v>-5.843779274657626E-3</v>
      </c>
      <c r="D26" s="889">
        <f t="shared" ref="D26:L26" ca="1" si="7">(D12-D13)/D10</f>
        <v>-3.1264030039590218E-2</v>
      </c>
      <c r="E26" s="889">
        <f t="shared" ca="1" si="7"/>
        <v>-4.0560310145563605E-2</v>
      </c>
      <c r="F26" s="889">
        <f t="shared" ca="1" si="7"/>
        <v>-3.5783828646215723E-2</v>
      </c>
      <c r="G26" s="889">
        <f t="shared" ca="1" si="7"/>
        <v>-5.2706697930472016E-2</v>
      </c>
      <c r="H26" s="889">
        <f t="shared" ca="1" si="7"/>
        <v>-2.9269432299836466E-2</v>
      </c>
      <c r="I26" s="889">
        <f t="shared" ca="1" si="7"/>
        <v>-2.7017032979731449E-2</v>
      </c>
      <c r="J26" s="889">
        <f t="shared" ca="1" si="7"/>
        <v>-4.353513166662553E-2</v>
      </c>
      <c r="K26" s="889">
        <f t="shared" ca="1" si="7"/>
        <v>-2.7983809660783628E-2</v>
      </c>
      <c r="L26" s="889">
        <f t="shared" ca="1" si="7"/>
        <v>-3.2424108178807247E-2</v>
      </c>
    </row>
    <row r="27" spans="1:12">
      <c r="A27" s="887" t="s">
        <v>809</v>
      </c>
      <c r="C27" s="889">
        <f ca="1">((C15+C14)/C10)/((B15+B14)/B10)</f>
        <v>0.88289645003177719</v>
      </c>
      <c r="D27" s="889">
        <f t="shared" ref="D27:L27" ca="1" si="8">((D15+D14)/D10)/((C15+C14)/C10)</f>
        <v>0.95230618231103437</v>
      </c>
      <c r="E27" s="889">
        <f t="shared" ca="1" si="8"/>
        <v>0.92830761449268784</v>
      </c>
      <c r="F27" s="889">
        <f t="shared" ca="1" si="8"/>
        <v>1.0175179086405806</v>
      </c>
      <c r="G27" s="889">
        <f t="shared" ca="1" si="8"/>
        <v>0.96467566245275982</v>
      </c>
      <c r="H27" s="889">
        <f t="shared" ca="1" si="8"/>
        <v>0.91187110144367611</v>
      </c>
      <c r="I27" s="889">
        <f t="shared" ca="1" si="8"/>
        <v>1.1198879428563453</v>
      </c>
      <c r="J27" s="889">
        <f t="shared" ca="1" si="8"/>
        <v>1.0204358552615591</v>
      </c>
      <c r="K27" s="889">
        <f t="shared" ca="1" si="8"/>
        <v>0.99147069874444549</v>
      </c>
      <c r="L27" s="889">
        <f t="shared" ca="1" si="8"/>
        <v>0.98421416464903821</v>
      </c>
    </row>
    <row r="28" spans="1:12">
      <c r="A28" s="887"/>
      <c r="C28" s="889"/>
      <c r="D28" s="889"/>
      <c r="E28" s="889"/>
      <c r="F28" s="889"/>
      <c r="G28" s="889"/>
      <c r="H28" s="889"/>
      <c r="I28" s="889"/>
      <c r="J28" s="889"/>
      <c r="K28" s="889"/>
      <c r="L28" s="889"/>
    </row>
    <row r="29" spans="1:12">
      <c r="A29" s="890" t="s">
        <v>823</v>
      </c>
      <c r="B29" s="891"/>
      <c r="C29" s="892"/>
      <c r="D29" s="892"/>
      <c r="E29" s="892"/>
      <c r="F29" s="892"/>
      <c r="G29" s="892"/>
      <c r="H29" s="892"/>
      <c r="I29" s="892"/>
      <c r="J29" s="892"/>
      <c r="K29" s="892"/>
      <c r="L29" s="892"/>
    </row>
    <row r="30" spans="1:12">
      <c r="A30" s="887" t="str">
        <f>A20</f>
        <v>DSRI</v>
      </c>
      <c r="C30" s="889">
        <f ca="1">IF(ISERROR(C20),"",C20)</f>
        <v>1.0906561745396333</v>
      </c>
      <c r="D30" s="889">
        <f t="shared" ref="D30:L30" ca="1" si="9">IF(ISERROR(D20),"",D20)</f>
        <v>1.1443116692026452</v>
      </c>
      <c r="E30" s="889">
        <f t="shared" ca="1" si="9"/>
        <v>0.9270111618438811</v>
      </c>
      <c r="F30" s="889">
        <f t="shared" ca="1" si="9"/>
        <v>0.99486051969858291</v>
      </c>
      <c r="G30" s="889">
        <f t="shared" ca="1" si="9"/>
        <v>0.99873477794039023</v>
      </c>
      <c r="H30" s="889">
        <f t="shared" ca="1" si="9"/>
        <v>1.0878213465721407</v>
      </c>
      <c r="I30" s="889">
        <f t="shared" ca="1" si="9"/>
        <v>1.0702829471462114</v>
      </c>
      <c r="J30" s="889">
        <f t="shared" ca="1" si="9"/>
        <v>0.84154024517279669</v>
      </c>
      <c r="K30" s="889">
        <f t="shared" ca="1" si="9"/>
        <v>1.2536203034489672</v>
      </c>
      <c r="L30" s="889">
        <f t="shared" ca="1" si="9"/>
        <v>0.97469981477147027</v>
      </c>
    </row>
    <row r="31" spans="1:12">
      <c r="A31" s="887" t="str">
        <f t="shared" ref="A31:A37" si="10">A21</f>
        <v>GMI</v>
      </c>
      <c r="C31" s="889">
        <f t="shared" ref="C31:L37" ca="1" si="11">IF(ISERROR(C21),"",C21)</f>
        <v>0.99651135355707376</v>
      </c>
      <c r="D31" s="889">
        <f t="shared" ca="1" si="11"/>
        <v>1.0979076151780627</v>
      </c>
      <c r="E31" s="889">
        <f t="shared" ca="1" si="11"/>
        <v>1.0089981010821329</v>
      </c>
      <c r="F31" s="889">
        <f t="shared" ca="1" si="11"/>
        <v>0.96770449341364828</v>
      </c>
      <c r="G31" s="889">
        <f t="shared" ca="1" si="11"/>
        <v>1.0107205276531495</v>
      </c>
      <c r="H31" s="889">
        <f t="shared" ca="1" si="11"/>
        <v>0.97613506173019904</v>
      </c>
      <c r="I31" s="889">
        <f t="shared" ca="1" si="11"/>
        <v>1.0339099075254947</v>
      </c>
      <c r="J31" s="889">
        <f t="shared" ca="1" si="11"/>
        <v>0.99294166569840336</v>
      </c>
      <c r="K31" s="889">
        <f t="shared" ca="1" si="11"/>
        <v>1.0026973077169037</v>
      </c>
      <c r="L31" s="889">
        <f t="shared" ca="1" si="11"/>
        <v>0.99131460827507822</v>
      </c>
    </row>
    <row r="32" spans="1:12">
      <c r="A32" s="887" t="str">
        <f t="shared" si="10"/>
        <v>AQI</v>
      </c>
      <c r="C32" s="889">
        <f t="shared" ca="1" si="11"/>
        <v>0.99849103811542161</v>
      </c>
      <c r="D32" s="889">
        <f t="shared" ca="1" si="11"/>
        <v>0.95266570690763419</v>
      </c>
      <c r="E32" s="889">
        <f t="shared" ca="1" si="11"/>
        <v>1.0245515925054898</v>
      </c>
      <c r="F32" s="889">
        <f t="shared" ca="1" si="11"/>
        <v>0.89269603460789637</v>
      </c>
      <c r="G32" s="889">
        <f t="shared" ca="1" si="11"/>
        <v>1.0847367776320964</v>
      </c>
      <c r="H32" s="889">
        <f t="shared" ca="1" si="11"/>
        <v>1.0721741964318909</v>
      </c>
      <c r="I32" s="889">
        <f t="shared" ca="1" si="11"/>
        <v>1.0738940765697627</v>
      </c>
      <c r="J32" s="889">
        <f t="shared" ca="1" si="11"/>
        <v>0.94285835083623526</v>
      </c>
      <c r="K32" s="889">
        <f t="shared" ca="1" si="11"/>
        <v>0.89663992403112447</v>
      </c>
      <c r="L32" s="889">
        <f t="shared" ca="1" si="11"/>
        <v>1.0076993249911563</v>
      </c>
    </row>
    <row r="33" spans="1:12">
      <c r="A33" s="887" t="str">
        <f t="shared" si="10"/>
        <v>SGI</v>
      </c>
      <c r="C33" s="889">
        <f t="shared" ca="1" si="11"/>
        <v>0.9821096881415583</v>
      </c>
      <c r="D33" s="889">
        <f t="shared" ca="1" si="11"/>
        <v>0.97372088393390399</v>
      </c>
      <c r="E33" s="889">
        <f t="shared" ca="1" si="11"/>
        <v>1.0756491515027602</v>
      </c>
      <c r="F33" s="889">
        <f t="shared" ca="1" si="11"/>
        <v>1.043622885383007</v>
      </c>
      <c r="G33" s="889">
        <f t="shared" ca="1" si="11"/>
        <v>1.0519989072033513</v>
      </c>
      <c r="H33" s="889">
        <f t="shared" ca="1" si="11"/>
        <v>1.0425900277008311</v>
      </c>
      <c r="I33" s="889">
        <f t="shared" ca="1" si="11"/>
        <v>1.1979823978744604</v>
      </c>
      <c r="J33" s="889">
        <f t="shared" ca="1" si="11"/>
        <v>1.1069757771078075</v>
      </c>
      <c r="K33" s="889">
        <f t="shared" ca="1" si="11"/>
        <v>0.97013523666416224</v>
      </c>
      <c r="L33" s="889">
        <f t="shared" ca="1" si="11"/>
        <v>1.011487576637625</v>
      </c>
    </row>
    <row r="34" spans="1:12">
      <c r="A34" s="887" t="str">
        <f t="shared" si="10"/>
        <v>DEPI</v>
      </c>
      <c r="C34" s="889">
        <f t="shared" ca="1" si="11"/>
        <v>1.0240105977810896</v>
      </c>
      <c r="D34" s="889">
        <f t="shared" ca="1" si="11"/>
        <v>1.2732113316790739</v>
      </c>
      <c r="E34" s="889">
        <f t="shared" ca="1" si="11"/>
        <v>0.98070427098932467</v>
      </c>
      <c r="F34" s="889">
        <f t="shared" ca="1" si="11"/>
        <v>0.9569172833311117</v>
      </c>
      <c r="G34" s="889">
        <f t="shared" ca="1" si="11"/>
        <v>0.9216612219714958</v>
      </c>
      <c r="H34" s="889">
        <f t="shared" ca="1" si="11"/>
        <v>1.1596969856624249</v>
      </c>
      <c r="I34" s="889">
        <f t="shared" ca="1" si="11"/>
        <v>0.99322793750204919</v>
      </c>
      <c r="J34" s="889">
        <f t="shared" ca="1" si="11"/>
        <v>0.93706416020553285</v>
      </c>
      <c r="K34" s="889">
        <f t="shared" ca="1" si="11"/>
        <v>1.1227879950653517</v>
      </c>
      <c r="L34" s="889">
        <f t="shared" ca="1" si="11"/>
        <v>0.9433282749481694</v>
      </c>
    </row>
    <row r="35" spans="1:12">
      <c r="A35" s="887" t="str">
        <f t="shared" si="10"/>
        <v>SGAI</v>
      </c>
      <c r="C35" s="889">
        <f t="shared" ca="1" si="11"/>
        <v>0.83824747918544684</v>
      </c>
      <c r="D35" s="889">
        <f t="shared" ca="1" si="11"/>
        <v>0.82681064971672236</v>
      </c>
      <c r="E35" s="889">
        <f t="shared" ca="1" si="11"/>
        <v>1.0704298332377695</v>
      </c>
      <c r="F35" s="889">
        <f t="shared" ca="1" si="11"/>
        <v>1.0253613393033389</v>
      </c>
      <c r="G35" s="889">
        <f t="shared" ca="1" si="11"/>
        <v>0.97239061126157911</v>
      </c>
      <c r="H35" s="889">
        <f t="shared" ca="1" si="11"/>
        <v>1.0452384773509522</v>
      </c>
      <c r="I35" s="889">
        <f t="shared" ca="1" si="11"/>
        <v>0.97215240081376664</v>
      </c>
      <c r="J35" s="889">
        <f t="shared" ca="1" si="11"/>
        <v>0.94974424168091098</v>
      </c>
      <c r="K35" s="889">
        <f t="shared" ca="1" si="11"/>
        <v>0.99436436889591007</v>
      </c>
      <c r="L35" s="889">
        <f t="shared" ca="1" si="11"/>
        <v>0.98768540781757008</v>
      </c>
    </row>
    <row r="36" spans="1:12">
      <c r="A36" s="887" t="str">
        <f t="shared" si="10"/>
        <v>TATA</v>
      </c>
      <c r="C36" s="889">
        <f t="shared" ca="1" si="11"/>
        <v>-5.843779274657626E-3</v>
      </c>
      <c r="D36" s="889">
        <f t="shared" ca="1" si="11"/>
        <v>-3.1264030039590218E-2</v>
      </c>
      <c r="E36" s="889">
        <f t="shared" ca="1" si="11"/>
        <v>-4.0560310145563605E-2</v>
      </c>
      <c r="F36" s="889">
        <f t="shared" ca="1" si="11"/>
        <v>-3.5783828646215723E-2</v>
      </c>
      <c r="G36" s="889">
        <f t="shared" ca="1" si="11"/>
        <v>-5.2706697930472016E-2</v>
      </c>
      <c r="H36" s="889">
        <f t="shared" ca="1" si="11"/>
        <v>-2.9269432299836466E-2</v>
      </c>
      <c r="I36" s="889">
        <f t="shared" ca="1" si="11"/>
        <v>-2.7017032979731449E-2</v>
      </c>
      <c r="J36" s="889">
        <f t="shared" ca="1" si="11"/>
        <v>-4.353513166662553E-2</v>
      </c>
      <c r="K36" s="889">
        <f t="shared" ca="1" si="11"/>
        <v>-2.7983809660783628E-2</v>
      </c>
      <c r="L36" s="889">
        <f t="shared" ca="1" si="11"/>
        <v>-3.2424108178807247E-2</v>
      </c>
    </row>
    <row r="37" spans="1:12">
      <c r="A37" s="887" t="str">
        <f t="shared" si="10"/>
        <v>LVGI</v>
      </c>
      <c r="C37" s="889">
        <f t="shared" ca="1" si="11"/>
        <v>0.88289645003177719</v>
      </c>
      <c r="D37" s="889">
        <f t="shared" ca="1" si="11"/>
        <v>0.95230618231103437</v>
      </c>
      <c r="E37" s="889">
        <f t="shared" ca="1" si="11"/>
        <v>0.92830761449268784</v>
      </c>
      <c r="F37" s="889">
        <f t="shared" ca="1" si="11"/>
        <v>1.0175179086405806</v>
      </c>
      <c r="G37" s="889">
        <f t="shared" ca="1" si="11"/>
        <v>0.96467566245275982</v>
      </c>
      <c r="H37" s="889">
        <f t="shared" ca="1" si="11"/>
        <v>0.91187110144367611</v>
      </c>
      <c r="I37" s="889">
        <f t="shared" ca="1" si="11"/>
        <v>1.1198879428563453</v>
      </c>
      <c r="J37" s="889">
        <f t="shared" ca="1" si="11"/>
        <v>1.0204358552615591</v>
      </c>
      <c r="K37" s="889">
        <f t="shared" ca="1" si="11"/>
        <v>0.99147069874444549</v>
      </c>
      <c r="L37" s="889">
        <f t="shared" ca="1" si="11"/>
        <v>0.98421416464903821</v>
      </c>
    </row>
    <row r="39" spans="1:12">
      <c r="A39" s="1117" t="s">
        <v>810</v>
      </c>
      <c r="B39" s="1117"/>
      <c r="C39" s="1117"/>
      <c r="D39" s="1117"/>
      <c r="E39" s="1117"/>
    </row>
    <row r="40" spans="1:12">
      <c r="A40" t="s">
        <v>811</v>
      </c>
      <c r="C40" s="888">
        <f ca="1">-6.065+(0.823*C20)+(0.906*C21)+(0.593*C22)+(0.717*C23)+(0.107*C24)</f>
        <v>-2.8587037160686544</v>
      </c>
      <c r="D40" s="888">
        <f ca="1">-6.065+(0.823*D20)+(0.906*D21)+(0.593*D22)+(0.717*D23)+(0.107*D24)</f>
        <v>-2.7292049464284012</v>
      </c>
      <c r="E40" s="888">
        <f ca="1">-6.065+(0.823*E20)+(0.906*E21)+(0.593*E22)+(0.717*E23)+(0.107*E24)</f>
        <v>-2.9041826412429814</v>
      </c>
      <c r="F40" s="888">
        <f t="shared" ref="F40:L40" ca="1" si="12">-6.065+(0.823*F20)+(0.906*F21)+(0.593*F22)+(0.717*F23)+(0.107*F24)</f>
        <v>-2.9894530145967746</v>
      </c>
      <c r="G40" s="888">
        <f t="shared" ca="1" si="12"/>
        <v>-2.8311786033497195</v>
      </c>
      <c r="H40" s="888">
        <f t="shared" ca="1" si="12"/>
        <v>-2.7779207400320827</v>
      </c>
      <c r="I40" s="888">
        <f t="shared" ca="1" si="12"/>
        <v>-2.6453868022859939</v>
      </c>
      <c r="J40" s="888">
        <f t="shared" ca="1" si="12"/>
        <v>-3.019724729725858</v>
      </c>
      <c r="K40" s="888">
        <f t="shared" ca="1" si="12"/>
        <v>-2.7773939743593314</v>
      </c>
      <c r="L40" s="888">
        <f t="shared" ca="1" si="12"/>
        <v>-2.9409525997574733</v>
      </c>
    </row>
    <row r="41" spans="1:12">
      <c r="A41" s="498" t="s">
        <v>815</v>
      </c>
      <c r="C41" s="888">
        <f ca="1">IF(ISERROR(C40),1,0)</f>
        <v>0</v>
      </c>
      <c r="D41" s="888">
        <f t="shared" ref="D41:L41" ca="1" si="13">IF(ISERROR(D40),1,0)</f>
        <v>0</v>
      </c>
      <c r="E41" s="888">
        <f t="shared" ca="1" si="13"/>
        <v>0</v>
      </c>
      <c r="F41" s="888">
        <f t="shared" ca="1" si="13"/>
        <v>0</v>
      </c>
      <c r="G41" s="888">
        <f t="shared" ca="1" si="13"/>
        <v>0</v>
      </c>
      <c r="H41" s="888">
        <f t="shared" ca="1" si="13"/>
        <v>0</v>
      </c>
      <c r="I41" s="888">
        <f t="shared" ca="1" si="13"/>
        <v>0</v>
      </c>
      <c r="J41" s="888">
        <f t="shared" ca="1" si="13"/>
        <v>0</v>
      </c>
      <c r="K41" s="888">
        <f t="shared" ca="1" si="13"/>
        <v>0</v>
      </c>
      <c r="L41" s="888">
        <f t="shared" ca="1" si="13"/>
        <v>0</v>
      </c>
    </row>
    <row r="43" spans="1:12">
      <c r="A43" s="1118" t="s">
        <v>812</v>
      </c>
      <c r="B43" s="1118"/>
      <c r="C43" s="1118"/>
      <c r="D43" s="1118"/>
      <c r="E43" s="1118"/>
    </row>
    <row r="44" spans="1:12">
      <c r="A44" t="s">
        <v>813</v>
      </c>
    </row>
    <row r="45" spans="1:12">
      <c r="A45" t="s">
        <v>814</v>
      </c>
      <c r="C45" s="888">
        <f ca="1">-4.84+(0.92*C20)+(0.528*C21)+(0.404*C22)+(0.892*C23)+(0.115*C24)-(0.172*C25)+(4.679*C26)-(0.327*C27)</f>
        <v>-2.3734736335860882</v>
      </c>
      <c r="D45" s="888">
        <f ca="1">-4.84+(0.92*D20)+(0.528*D21)+(0.404*D22)+(0.892*D23)+(0.115*D24)-(0.172*D25)+(4.679*D26)-(0.327*D27)</f>
        <v>-2.4075827162389558</v>
      </c>
      <c r="E45" s="888">
        <f ca="1">-4.84+(0.92*E20)+(0.528*E21)+(0.404*E22)+(0.892*E23)+(0.115*E24)-(0.172*E25)+(4.679*E26)-(0.327*E27)</f>
        <v>-2.645672068482908</v>
      </c>
      <c r="F45" s="888">
        <f t="shared" ref="F45:L45" ca="1" si="14">-4.84+(0.92*F20)+(0.528*F21)+(0.404*F22)+(0.892*F23)+(0.115*F24)-(0.172*F25)+(4.679*F26)-(0.327*F27)</f>
        <v>-2.6886970907498746</v>
      </c>
      <c r="G45" s="888">
        <f t="shared" ca="1" si="14"/>
        <v>-2.6342106081542225</v>
      </c>
      <c r="H45" s="888">
        <f t="shared" ca="1" si="14"/>
        <v>-2.4422057571486615</v>
      </c>
      <c r="I45" s="888">
        <f t="shared" ca="1" si="14"/>
        <v>-2.3525868063672424</v>
      </c>
      <c r="J45" s="888">
        <f t="shared" ca="1" si="14"/>
        <v>-2.7661496449184177</v>
      </c>
      <c r="K45" s="888">
        <f t="shared" ca="1" si="14"/>
        <v>-2.4266991978492394</v>
      </c>
      <c r="L45" s="888">
        <f t="shared" ca="1" si="14"/>
        <v>-2.6454541841182744</v>
      </c>
    </row>
    <row r="46" spans="1:12">
      <c r="A46" s="498" t="s">
        <v>815</v>
      </c>
      <c r="C46" s="888">
        <f t="shared" ref="C46:L46" ca="1" si="15">IF(ISERROR(C45),1,0)</f>
        <v>0</v>
      </c>
      <c r="D46" s="888">
        <f t="shared" ca="1" si="15"/>
        <v>0</v>
      </c>
      <c r="E46" s="888">
        <f t="shared" ca="1" si="15"/>
        <v>0</v>
      </c>
      <c r="F46" s="888">
        <f t="shared" ca="1" si="15"/>
        <v>0</v>
      </c>
      <c r="G46" s="888">
        <f t="shared" ca="1" si="15"/>
        <v>0</v>
      </c>
      <c r="H46" s="888">
        <f t="shared" ca="1" si="15"/>
        <v>0</v>
      </c>
      <c r="I46" s="888">
        <f t="shared" ca="1" si="15"/>
        <v>0</v>
      </c>
      <c r="J46" s="888">
        <f t="shared" ca="1" si="15"/>
        <v>0</v>
      </c>
      <c r="K46" s="888">
        <f t="shared" ca="1" si="15"/>
        <v>0</v>
      </c>
      <c r="L46" s="888">
        <f t="shared" ca="1" si="15"/>
        <v>0</v>
      </c>
    </row>
    <row r="47" spans="1:12">
      <c r="C47" s="888"/>
      <c r="D47" s="888"/>
      <c r="E47" s="888"/>
      <c r="F47" s="888"/>
      <c r="G47" s="888"/>
      <c r="H47" s="888"/>
      <c r="I47" s="888"/>
      <c r="J47" s="888"/>
      <c r="K47" s="888"/>
      <c r="L47" s="888"/>
    </row>
    <row r="48" spans="1:12">
      <c r="A48" s="498" t="s">
        <v>818</v>
      </c>
      <c r="B48" s="891"/>
      <c r="C48" s="891"/>
      <c r="D48" s="891"/>
      <c r="E48" s="891"/>
      <c r="F48" s="891"/>
      <c r="G48" s="891"/>
      <c r="H48" s="891"/>
      <c r="I48" s="891"/>
      <c r="J48" s="891"/>
      <c r="K48" s="891"/>
      <c r="L48" s="891"/>
    </row>
    <row r="49" spans="1:12">
      <c r="A49" t="s">
        <v>816</v>
      </c>
      <c r="C49" s="621">
        <f ca="1">IF(C41=1,"NA",C40)</f>
        <v>-2.8587037160686544</v>
      </c>
      <c r="D49" s="621">
        <f t="shared" ref="D49:L49" ca="1" si="16">IF(D41=1,"NA",D40)</f>
        <v>-2.7292049464284012</v>
      </c>
      <c r="E49" s="621">
        <f t="shared" ca="1" si="16"/>
        <v>-2.9041826412429814</v>
      </c>
      <c r="F49" s="621">
        <f t="shared" ca="1" si="16"/>
        <v>-2.9894530145967746</v>
      </c>
      <c r="G49" s="621">
        <f t="shared" ca="1" si="16"/>
        <v>-2.8311786033497195</v>
      </c>
      <c r="H49" s="621">
        <f t="shared" ca="1" si="16"/>
        <v>-2.7779207400320827</v>
      </c>
      <c r="I49" s="621">
        <f t="shared" ca="1" si="16"/>
        <v>-2.6453868022859939</v>
      </c>
      <c r="J49" s="621">
        <f t="shared" ca="1" si="16"/>
        <v>-3.019724729725858</v>
      </c>
      <c r="K49" s="621">
        <f t="shared" ca="1" si="16"/>
        <v>-2.7773939743593314</v>
      </c>
      <c r="L49" s="621">
        <f t="shared" ca="1" si="16"/>
        <v>-2.9409525997574733</v>
      </c>
    </row>
    <row r="50" spans="1:12">
      <c r="A50" t="s">
        <v>817</v>
      </c>
      <c r="C50" s="621">
        <f ca="1">IF(C46=1,"NA",C45)</f>
        <v>-2.3734736335860882</v>
      </c>
      <c r="D50" s="621">
        <f t="shared" ref="D50:L50" ca="1" si="17">IF(D46=1,"NA",D45)</f>
        <v>-2.4075827162389558</v>
      </c>
      <c r="E50" s="621">
        <f t="shared" ca="1" si="17"/>
        <v>-2.645672068482908</v>
      </c>
      <c r="F50" s="621">
        <f t="shared" ca="1" si="17"/>
        <v>-2.6886970907498746</v>
      </c>
      <c r="G50" s="621">
        <f t="shared" ca="1" si="17"/>
        <v>-2.6342106081542225</v>
      </c>
      <c r="H50" s="621">
        <f t="shared" ca="1" si="17"/>
        <v>-2.4422057571486615</v>
      </c>
      <c r="I50" s="621">
        <f t="shared" ca="1" si="17"/>
        <v>-2.3525868063672424</v>
      </c>
      <c r="J50" s="621">
        <f t="shared" ca="1" si="17"/>
        <v>-2.7661496449184177</v>
      </c>
      <c r="K50" s="621">
        <f t="shared" ca="1" si="17"/>
        <v>-2.4266991978492394</v>
      </c>
      <c r="L50" s="621">
        <f t="shared" ca="1" si="17"/>
        <v>-2.6454541841182744</v>
      </c>
    </row>
  </sheetData>
  <mergeCells count="2">
    <mergeCell ref="A39:E39"/>
    <mergeCell ref="A43:E43"/>
  </mergeCell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Sheet7">
    <pageSetUpPr fitToPage="1"/>
  </sheetPr>
  <dimension ref="A1:W133"/>
  <sheetViews>
    <sheetView showGridLines="0" zoomScale="75" zoomScaleNormal="75" workbookViewId="0">
      <pane xSplit="2" ySplit="10" topLeftCell="C11" activePane="bottomRight" state="frozen"/>
      <selection pane="topRight" activeCell="C1" sqref="C1"/>
      <selection pane="bottomLeft" activeCell="A11" sqref="A11"/>
      <selection pane="bottomRight" activeCell="D8" sqref="D8:H8"/>
    </sheetView>
  </sheetViews>
  <sheetFormatPr defaultColWidth="0" defaultRowHeight="12.75"/>
  <cols>
    <col min="1" max="1" width="12.42578125" style="300" customWidth="1"/>
    <col min="2" max="2" width="20" style="583" bestFit="1" customWidth="1"/>
    <col min="3" max="6" width="13.85546875" style="583" customWidth="1"/>
    <col min="7" max="8" width="13.85546875" style="300" customWidth="1"/>
    <col min="9" max="9" width="3.42578125" style="342" customWidth="1"/>
    <col min="10" max="10" width="12.85546875" style="630" customWidth="1"/>
    <col min="11" max="11" width="12.85546875" style="636" customWidth="1"/>
    <col min="12" max="12" width="12.85546875" style="630" customWidth="1"/>
    <col min="13" max="13" width="12.85546875" style="638" customWidth="1"/>
    <col min="14" max="14" width="12.85546875" style="630" customWidth="1"/>
    <col min="15" max="15" width="12.85546875" style="638" customWidth="1"/>
    <col min="16" max="16" width="12.85546875" style="630" customWidth="1"/>
    <col min="17" max="17" width="12.85546875" style="638" customWidth="1"/>
    <col min="18" max="18" width="12.85546875" style="630" customWidth="1"/>
    <col min="19" max="19" width="12.85546875" style="638" customWidth="1"/>
    <col min="20" max="20" width="12.85546875" style="630" customWidth="1"/>
    <col min="21" max="21" width="12.85546875" style="638" customWidth="1"/>
    <col min="22" max="22" width="4.28515625" style="300" customWidth="1"/>
    <col min="23" max="16384" width="0" style="300" hidden="1"/>
  </cols>
  <sheetData>
    <row r="1" spans="1:22" ht="20.25">
      <c r="A1" s="301" t="str">
        <f ca="1">Statements!$A$2</f>
        <v>Coca-Cola Co</v>
      </c>
      <c r="B1" s="299"/>
      <c r="C1" s="299"/>
      <c r="D1" s="299"/>
      <c r="E1" s="574"/>
      <c r="F1" s="1035"/>
      <c r="G1" s="1035"/>
    </row>
    <row r="2" spans="1:22" ht="20.25">
      <c r="A2" s="304" t="str">
        <f ca="1">Statements!$A$3</f>
        <v>(KO)</v>
      </c>
      <c r="B2" s="301"/>
      <c r="C2" s="301"/>
      <c r="D2" s="301"/>
      <c r="E2" s="574"/>
      <c r="F2" s="1122"/>
      <c r="G2" s="1122"/>
      <c r="H2" s="303"/>
    </row>
    <row r="3" spans="1:22" ht="15.75">
      <c r="A3" s="475">
        <f ca="1">Statements!$A$4</f>
        <v>40369</v>
      </c>
      <c r="B3" s="582"/>
      <c r="D3" s="286"/>
      <c r="E3" s="286"/>
      <c r="F3" s="286"/>
      <c r="G3" s="286"/>
      <c r="H3" s="584"/>
      <c r="M3" s="639"/>
    </row>
    <row r="4" spans="1:22" ht="15.75">
      <c r="A4" s="475"/>
      <c r="B4" s="582"/>
      <c r="D4" s="286"/>
      <c r="E4" s="286"/>
      <c r="F4" s="286"/>
      <c r="G4" s="286"/>
      <c r="H4" s="584"/>
      <c r="M4" s="639"/>
    </row>
    <row r="5" spans="1:22" ht="15.75">
      <c r="A5" s="475"/>
      <c r="B5" s="582"/>
      <c r="D5" s="286"/>
      <c r="E5" s="286"/>
      <c r="F5" s="286"/>
      <c r="G5" s="286"/>
      <c r="H5" s="584"/>
      <c r="M5" s="639"/>
    </row>
    <row r="6" spans="1:22" ht="15.75">
      <c r="A6" s="475"/>
      <c r="B6" s="582"/>
      <c r="D6" s="286"/>
      <c r="E6" s="286"/>
      <c r="F6" s="286"/>
      <c r="G6" s="286"/>
      <c r="H6" s="584"/>
      <c r="M6" s="639"/>
    </row>
    <row r="7" spans="1:22" ht="17.25" customHeight="1">
      <c r="B7" s="1120" t="s">
        <v>627</v>
      </c>
      <c r="C7" s="300"/>
      <c r="D7" s="1123" t="s">
        <v>673</v>
      </c>
      <c r="E7" s="1123"/>
      <c r="F7" s="1123"/>
      <c r="G7" s="1123"/>
      <c r="H7" s="1123"/>
      <c r="M7" s="639"/>
    </row>
    <row r="8" spans="1:22" ht="15">
      <c r="B8" s="1121"/>
      <c r="C8" s="613" t="str">
        <f ca="1">Ticker</f>
        <v>KO</v>
      </c>
      <c r="D8" s="593"/>
      <c r="E8" s="593"/>
      <c r="F8" s="594"/>
      <c r="G8" s="594"/>
      <c r="H8" s="594"/>
      <c r="M8" s="639"/>
    </row>
    <row r="9" spans="1:22" ht="15.75">
      <c r="A9" s="475"/>
      <c r="B9" s="582"/>
      <c r="D9" s="286"/>
      <c r="E9" s="577"/>
      <c r="F9" s="577"/>
      <c r="G9" s="577"/>
      <c r="H9" s="584"/>
      <c r="M9" s="639"/>
    </row>
    <row r="10" spans="1:22" ht="15">
      <c r="A10" s="585"/>
      <c r="B10" s="595" t="s">
        <v>663</v>
      </c>
      <c r="C10" s="32" t="str">
        <f ca="1">CompData!C135</f>
        <v>KO</v>
      </c>
      <c r="D10" s="32" t="str">
        <f ca="1">CompData!D135</f>
        <v/>
      </c>
      <c r="E10" s="32" t="str">
        <f ca="1">CompData!E135</f>
        <v/>
      </c>
      <c r="F10" s="32" t="str">
        <f ca="1">CompData!F135</f>
        <v/>
      </c>
      <c r="G10" s="32" t="str">
        <f ca="1">CompData!G135</f>
        <v/>
      </c>
      <c r="H10" s="32" t="str">
        <f ca="1">CompData!H135</f>
        <v/>
      </c>
      <c r="J10" s="1124" t="str">
        <f ca="1">C10</f>
        <v>KO</v>
      </c>
      <c r="K10" s="1125"/>
      <c r="L10" s="1119" t="str">
        <f ca="1">D10</f>
        <v/>
      </c>
      <c r="M10" s="1119"/>
      <c r="N10" s="1119" t="str">
        <f ca="1">E10</f>
        <v/>
      </c>
      <c r="O10" s="1119"/>
      <c r="P10" s="1119" t="str">
        <f ca="1">F10</f>
        <v/>
      </c>
      <c r="Q10" s="1119"/>
      <c r="R10" s="1119" t="str">
        <f ca="1">G10</f>
        <v/>
      </c>
      <c r="S10" s="1119"/>
      <c r="T10" s="1119" t="str">
        <f ca="1">H10</f>
        <v/>
      </c>
      <c r="U10" s="1119"/>
    </row>
    <row r="11" spans="1:22">
      <c r="A11" s="576"/>
      <c r="B11" s="586" t="str">
        <f ca="1">CompData!B136</f>
        <v>Stock Price</v>
      </c>
      <c r="C11" s="587">
        <f ca="1">CompData!C136</f>
        <v>52.4000001</v>
      </c>
      <c r="D11" s="587">
        <f ca="1">CompData!D136</f>
        <v>9.9999999999999995E-7</v>
      </c>
      <c r="E11" s="587">
        <f ca="1">CompData!E136</f>
        <v>9.9999999999999995E-7</v>
      </c>
      <c r="F11" s="587">
        <f ca="1">CompData!F136</f>
        <v>9.9999999999999995E-7</v>
      </c>
      <c r="G11" s="587">
        <f ca="1">CompData!G136</f>
        <v>9.9999999999999995E-7</v>
      </c>
      <c r="H11" s="587">
        <f ca="1">CompData!H136</f>
        <v>9.9999999999999995E-7</v>
      </c>
      <c r="J11" s="642" t="str">
        <f ca="1">IF(C11&lt;0,IF(C11&lt;-50,"&lt;&lt;&lt; "&amp;REPT("|",50),REPT("|",ABS(C11))),"")</f>
        <v/>
      </c>
      <c r="K11" s="643" t="str">
        <f ca="1">IF(C11&gt;50,REPT("|",50)&amp;" &gt;&gt;&gt;",REPT("|",C11))</f>
        <v>|||||||||||||||||||||||||||||||||||||||||||||||||| &gt;&gt;&gt;</v>
      </c>
      <c r="L11" s="984" t="str">
        <f ca="1">IF(D11&lt;0,IF(D11&lt;-50,"&lt;&lt;&lt; "&amp;REPT("|",50),REPT("|",ABS(D11))),"")</f>
        <v/>
      </c>
      <c r="M11" s="634" t="str">
        <f ca="1">IF(D11&gt;50,REPT("|",50)&amp;" &gt;&gt;&gt;",REPT("|",D11))</f>
        <v/>
      </c>
      <c r="N11" s="642" t="str">
        <f ca="1">IF(E11&lt;0,IF(E11&lt;-50,"&lt;&lt;&lt; "&amp;REPT("|",50),REPT("|",ABS(E11))),"")</f>
        <v/>
      </c>
      <c r="O11" s="643" t="str">
        <f ca="1">IF(E11&gt;50,REPT("|",50)&amp;" &gt;&gt;&gt;",REPT("|",E11))</f>
        <v/>
      </c>
      <c r="P11" s="984" t="str">
        <f ca="1">IF(F11&lt;0,IF(F11&lt;-50,"&lt;&lt;&lt; "&amp;REPT("|",50),REPT("|",ABS(F11))),"")</f>
        <v/>
      </c>
      <c r="Q11" s="634" t="str">
        <f ca="1">IF(F11&gt;50,REPT("|",50)&amp;" &gt;&gt;&gt;",REPT("|",F11))</f>
        <v/>
      </c>
      <c r="R11" s="642" t="str">
        <f ca="1">IF(G11&lt;0,IF(G11&lt;-50,"&lt;&lt;&lt; "&amp;REPT("|",50),REPT("|",ABS(G11))),"")</f>
        <v/>
      </c>
      <c r="S11" s="643" t="str">
        <f ca="1">IF(G11&gt;50,REPT("|",50)&amp;" &gt;&gt;&gt;",REPT("|",G11))</f>
        <v/>
      </c>
      <c r="T11" s="984" t="str">
        <f ca="1">IF(H11&lt;0,IF(H11&lt;-50,"&lt;&lt;&lt; "&amp;REPT("|",50),REPT("|",ABS(H11))),"")</f>
        <v/>
      </c>
      <c r="U11" s="634" t="str">
        <f ca="1">IF(H11&gt;50,REPT("|",50)&amp;" &gt;&gt;&gt;",REPT("|",H11))</f>
        <v/>
      </c>
    </row>
    <row r="12" spans="1:22">
      <c r="A12" s="576"/>
      <c r="B12" s="640" t="str">
        <f ca="1">CompData!B137</f>
        <v>Mkt Cap ($M)</v>
      </c>
      <c r="C12" s="641">
        <f ca="1">CompData!C137</f>
        <v>120830.0000001</v>
      </c>
      <c r="D12" s="641">
        <f ca="1">CompData!D137</f>
        <v>9.9999999999999995E-7</v>
      </c>
      <c r="E12" s="641">
        <f ca="1">CompData!E137</f>
        <v>9.9999999999999995E-7</v>
      </c>
      <c r="F12" s="641">
        <f ca="1">CompData!F137</f>
        <v>9.9999999999999995E-7</v>
      </c>
      <c r="G12" s="641">
        <f ca="1">CompData!G137</f>
        <v>9.9999999999999995E-7</v>
      </c>
      <c r="H12" s="641">
        <f ca="1">CompData!H137</f>
        <v>9.9999999999999995E-7</v>
      </c>
      <c r="J12" s="642" t="str">
        <f ca="1">IF(C12&lt;0,IF(C12&lt;-50,"&lt;&lt;&lt; "&amp;REPT("|",50),REPT("|",ABS(C12))),"")</f>
        <v/>
      </c>
      <c r="K12" s="643" t="str">
        <f ca="1">IF(C12&gt;50,REPT("|",50)&amp;" &gt;&gt;&gt;",REPT("|",C12))</f>
        <v>|||||||||||||||||||||||||||||||||||||||||||||||||| &gt;&gt;&gt;</v>
      </c>
      <c r="L12" s="984" t="str">
        <f ca="1">IF(D12&lt;0,IF(D12&lt;-50,"&lt;&lt;&lt; "&amp;REPT("|",50),REPT("|",ABS(D12))),"")</f>
        <v/>
      </c>
      <c r="M12" s="634" t="str">
        <f ca="1">IF(D12&gt;50,REPT("|",50)&amp;" &gt;&gt;&gt;",REPT("|",D12))</f>
        <v/>
      </c>
      <c r="N12" s="642" t="str">
        <f ca="1">IF(E12&lt;0,IF(E12&lt;-50,"&lt;&lt;&lt; "&amp;REPT("|",50),REPT("|",ABS(E12))),"")</f>
        <v/>
      </c>
      <c r="O12" s="643" t="str">
        <f ca="1">IF(E12&gt;50,REPT("|",50)&amp;" &gt;&gt;&gt;",REPT("|",E12))</f>
        <v/>
      </c>
      <c r="P12" s="984" t="str">
        <f ca="1">IF(F12&lt;0,IF(F12&lt;-50,"&lt;&lt;&lt; "&amp;REPT("|",50),REPT("|",ABS(F12))),"")</f>
        <v/>
      </c>
      <c r="Q12" s="634" t="str">
        <f ca="1">IF(F12&gt;50,REPT("|",50)&amp;" &gt;&gt;&gt;",REPT("|",F12))</f>
        <v/>
      </c>
      <c r="R12" s="642" t="str">
        <f ca="1">IF(G12&lt;0,IF(G12&lt;-50,"&lt;&lt;&lt; "&amp;REPT("|",50),REPT("|",ABS(G12))),"")</f>
        <v/>
      </c>
      <c r="S12" s="643" t="str">
        <f ca="1">IF(G12&gt;50,REPT("|",50)&amp;" &gt;&gt;&gt;",REPT("|",G12))</f>
        <v/>
      </c>
      <c r="T12" s="984" t="str">
        <f ca="1">IF(H12&lt;0,IF(H12&lt;-50,"&lt;&lt;&lt; "&amp;REPT("|",50),REPT("|",ABS(H12))),"")</f>
        <v/>
      </c>
      <c r="U12" s="634" t="str">
        <f ca="1">IF(H12&gt;50,REPT("|",50)&amp;" &gt;&gt;&gt;",REPT("|",H12))</f>
        <v/>
      </c>
      <c r="V12" s="631"/>
    </row>
    <row r="13" spans="1:22">
      <c r="A13" s="576"/>
      <c r="B13" s="586" t="str">
        <f ca="1">CompData!B138</f>
        <v>EV</v>
      </c>
      <c r="C13" s="587">
        <f ca="1">CompData!C138</f>
        <v>123730.0000001</v>
      </c>
      <c r="D13" s="587">
        <f ca="1">CompData!D138</f>
        <v>9.9999999999999995E-7</v>
      </c>
      <c r="E13" s="587">
        <f ca="1">CompData!E138</f>
        <v>9.9999999999999995E-7</v>
      </c>
      <c r="F13" s="587">
        <f ca="1">CompData!F138</f>
        <v>9.9999999999999995E-7</v>
      </c>
      <c r="G13" s="587">
        <f ca="1">CompData!G138</f>
        <v>9.9999999999999995E-7</v>
      </c>
      <c r="H13" s="587">
        <f ca="1">CompData!H138</f>
        <v>9.9999999999999995E-7</v>
      </c>
      <c r="J13" s="642" t="str">
        <f ca="1">IF(C13&lt;0,IF(C13&lt;-50,"&lt;&lt;&lt; "&amp;REPT("|",50),REPT("|",ABS(C13))),"")</f>
        <v/>
      </c>
      <c r="K13" s="643" t="str">
        <f ca="1">IF(C13&gt;=0,IF(C13&gt;50,REPT("|",50)&amp;" &gt;&gt;&gt;",REPT("|",C13)),"")</f>
        <v>|||||||||||||||||||||||||||||||||||||||||||||||||| &gt;&gt;&gt;</v>
      </c>
      <c r="L13" s="984" t="str">
        <f ca="1">IF(D13&lt;0,IF(D13&lt;-50,"&lt;&lt;&lt; "&amp;REPT("|",50),REPT("|",ABS(D13))),"")</f>
        <v/>
      </c>
      <c r="M13" s="634" t="str">
        <f ca="1">IF(D13&gt;=0,IF(D13&gt;50,REPT("|",50)&amp;" &gt;&gt;&gt;",REPT("|",D13)),"")</f>
        <v/>
      </c>
      <c r="N13" s="642" t="str">
        <f ca="1">IF(E13&lt;0,IF(E13&lt;-50,"&lt;&lt;&lt; "&amp;REPT("|",50),REPT("|",ABS(E13))),"")</f>
        <v/>
      </c>
      <c r="O13" s="643" t="str">
        <f ca="1">IF(E13&gt;=0,IF(E13&gt;50,REPT("|",50)&amp;" &gt;&gt;&gt;",REPT("|",E13)),"")</f>
        <v/>
      </c>
      <c r="P13" s="984" t="str">
        <f ca="1">IF(F13&lt;0,IF(F13&lt;-50,"&lt;&lt;&lt; "&amp;REPT("|",50),REPT("|",ABS(F13))),"")</f>
        <v/>
      </c>
      <c r="Q13" s="634" t="str">
        <f ca="1">IF(F13&gt;=0,IF(F13&gt;50,REPT("|",50)&amp;" &gt;&gt;&gt;",REPT("|",F13)),"")</f>
        <v/>
      </c>
      <c r="R13" s="642" t="str">
        <f ca="1">IF(G13&lt;0,IF(G13&lt;-50,"&lt;&lt;&lt; "&amp;REPT("|",50),REPT("|",ABS(G13))),"")</f>
        <v/>
      </c>
      <c r="S13" s="643" t="str">
        <f ca="1">IF(G13&gt;=0,IF(G13&gt;50,REPT("|",50)&amp;" &gt;&gt;&gt;",REPT("|",G13)),"")</f>
        <v/>
      </c>
      <c r="T13" s="984" t="str">
        <f ca="1">IF(H13&lt;0,IF(H13&lt;-50,"&lt;&lt;&lt; "&amp;REPT("|",50),REPT("|",ABS(H13))),"")</f>
        <v/>
      </c>
      <c r="U13" s="634" t="str">
        <f ca="1">IF(H13&gt;=0,IF(H13&gt;50,REPT("|",50)&amp;" &gt;&gt;&gt;",REPT("|",H13)),"")</f>
        <v/>
      </c>
      <c r="V13" s="310"/>
    </row>
    <row r="14" spans="1:22">
      <c r="A14" s="576"/>
      <c r="B14" s="640" t="str">
        <f ca="1">CompData!B139</f>
        <v>52 Wk High</v>
      </c>
      <c r="C14" s="641">
        <f ca="1">CompData!C139</f>
        <v>59.450000100000004</v>
      </c>
      <c r="D14" s="641">
        <f ca="1">CompData!D139</f>
        <v>9.9999999999999995E-7</v>
      </c>
      <c r="E14" s="641">
        <f ca="1">CompData!E139</f>
        <v>9.9999999999999995E-7</v>
      </c>
      <c r="F14" s="641">
        <f ca="1">CompData!F139</f>
        <v>9.9999999999999995E-7</v>
      </c>
      <c r="G14" s="641">
        <f ca="1">CompData!G139</f>
        <v>9.9999999999999995E-7</v>
      </c>
      <c r="H14" s="641">
        <f ca="1">CompData!H139</f>
        <v>9.9999999999999995E-7</v>
      </c>
      <c r="J14" s="642" t="str">
        <f ca="1">IF(C14&lt;0,IF(C14&lt;-50,"&lt;&lt;&lt; "&amp;REPT("|",50),REPT("|",ABS(C14))),"")</f>
        <v/>
      </c>
      <c r="K14" s="643" t="str">
        <f ca="1">IF(C14&gt;50,REPT("|",50)&amp;" &gt;&gt;&gt;",REPT("|",C14))</f>
        <v>|||||||||||||||||||||||||||||||||||||||||||||||||| &gt;&gt;&gt;</v>
      </c>
      <c r="L14" s="984" t="str">
        <f ca="1">IF(D14&lt;0,IF(D14&lt;-50,"&lt;&lt;&lt; "&amp;REPT("|",50),REPT("|",ABS(D14))),"")</f>
        <v/>
      </c>
      <c r="M14" s="634" t="str">
        <f ca="1">IF(D14&gt;50,REPT("|",50)&amp;" &gt;&gt;&gt;",REPT("|",D14))</f>
        <v/>
      </c>
      <c r="N14" s="642" t="str">
        <f ca="1">IF(E14&lt;0,IF(E14&lt;-50,"&lt;&lt;&lt; "&amp;REPT("|",50),REPT("|",ABS(E14))),"")</f>
        <v/>
      </c>
      <c r="O14" s="643" t="str">
        <f ca="1">IF(E14&gt;50,REPT("|",50)&amp;" &gt;&gt;&gt;",REPT("|",E14))</f>
        <v/>
      </c>
      <c r="P14" s="984" t="str">
        <f ca="1">IF(F14&lt;0,IF(F14&lt;-50,"&lt;&lt;&lt; "&amp;REPT("|",50),REPT("|",ABS(F14))),"")</f>
        <v/>
      </c>
      <c r="Q14" s="634" t="str">
        <f ca="1">IF(F14&gt;50,REPT("|",50)&amp;" &gt;&gt;&gt;",REPT("|",F14))</f>
        <v/>
      </c>
      <c r="R14" s="642" t="str">
        <f ca="1">IF(G14&lt;0,IF(G14&lt;-50,"&lt;&lt;&lt; "&amp;REPT("|",50),REPT("|",ABS(G14))),"")</f>
        <v/>
      </c>
      <c r="S14" s="643" t="str">
        <f ca="1">IF(G14&gt;50,REPT("|",50)&amp;" &gt;&gt;&gt;",REPT("|",G14))</f>
        <v/>
      </c>
      <c r="T14" s="984" t="str">
        <f ca="1">IF(H14&lt;0,IF(H14&lt;-50,"&lt;&lt;&lt; "&amp;REPT("|",50),REPT("|",ABS(H14))),"")</f>
        <v/>
      </c>
      <c r="U14" s="634" t="str">
        <f ca="1">IF(H14&gt;50,REPT("|",50)&amp;" &gt;&gt;&gt;",REPT("|",H14))</f>
        <v/>
      </c>
      <c r="V14" s="310"/>
    </row>
    <row r="15" spans="1:22">
      <c r="A15" s="576"/>
      <c r="B15" s="586" t="str">
        <f ca="1">CompData!B140</f>
        <v>52 Wk Low</v>
      </c>
      <c r="C15" s="587">
        <f ca="1">CompData!C140</f>
        <v>47.420000100000003</v>
      </c>
      <c r="D15" s="587">
        <f ca="1">CompData!D140</f>
        <v>9.9999999999999995E-7</v>
      </c>
      <c r="E15" s="587">
        <f ca="1">CompData!E140</f>
        <v>9.9999999999999995E-7</v>
      </c>
      <c r="F15" s="587">
        <f ca="1">CompData!F140</f>
        <v>9.9999999999999995E-7</v>
      </c>
      <c r="G15" s="587">
        <f ca="1">CompData!G140</f>
        <v>9.9999999999999995E-7</v>
      </c>
      <c r="H15" s="587">
        <f ca="1">CompData!H140</f>
        <v>9.9999999999999995E-7</v>
      </c>
      <c r="J15" s="642" t="str">
        <f ca="1">IF(C15&lt;0,IF(C15&lt;-50,"&lt;&lt;&lt; "&amp;REPT("|",50),REPT("|",ABS(C15))),"")</f>
        <v/>
      </c>
      <c r="K15" s="643" t="str">
        <f ca="1">IF(C15&gt;50,REPT("|",50)&amp;" &gt;&gt;&gt;",REPT("|",C15))</f>
        <v>|||||||||||||||||||||||||||||||||||||||||||||||</v>
      </c>
      <c r="L15" s="984" t="str">
        <f ca="1">IF(D15&lt;0,IF(D15&lt;-50,"&lt;&lt;&lt; "&amp;REPT("|",50),REPT("|",ABS(D15))),"")</f>
        <v/>
      </c>
      <c r="M15" s="634" t="str">
        <f ca="1">IF(D15&gt;50,REPT("|",50)&amp;" &gt;&gt;&gt;",REPT("|",D15))</f>
        <v/>
      </c>
      <c r="N15" s="642" t="str">
        <f ca="1">IF(E15&lt;0,IF(E15&lt;-50,"&lt;&lt;&lt; "&amp;REPT("|",50),REPT("|",ABS(E15))),"")</f>
        <v/>
      </c>
      <c r="O15" s="643" t="str">
        <f ca="1">IF(E15&gt;50,REPT("|",50)&amp;" &gt;&gt;&gt;",REPT("|",E15))</f>
        <v/>
      </c>
      <c r="P15" s="984" t="str">
        <f ca="1">IF(F15&lt;0,IF(F15&lt;-50,"&lt;&lt;&lt; "&amp;REPT("|",50),REPT("|",ABS(F15))),"")</f>
        <v/>
      </c>
      <c r="Q15" s="634" t="str">
        <f ca="1">IF(F15&gt;50,REPT("|",50)&amp;" &gt;&gt;&gt;",REPT("|",F15))</f>
        <v/>
      </c>
      <c r="R15" s="642" t="str">
        <f ca="1">IF(G15&lt;0,IF(G15&lt;-50,"&lt;&lt;&lt; "&amp;REPT("|",50),REPT("|",ABS(G15))),"")</f>
        <v/>
      </c>
      <c r="S15" s="643" t="str">
        <f ca="1">IF(G15&gt;50,REPT("|",50)&amp;" &gt;&gt;&gt;",REPT("|",G15))</f>
        <v/>
      </c>
      <c r="T15" s="984" t="str">
        <f ca="1">IF(H15&lt;0,IF(H15&lt;-50,"&lt;&lt;&lt; "&amp;REPT("|",50),REPT("|",ABS(H15))),"")</f>
        <v/>
      </c>
      <c r="U15" s="634" t="str">
        <f ca="1">IF(H15&gt;50,REPT("|",50)&amp;" &gt;&gt;&gt;",REPT("|",H15))</f>
        <v/>
      </c>
    </row>
    <row r="16" spans="1:22" ht="13.5" thickBot="1">
      <c r="A16" s="576"/>
      <c r="B16" s="644" t="str">
        <f ca="1">CompData!B141</f>
        <v>% off 52Wk Low</v>
      </c>
      <c r="C16" s="645">
        <f ca="1">CompData!C141</f>
        <v>0.10501907933361444</v>
      </c>
      <c r="D16" s="645">
        <f ca="1">CompData!D141</f>
        <v>9.9999999999999995E-7</v>
      </c>
      <c r="E16" s="645">
        <f ca="1">CompData!E141</f>
        <v>9.9999999999999995E-7</v>
      </c>
      <c r="F16" s="645">
        <f ca="1">CompData!F141</f>
        <v>9.9999999999999995E-7</v>
      </c>
      <c r="G16" s="645">
        <f ca="1">CompData!G141</f>
        <v>9.9999999999999995E-7</v>
      </c>
      <c r="H16" s="645">
        <f ca="1">CompData!H141</f>
        <v>9.9999999999999995E-7</v>
      </c>
      <c r="J16" s="646" t="str">
        <f ca="1">IF(C16&lt;0,IF(C16*100&lt;-50,"&lt;&lt;&lt; "&amp;REPT("|",50),REPT("|",ABS(C16))),"")</f>
        <v/>
      </c>
      <c r="K16" s="647" t="str">
        <f ca="1">IF(C16&gt;50,REPT("|",50)&amp;" &gt;&gt;&gt;",REPT("|",C16))</f>
        <v/>
      </c>
      <c r="L16" s="985" t="str">
        <f ca="1">IF(D16&lt;0,IF(D16*100&lt;-50,"&lt;&lt;&lt; "&amp;REPT("|",50),REPT("|",ABS(D16))),"")</f>
        <v/>
      </c>
      <c r="M16" s="635" t="str">
        <f ca="1">IF(D16&gt;50,REPT("|",50)&amp;" &gt;&gt;&gt;",REPT("|",D16))</f>
        <v/>
      </c>
      <c r="N16" s="646" t="str">
        <f ca="1">IF(E16&lt;0,IF(E16*100&lt;-50,"&lt;&lt;&lt; "&amp;REPT("|",50),REPT("|",ABS(E16))),"")</f>
        <v/>
      </c>
      <c r="O16" s="647" t="str">
        <f ca="1">IF(E16&gt;50,REPT("|",50)&amp;" &gt;&gt;&gt;",REPT("|",E16))</f>
        <v/>
      </c>
      <c r="P16" s="985" t="str">
        <f ca="1">IF(F16&lt;0,IF(F16*100&lt;-50,"&lt;&lt;&lt; "&amp;REPT("|",50),REPT("|",ABS(F16))),"")</f>
        <v/>
      </c>
      <c r="Q16" s="635" t="str">
        <f ca="1">IF(F16&gt;50,REPT("|",50)&amp;" &gt;&gt;&gt;",REPT("|",F16))</f>
        <v/>
      </c>
      <c r="R16" s="646" t="str">
        <f ca="1">IF(G16&lt;0,IF(G16*100&lt;-50,"&lt;&lt;&lt; "&amp;REPT("|",50),REPT("|",ABS(G16))),"")</f>
        <v/>
      </c>
      <c r="S16" s="647" t="str">
        <f ca="1">IF(G16&gt;50,REPT("|",50)&amp;" &gt;&gt;&gt;",REPT("|",G16))</f>
        <v/>
      </c>
      <c r="T16" s="985" t="str">
        <f ca="1">IF(H16&lt;0,IF(H16*100&lt;-50,"&lt;&lt;&lt; "&amp;REPT("|",50),REPT("|",ABS(H16))),"")</f>
        <v/>
      </c>
      <c r="U16" s="635" t="str">
        <f ca="1">IF(H16&gt;50,REPT("|",50)&amp;" &gt;&gt;&gt;",REPT("|",H16))</f>
        <v/>
      </c>
    </row>
    <row r="17" spans="1:23" s="342" customFormat="1" ht="15" thickTop="1">
      <c r="A17" s="576"/>
      <c r="B17" s="991" t="s">
        <v>665</v>
      </c>
      <c r="C17" s="588"/>
      <c r="D17" s="588"/>
      <c r="E17" s="588"/>
      <c r="F17" s="588"/>
      <c r="G17" s="588"/>
      <c r="H17" s="588"/>
      <c r="J17" s="986"/>
      <c r="K17" s="987"/>
      <c r="L17" s="986"/>
      <c r="M17" s="989"/>
      <c r="N17" s="986"/>
      <c r="O17" s="989"/>
      <c r="P17" s="986"/>
      <c r="Q17" s="989"/>
      <c r="R17" s="986"/>
      <c r="S17" s="989"/>
      <c r="T17" s="986"/>
      <c r="U17" s="989"/>
    </row>
    <row r="18" spans="1:23">
      <c r="A18" s="576"/>
      <c r="B18" s="586" t="str">
        <f ca="1">CompData!B142</f>
        <v xml:space="preserve">P/E(TTM) </v>
      </c>
      <c r="C18" s="589">
        <f ca="1">CompData!C142</f>
        <v>17.2200001</v>
      </c>
      <c r="D18" s="589">
        <f ca="1">CompData!D142</f>
        <v>9.9999999999999995E-7</v>
      </c>
      <c r="E18" s="589">
        <f ca="1">CompData!E142</f>
        <v>9.9999999999999995E-7</v>
      </c>
      <c r="F18" s="589">
        <f ca="1">CompData!F142</f>
        <v>9.9999999999999995E-7</v>
      </c>
      <c r="G18" s="589">
        <f ca="1">CompData!G142</f>
        <v>9.9999999999999995E-7</v>
      </c>
      <c r="H18" s="589">
        <f ca="1">CompData!H142</f>
        <v>9.9999999999999995E-7</v>
      </c>
      <c r="J18" s="642" t="str">
        <f t="shared" ref="J18:J23" ca="1" si="0">IF(C18&lt;0,IF(C18&lt;-50,"&lt;&lt;&lt; "&amp;REPT("|",50),REPT("|",ABS(C18))),"")</f>
        <v/>
      </c>
      <c r="K18" s="643" t="str">
        <f ca="1">IF(C18&gt;50,REPT("|",50)&amp;" &gt;&gt;&gt;",REPT("|",C18))</f>
        <v>|||||||||||||||||</v>
      </c>
      <c r="L18" s="632"/>
      <c r="M18" s="634" t="str">
        <f ca="1">IF(D18&gt;50,REPT("|",50)&amp;" &gt;&gt;&gt;",REPT("|",D18))</f>
        <v/>
      </c>
      <c r="N18" s="649"/>
      <c r="O18" s="643" t="str">
        <f ca="1">IF(E18&gt;50,REPT("|",50)&amp;" &gt;&gt;&gt;",REPT("|",E18))</f>
        <v/>
      </c>
      <c r="P18" s="632"/>
      <c r="Q18" s="634" t="str">
        <f ca="1">IF(F18&gt;50,REPT("|",50)&amp;" &gt;&gt;&gt;",REPT("|",F18))</f>
        <v/>
      </c>
      <c r="R18" s="649"/>
      <c r="S18" s="643" t="str">
        <f ca="1">IF(G18&gt;50,REPT("|",50)&amp;" &gt;&gt;&gt;",REPT("|",G18))</f>
        <v/>
      </c>
      <c r="T18" s="632"/>
      <c r="U18" s="634" t="str">
        <f ca="1">IF(H18&gt;50,REPT("|",50)&amp;" &gt;&gt;&gt;",REPT("|",H18))</f>
        <v/>
      </c>
      <c r="W18" s="310"/>
    </row>
    <row r="19" spans="1:23">
      <c r="A19" s="576"/>
      <c r="B19" s="640" t="str">
        <f ca="1">CompData!B143</f>
        <v xml:space="preserve">P/S(TTM) </v>
      </c>
      <c r="C19" s="648">
        <f ca="1">CompData!C143</f>
        <v>3.8500000999999999</v>
      </c>
      <c r="D19" s="648">
        <f ca="1">CompData!D143</f>
        <v>9.9999999999999995E-7</v>
      </c>
      <c r="E19" s="648">
        <f ca="1">CompData!E143</f>
        <v>9.9999999999999995E-7</v>
      </c>
      <c r="F19" s="648">
        <f ca="1">CompData!F143</f>
        <v>9.9999999999999995E-7</v>
      </c>
      <c r="G19" s="648">
        <f ca="1">CompData!G143</f>
        <v>9.9999999999999995E-7</v>
      </c>
      <c r="H19" s="648">
        <f ca="1">CompData!H143</f>
        <v>9.9999999999999995E-7</v>
      </c>
      <c r="J19" s="642" t="str">
        <f t="shared" ca="1" si="0"/>
        <v/>
      </c>
      <c r="K19" s="643" t="str">
        <f ca="1">IF(C19&gt;50,REPT("|",50)&amp;" &gt;&gt;&gt;",REPT("|",C19))</f>
        <v>|||</v>
      </c>
      <c r="L19" s="632"/>
      <c r="M19" s="634" t="str">
        <f ca="1">IF(D19&gt;50,REPT("|",50)&amp;" &gt;&gt;&gt;",REPT("|",D19))</f>
        <v/>
      </c>
      <c r="N19" s="649"/>
      <c r="O19" s="643" t="str">
        <f ca="1">IF(E19&gt;50,REPT("|",50)&amp;" &gt;&gt;&gt;",REPT("|",E19))</f>
        <v/>
      </c>
      <c r="P19" s="632"/>
      <c r="Q19" s="634" t="str">
        <f ca="1">IF(F19&gt;50,REPT("|",50)&amp;" &gt;&gt;&gt;",REPT("|",F19))</f>
        <v/>
      </c>
      <c r="R19" s="649"/>
      <c r="S19" s="643" t="str">
        <f ca="1">IF(G19&gt;50,REPT("|",50)&amp;" &gt;&gt;&gt;",REPT("|",G19))</f>
        <v/>
      </c>
      <c r="T19" s="632"/>
      <c r="U19" s="634" t="str">
        <f ca="1">IF(H19&gt;50,REPT("|",50)&amp;" &gt;&gt;&gt;",REPT("|",H19))</f>
        <v/>
      </c>
    </row>
    <row r="20" spans="1:23">
      <c r="A20" s="576"/>
      <c r="B20" s="586" t="str">
        <f ca="1">CompData!B144</f>
        <v xml:space="preserve">P/Tang BV(MRQ) </v>
      </c>
      <c r="C20" s="589">
        <f ca="1">CompData!C144</f>
        <v>9.6200000999999986</v>
      </c>
      <c r="D20" s="589">
        <f ca="1">CompData!D144</f>
        <v>9.9999999999999995E-7</v>
      </c>
      <c r="E20" s="589">
        <f ca="1">CompData!E144</f>
        <v>9.9999999999999995E-7</v>
      </c>
      <c r="F20" s="589">
        <f ca="1">CompData!F144</f>
        <v>9.9999999999999995E-7</v>
      </c>
      <c r="G20" s="589">
        <f ca="1">CompData!G144</f>
        <v>9.9999999999999995E-7</v>
      </c>
      <c r="H20" s="589">
        <f ca="1">CompData!H144</f>
        <v>9.9999999999999995E-7</v>
      </c>
      <c r="J20" s="642" t="str">
        <f t="shared" ca="1" si="0"/>
        <v/>
      </c>
      <c r="K20" s="643" t="str">
        <f ca="1">IF(C20&gt;50,REPT("|",50)&amp;" &gt;&gt;&gt;",REPT("|",C20))</f>
        <v>|||||||||</v>
      </c>
      <c r="L20" s="632"/>
      <c r="M20" s="634" t="str">
        <f ca="1">IF(D20&gt;50,REPT("|",50)&amp;" &gt;&gt;&gt;",REPT("|",D20))</f>
        <v/>
      </c>
      <c r="N20" s="649"/>
      <c r="O20" s="643" t="str">
        <f ca="1">IF(E20&gt;50,REPT("|",50)&amp;" &gt;&gt;&gt;",REPT("|",E20))</f>
        <v/>
      </c>
      <c r="P20" s="632"/>
      <c r="Q20" s="634" t="str">
        <f ca="1">IF(F20&gt;50,REPT("|",50)&amp;" &gt;&gt;&gt;",REPT("|",F20))</f>
        <v/>
      </c>
      <c r="R20" s="649"/>
      <c r="S20" s="643" t="str">
        <f ca="1">IF(G20&gt;50,REPT("|",50)&amp;" &gt;&gt;&gt;",REPT("|",G20))</f>
        <v/>
      </c>
      <c r="T20" s="632"/>
      <c r="U20" s="634" t="str">
        <f ca="1">IF(H20&gt;50,REPT("|",50)&amp;" &gt;&gt;&gt;",REPT("|",H20))</f>
        <v/>
      </c>
    </row>
    <row r="21" spans="1:23">
      <c r="A21" s="576"/>
      <c r="B21" s="640" t="str">
        <f ca="1">CompData!B145</f>
        <v>P/CF</v>
      </c>
      <c r="C21" s="648">
        <f ca="1">CompData!C145</f>
        <v>14.350000099999999</v>
      </c>
      <c r="D21" s="648">
        <f ca="1">CompData!D145</f>
        <v>9.9999999999999995E-7</v>
      </c>
      <c r="E21" s="648">
        <f ca="1">CompData!E145</f>
        <v>9.9999999999999995E-7</v>
      </c>
      <c r="F21" s="648">
        <f ca="1">CompData!F145</f>
        <v>9.9999999999999995E-7</v>
      </c>
      <c r="G21" s="648">
        <f ca="1">CompData!G145</f>
        <v>9.9999999999999995E-7</v>
      </c>
      <c r="H21" s="648">
        <f ca="1">CompData!H145</f>
        <v>9.9999999999999995E-7</v>
      </c>
      <c r="J21" s="642" t="str">
        <f t="shared" ca="1" si="0"/>
        <v/>
      </c>
      <c r="K21" s="643" t="str">
        <f ca="1">IF(C21&gt;=0,IF(C21&gt;50,REPT("|",50)&amp;" &gt;&gt;&gt;",REPT("|",C21)),"")</f>
        <v>||||||||||||||</v>
      </c>
      <c r="L21" s="632"/>
      <c r="M21" s="634" t="str">
        <f ca="1">IF(D21&gt;=0,IF(D21&gt;50,REPT("|",50)&amp;" &gt;&gt;&gt;",REPT("|",D21)),"")</f>
        <v/>
      </c>
      <c r="N21" s="649"/>
      <c r="O21" s="643" t="str">
        <f ca="1">IF(E21&gt;=0,IF(E21&gt;50,REPT("|",50)&amp;" &gt;&gt;&gt;",REPT("|",E21)),"")</f>
        <v/>
      </c>
      <c r="P21" s="632"/>
      <c r="Q21" s="634" t="str">
        <f ca="1">IF(F21&gt;=0,IF(F21&gt;50,REPT("|",50)&amp;" &gt;&gt;&gt;",REPT("|",F21)),"")</f>
        <v/>
      </c>
      <c r="R21" s="649"/>
      <c r="S21" s="643" t="str">
        <f ca="1">IF(G21&gt;=0,IF(G21&gt;50,REPT("|",50)&amp;" &gt;&gt;&gt;",REPT("|",G21)),"")</f>
        <v/>
      </c>
      <c r="T21" s="632"/>
      <c r="U21" s="634" t="str">
        <f ca="1">IF(H21&gt;=0,IF(H21&gt;50,REPT("|",50)&amp;" &gt;&gt;&gt;",REPT("|",H21)),"")</f>
        <v/>
      </c>
    </row>
    <row r="22" spans="1:23">
      <c r="A22" s="576"/>
      <c r="B22" s="586" t="str">
        <f ca="1">CompData!B146</f>
        <v xml:space="preserve">P/FCF(TTM) </v>
      </c>
      <c r="C22" s="589">
        <f ca="1">CompData!C146</f>
        <v>42.320000100000001</v>
      </c>
      <c r="D22" s="589">
        <f ca="1">CompData!D146</f>
        <v>9.9999999999999995E-7</v>
      </c>
      <c r="E22" s="589">
        <f ca="1">CompData!E146</f>
        <v>9.9999999999999995E-7</v>
      </c>
      <c r="F22" s="589">
        <f ca="1">CompData!F146</f>
        <v>9.9999999999999995E-7</v>
      </c>
      <c r="G22" s="589">
        <f ca="1">CompData!G146</f>
        <v>9.9999999999999995E-7</v>
      </c>
      <c r="H22" s="589">
        <f ca="1">CompData!H146</f>
        <v>9.9999999999999995E-7</v>
      </c>
      <c r="J22" s="642" t="str">
        <f t="shared" ca="1" si="0"/>
        <v/>
      </c>
      <c r="K22" s="643" t="str">
        <f ca="1">IF(C22&gt;=0,IF(C22&gt;50,REPT("|",50)&amp;" &gt;&gt;&gt;",REPT("|",C22)),"")</f>
        <v>||||||||||||||||||||||||||||||||||||||||||</v>
      </c>
      <c r="L22" s="632"/>
      <c r="M22" s="634" t="str">
        <f ca="1">IF(D22&gt;=0,IF(D22&gt;50,REPT("|",50)&amp;" &gt;&gt;&gt;",REPT("|",D22)),"")</f>
        <v/>
      </c>
      <c r="N22" s="649"/>
      <c r="O22" s="643" t="str">
        <f ca="1">IF(E22&gt;=0,IF(E22&gt;50,REPT("|",50)&amp;" &gt;&gt;&gt;",REPT("|",E22)),"")</f>
        <v/>
      </c>
      <c r="P22" s="632"/>
      <c r="Q22" s="634" t="str">
        <f ca="1">IF(F22&gt;=0,IF(F22&gt;50,REPT("|",50)&amp;" &gt;&gt;&gt;",REPT("|",F22)),"")</f>
        <v/>
      </c>
      <c r="R22" s="649"/>
      <c r="S22" s="643" t="str">
        <f ca="1">IF(G22&gt;=0,IF(G22&gt;50,REPT("|",50)&amp;" &gt;&gt;&gt;",REPT("|",G22)),"")</f>
        <v/>
      </c>
      <c r="T22" s="632"/>
      <c r="U22" s="634" t="str">
        <f ca="1">IF(H22&gt;=0,IF(H22&gt;50,REPT("|",50)&amp;" &gt;&gt;&gt;",REPT("|",H22)),"")</f>
        <v/>
      </c>
    </row>
    <row r="23" spans="1:23" ht="13.5" thickBot="1">
      <c r="A23" s="576"/>
      <c r="B23" s="644" t="str">
        <f ca="1">CompData!B147</f>
        <v>EV/EBITDA(TTM)</v>
      </c>
      <c r="C23" s="650">
        <f ca="1">CompData!C147</f>
        <v>12.2300001</v>
      </c>
      <c r="D23" s="650">
        <f ca="1">CompData!D147</f>
        <v>9.9999999999999995E-7</v>
      </c>
      <c r="E23" s="650">
        <f ca="1">CompData!E147</f>
        <v>9.9999999999999995E-7</v>
      </c>
      <c r="F23" s="650">
        <f ca="1">CompData!F147</f>
        <v>9.9999999999999995E-7</v>
      </c>
      <c r="G23" s="650">
        <f ca="1">CompData!G147</f>
        <v>9.9999999999999995E-7</v>
      </c>
      <c r="H23" s="650">
        <f ca="1">CompData!H147</f>
        <v>9.9999999999999995E-7</v>
      </c>
      <c r="J23" s="646" t="str">
        <f t="shared" ca="1" si="0"/>
        <v/>
      </c>
      <c r="K23" s="647" t="str">
        <f ca="1">IF(C23&gt;=0,IF(C23&gt;50,REPT("|",50)&amp;" &gt;&gt;&gt;",REPT("|",C23)),"")</f>
        <v>||||||||||||</v>
      </c>
      <c r="L23" s="633"/>
      <c r="M23" s="635" t="str">
        <f ca="1">IF(D23&gt;=0,IF(D23&gt;50,REPT("|",50)&amp;" &gt;&gt;&gt;",REPT("|",D23)),"")</f>
        <v/>
      </c>
      <c r="N23" s="651"/>
      <c r="O23" s="647" t="str">
        <f ca="1">IF(E23&gt;=0,IF(E23&gt;50,REPT("|",50)&amp;" &gt;&gt;&gt;",REPT("|",E23)),"")</f>
        <v/>
      </c>
      <c r="P23" s="633"/>
      <c r="Q23" s="635" t="str">
        <f ca="1">IF(F23&gt;=0,IF(F23&gt;50,REPT("|",50)&amp;" &gt;&gt;&gt;",REPT("|",F23)),"")</f>
        <v/>
      </c>
      <c r="R23" s="651"/>
      <c r="S23" s="647" t="str">
        <f ca="1">IF(G23&gt;=0,IF(G23&gt;50,REPT("|",50)&amp;" &gt;&gt;&gt;",REPT("|",G23)),"")</f>
        <v/>
      </c>
      <c r="T23" s="633"/>
      <c r="U23" s="635" t="str">
        <f ca="1">IF(H23&gt;=0,IF(H23&gt;50,REPT("|",50)&amp;" &gt;&gt;&gt;",REPT("|",H23)),"")</f>
        <v/>
      </c>
    </row>
    <row r="24" spans="1:23" s="342" customFormat="1" ht="15" thickTop="1">
      <c r="A24" s="576"/>
      <c r="B24" s="991" t="s">
        <v>13</v>
      </c>
      <c r="C24" s="588"/>
      <c r="D24" s="588"/>
      <c r="E24" s="588"/>
      <c r="F24" s="588"/>
      <c r="G24" s="588"/>
      <c r="H24" s="588"/>
      <c r="J24" s="988"/>
      <c r="K24" s="987"/>
      <c r="L24" s="986"/>
      <c r="M24" s="989"/>
      <c r="N24" s="986"/>
      <c r="O24" s="989"/>
      <c r="P24" s="986"/>
      <c r="Q24" s="989"/>
      <c r="R24" s="986"/>
      <c r="S24" s="989"/>
      <c r="T24" s="986"/>
      <c r="U24" s="989"/>
    </row>
    <row r="25" spans="1:23">
      <c r="A25" s="576"/>
      <c r="B25" s="586" t="str">
        <f ca="1">CompData!B148</f>
        <v>Div Yld</v>
      </c>
      <c r="C25" s="591">
        <f ca="1">CompData!C148</f>
        <v>1.7000001000000001E-2</v>
      </c>
      <c r="D25" s="591">
        <f ca="1">CompData!D148</f>
        <v>9.9999999999999995E-7</v>
      </c>
      <c r="E25" s="591">
        <f ca="1">CompData!E148</f>
        <v>9.9999999999999995E-7</v>
      </c>
      <c r="F25" s="591">
        <f ca="1">CompData!F148</f>
        <v>9.9999999999999995E-7</v>
      </c>
      <c r="G25" s="591">
        <f ca="1">CompData!G148</f>
        <v>9.9999999999999995E-7</v>
      </c>
      <c r="H25" s="591">
        <f ca="1">CompData!H148</f>
        <v>9.9999999999999995E-7</v>
      </c>
      <c r="J25" s="642" t="str">
        <f ca="1">IF(C25&lt;0,IF(C25*100&lt;-50,"&lt;&lt;&lt; "&amp;REPT("|",50),REPT("|",ABS(C25*100))),"")</f>
        <v/>
      </c>
      <c r="K25" s="643" t="str">
        <f ca="1">IF(C25&gt;=0,IF(C25*100&gt;50,REPT("|",50)&amp;" &gt;&gt;&gt;",REPT("|",C25*100)),"")</f>
        <v>|</v>
      </c>
      <c r="L25" s="984" t="str">
        <f ca="1">IF(D25&lt;0,IF(D25*100&lt;-50,"&lt;&lt;&lt; "&amp;REPT("|",50),REPT("|",ABS(D25*100))),"")</f>
        <v/>
      </c>
      <c r="M25" s="634" t="str">
        <f ca="1">IF(D25&gt;=0,IF(D25*100&gt;50,REPT("|",50)&amp;" &gt;&gt;&gt;",REPT("|",D25*100)),"")</f>
        <v/>
      </c>
      <c r="N25" s="642" t="str">
        <f ca="1">IF(E25&lt;0,IF(E25*100&lt;-50,"&lt;&lt;&lt; "&amp;REPT("|",50),REPT("|",ABS(E25*100))),"")</f>
        <v/>
      </c>
      <c r="O25" s="643" t="str">
        <f ca="1">IF(E25&gt;=0,IF(E25&gt;50,REPT("|",50)&amp;" &gt;&gt;&gt;",REPT("|",E25)),"")</f>
        <v/>
      </c>
      <c r="P25" s="984" t="str">
        <f ca="1">IF(F25&lt;0,IF(F25*100&lt;-50,"&lt;&lt;&lt; "&amp;REPT("|",50),REPT("|",ABS(F25*100))),"")</f>
        <v/>
      </c>
      <c r="Q25" s="634" t="str">
        <f ca="1">IF(F25&gt;=0,IF(F25&gt;50,REPT("|",50)&amp;" &gt;&gt;&gt;",REPT("|",F25)),"")</f>
        <v/>
      </c>
      <c r="R25" s="642" t="str">
        <f ca="1">IF(G25&lt;0,IF(G25*100&lt;-50,"&lt;&lt;&lt; "&amp;REPT("|",50),REPT("|",ABS(G25*100))),"")</f>
        <v/>
      </c>
      <c r="S25" s="643" t="str">
        <f ca="1">IF(G25&gt;=0,IF(G25&gt;50,REPT("|",50)&amp;" &gt;&gt;&gt;",REPT("|",G25)),"")</f>
        <v/>
      </c>
      <c r="T25" s="984" t="str">
        <f ca="1">IF(H25&lt;0,IF(H25*100&lt;-50,"&lt;&lt;&lt; "&amp;REPT("|",50),REPT("|",ABS(H25*100))),"")</f>
        <v/>
      </c>
      <c r="U25" s="634" t="str">
        <f ca="1">IF(H25&gt;=0,IF(H25&gt;50,REPT("|",50)&amp;" &gt;&gt;&gt;",REPT("|",H25)),"")</f>
        <v/>
      </c>
    </row>
    <row r="26" spans="1:23">
      <c r="A26" s="576"/>
      <c r="B26" s="640" t="str">
        <f ca="1">CompData!B149</f>
        <v>Div Yld - 5yr avg</v>
      </c>
      <c r="C26" s="652">
        <f ca="1">CompData!C149</f>
        <v>2.7300000999999997E-2</v>
      </c>
      <c r="D26" s="652">
        <f ca="1">CompData!D149</f>
        <v>9.9999999999999995E-7</v>
      </c>
      <c r="E26" s="652">
        <f ca="1">CompData!E149</f>
        <v>9.9999999999999995E-7</v>
      </c>
      <c r="F26" s="652">
        <f ca="1">CompData!F149</f>
        <v>9.9999999999999995E-7</v>
      </c>
      <c r="G26" s="652">
        <f ca="1">CompData!G149</f>
        <v>9.9999999999999995E-7</v>
      </c>
      <c r="H26" s="652">
        <f ca="1">CompData!H149</f>
        <v>9.9999999999999995E-7</v>
      </c>
      <c r="J26" s="642" t="str">
        <f ca="1">IF(C26&lt;0,IF(C26*100&lt;-50,"&lt;&lt;&lt; "&amp;REPT("|",50),REPT("|",ABS(C26*100))),"")</f>
        <v/>
      </c>
      <c r="K26" s="643" t="str">
        <f ca="1">IF(C26&gt;=0,IF(C26*100&gt;50,REPT("|",50)&amp;" &gt;&gt;&gt;",REPT("|",C26*100)),"")</f>
        <v>||</v>
      </c>
      <c r="L26" s="984" t="str">
        <f ca="1">IF(D26&lt;0,IF(D26*100&lt;-50,"&lt;&lt;&lt; "&amp;REPT("|",50),REPT("|",ABS(D26*100))),"")</f>
        <v/>
      </c>
      <c r="M26" s="634" t="str">
        <f ca="1">IF(D26&gt;=0,IF(D26*100&gt;50,REPT("|",50)&amp;" &gt;&gt;&gt;",REPT("|",D26*100)),"")</f>
        <v/>
      </c>
      <c r="N26" s="642" t="str">
        <f ca="1">IF(E26&lt;0,IF(E26*100&lt;-50,"&lt;&lt;&lt; "&amp;REPT("|",50),REPT("|",ABS(E26*100))),"")</f>
        <v/>
      </c>
      <c r="O26" s="643" t="str">
        <f ca="1">IF(E26&gt;=0,IF(E26&gt;50,REPT("|",50)&amp;" &gt;&gt;&gt;",REPT("|",E26)),"")</f>
        <v/>
      </c>
      <c r="P26" s="984" t="str">
        <f ca="1">IF(F26&lt;0,IF(F26*100&lt;-50,"&lt;&lt;&lt; "&amp;REPT("|",50),REPT("|",ABS(F26*100))),"")</f>
        <v/>
      </c>
      <c r="Q26" s="634" t="str">
        <f ca="1">IF(F26&gt;=0,IF(F26&gt;50,REPT("|",50)&amp;" &gt;&gt;&gt;",REPT("|",F26)),"")</f>
        <v/>
      </c>
      <c r="R26" s="642" t="str">
        <f ca="1">IF(G26&lt;0,IF(G26*100&lt;-50,"&lt;&lt;&lt; "&amp;REPT("|",50),REPT("|",ABS(G26*100))),"")</f>
        <v/>
      </c>
      <c r="S26" s="643" t="str">
        <f ca="1">IF(G26&gt;=0,IF(G26&gt;50,REPT("|",50)&amp;" &gt;&gt;&gt;",REPT("|",G26)),"")</f>
        <v/>
      </c>
      <c r="T26" s="984" t="str">
        <f ca="1">IF(H26&lt;0,IF(H26*100&lt;-50,"&lt;&lt;&lt; "&amp;REPT("|",50),REPT("|",ABS(H26*100))),"")</f>
        <v/>
      </c>
      <c r="U26" s="634" t="str">
        <f ca="1">IF(H26&gt;=0,IF(H26&gt;50,REPT("|",50)&amp;" &gt;&gt;&gt;",REPT("|",H26)),"")</f>
        <v/>
      </c>
    </row>
    <row r="27" spans="1:23">
      <c r="A27" s="576"/>
      <c r="B27" s="586" t="str">
        <f ca="1">CompData!B150</f>
        <v>Div 5yr Grth</v>
      </c>
      <c r="C27" s="591">
        <f ca="1">CompData!C150</f>
        <v>0.10400000099999999</v>
      </c>
      <c r="D27" s="591">
        <f ca="1">CompData!D150</f>
        <v>9.9999999999999995E-7</v>
      </c>
      <c r="E27" s="591">
        <f ca="1">CompData!E150</f>
        <v>9.9999999999999995E-7</v>
      </c>
      <c r="F27" s="591">
        <f ca="1">CompData!F150</f>
        <v>9.9999999999999995E-7</v>
      </c>
      <c r="G27" s="591">
        <f ca="1">CompData!G150</f>
        <v>9.9999999999999995E-7</v>
      </c>
      <c r="H27" s="591">
        <f ca="1">CompData!H150</f>
        <v>9.9999999999999995E-7</v>
      </c>
      <c r="J27" s="642" t="str">
        <f ca="1">IF(C27&lt;0,IF(C27*100&lt;-50,"&lt;&lt;&lt; "&amp;REPT("|",50),REPT("|",ABS(C27*100))),"")</f>
        <v/>
      </c>
      <c r="K27" s="643" t="str">
        <f ca="1">IF(C27&gt;=0,IF(C27*100&gt;50,REPT("|",50)&amp;" &gt;&gt;&gt;",REPT("|",C27*100)),"")</f>
        <v>||||||||||</v>
      </c>
      <c r="L27" s="984" t="str">
        <f ca="1">IF(D27&lt;0,IF(D27*100&lt;-50,"&lt;&lt;&lt; "&amp;REPT("|",50),REPT("|",ABS(D27*100))),"")</f>
        <v/>
      </c>
      <c r="M27" s="634" t="str">
        <f ca="1">IF(D27&gt;=0,IF(D27*100&gt;50,REPT("|",50)&amp;" &gt;&gt;&gt;",REPT("|",D27*100)),"")</f>
        <v/>
      </c>
      <c r="N27" s="642" t="str">
        <f ca="1">IF(E27&lt;0,IF(E27*100&lt;-50,"&lt;&lt;&lt; "&amp;REPT("|",50),REPT("|",ABS(E27*100))),"")</f>
        <v/>
      </c>
      <c r="O27" s="643" t="str">
        <f ca="1">IF(E27&gt;=0,IF(E27&gt;50,REPT("|",50)&amp;" &gt;&gt;&gt;",REPT("|",E27)),"")</f>
        <v/>
      </c>
      <c r="P27" s="984" t="str">
        <f ca="1">IF(F27&lt;0,IF(F27*100&lt;-50,"&lt;&lt;&lt; "&amp;REPT("|",50),REPT("|",ABS(F27*100))),"")</f>
        <v/>
      </c>
      <c r="Q27" s="634" t="str">
        <f ca="1">IF(F27&gt;=0,IF(F27&gt;50,REPT("|",50)&amp;" &gt;&gt;&gt;",REPT("|",F27)),"")</f>
        <v/>
      </c>
      <c r="R27" s="642" t="str">
        <f ca="1">IF(G27&lt;0,IF(G27*100&lt;-50,"&lt;&lt;&lt; "&amp;REPT("|",50),REPT("|",ABS(G27*100))),"")</f>
        <v/>
      </c>
      <c r="S27" s="643" t="str">
        <f ca="1">IF(G27&gt;=0,IF(G27&gt;50,REPT("|",50)&amp;" &gt;&gt;&gt;",REPT("|",G27)),"")</f>
        <v/>
      </c>
      <c r="T27" s="984" t="str">
        <f ca="1">IF(H27&lt;0,IF(H27*100&lt;-50,"&lt;&lt;&lt; "&amp;REPT("|",50),REPT("|",ABS(H27*100))),"")</f>
        <v/>
      </c>
      <c r="U27" s="634" t="str">
        <f ca="1">IF(H27&gt;=0,IF(H27&gt;50,REPT("|",50)&amp;" &gt;&gt;&gt;",REPT("|",H27)),"")</f>
        <v/>
      </c>
    </row>
    <row r="28" spans="1:23" ht="13.5" thickBot="1">
      <c r="A28" s="576"/>
      <c r="B28" s="644" t="str">
        <f ca="1">CompData!B151</f>
        <v xml:space="preserve">Payout Ratio(TTM) </v>
      </c>
      <c r="C28" s="645">
        <f ca="1">CompData!C151</f>
        <v>0.54400000100000001</v>
      </c>
      <c r="D28" s="645">
        <f ca="1">CompData!D151</f>
        <v>9.9999999999999995E-7</v>
      </c>
      <c r="E28" s="645">
        <f ca="1">CompData!E151</f>
        <v>9.9999999999999995E-7</v>
      </c>
      <c r="F28" s="645">
        <f ca="1">CompData!F151</f>
        <v>9.9999999999999995E-7</v>
      </c>
      <c r="G28" s="645">
        <f ca="1">CompData!G151</f>
        <v>9.9999999999999995E-7</v>
      </c>
      <c r="H28" s="645">
        <f ca="1">CompData!H151</f>
        <v>9.9999999999999995E-7</v>
      </c>
      <c r="J28" s="646" t="str">
        <f ca="1">IF(C28&lt;0,IF(C28*100&lt;-50,"&lt;&lt;&lt; "&amp;REPT("|",50),REPT("|",ABS(C28*100))),"")</f>
        <v/>
      </c>
      <c r="K28" s="647" t="str">
        <f ca="1">IF(C28&gt;=0,IF(C28*100&gt;50,REPT("|",50)&amp;" &gt;&gt;&gt;",REPT("|",C28*100)),"")</f>
        <v>|||||||||||||||||||||||||||||||||||||||||||||||||| &gt;&gt;&gt;</v>
      </c>
      <c r="L28" s="985" t="str">
        <f ca="1">IF(D28&lt;0,IF(D28*100&lt;-50,"&lt;&lt;&lt; "&amp;REPT("|",50),REPT("|",ABS(D28*100))),"")</f>
        <v/>
      </c>
      <c r="M28" s="635" t="str">
        <f ca="1">IF(D28&gt;=0,IF(D28*100&gt;50,REPT("|",50)&amp;" &gt;&gt;&gt;",REPT("|",D28*100)),"")</f>
        <v/>
      </c>
      <c r="N28" s="646" t="str">
        <f ca="1">IF(E28&lt;0,IF(E28*100&lt;-50,"&lt;&lt;&lt; "&amp;REPT("|",50),REPT("|",ABS(E28*100))),"")</f>
        <v/>
      </c>
      <c r="O28" s="647" t="str">
        <f ca="1">IF(E28&gt;=0,IF(E28&gt;50,REPT("|",50)&amp;" &gt;&gt;&gt;",REPT("|",E28)),"")</f>
        <v/>
      </c>
      <c r="P28" s="985" t="str">
        <f ca="1">IF(F28&lt;0,IF(F28*100&lt;-50,"&lt;&lt;&lt; "&amp;REPT("|",50),REPT("|",ABS(F28*100))),"")</f>
        <v/>
      </c>
      <c r="Q28" s="635" t="str">
        <f ca="1">IF(F28&gt;=0,IF(F28&gt;50,REPT("|",50)&amp;" &gt;&gt;&gt;",REPT("|",F28)),"")</f>
        <v/>
      </c>
      <c r="R28" s="646" t="str">
        <f ca="1">IF(G28&lt;0,IF(G28*100&lt;-50,"&lt;&lt;&lt; "&amp;REPT("|",50),REPT("|",ABS(G28*100))),"")</f>
        <v/>
      </c>
      <c r="S28" s="647" t="str">
        <f ca="1">IF(G28&gt;=0,IF(G28&gt;50,REPT("|",50)&amp;" &gt;&gt;&gt;",REPT("|",G28)),"")</f>
        <v/>
      </c>
      <c r="T28" s="985" t="str">
        <f ca="1">IF(H28&lt;0,IF(H28*100&lt;-50,"&lt;&lt;&lt; "&amp;REPT("|",50),REPT("|",ABS(H28*100))),"")</f>
        <v/>
      </c>
      <c r="U28" s="635" t="str">
        <f ca="1">IF(H28&gt;=0,IF(H28&gt;50,REPT("|",50)&amp;" &gt;&gt;&gt;",REPT("|",H28)),"")</f>
        <v/>
      </c>
    </row>
    <row r="29" spans="1:23" s="342" customFormat="1" ht="15" thickTop="1">
      <c r="A29" s="576"/>
      <c r="B29" s="991" t="s">
        <v>92</v>
      </c>
      <c r="C29" s="588"/>
      <c r="D29" s="588"/>
      <c r="E29" s="588"/>
      <c r="F29" s="588"/>
      <c r="G29" s="588"/>
      <c r="H29" s="588"/>
      <c r="J29" s="988"/>
      <c r="K29" s="987"/>
      <c r="L29" s="986"/>
      <c r="M29" s="989"/>
      <c r="N29" s="986"/>
      <c r="O29" s="989"/>
      <c r="P29" s="986"/>
      <c r="Q29" s="989"/>
      <c r="R29" s="986"/>
      <c r="S29" s="989"/>
      <c r="T29" s="986"/>
      <c r="U29" s="989"/>
    </row>
    <row r="30" spans="1:23">
      <c r="A30" s="576"/>
      <c r="B30" s="586" t="str">
        <f ca="1">CompData!B152</f>
        <v xml:space="preserve">Sales(MRQ) v 1yr ago </v>
      </c>
      <c r="C30" s="591">
        <f ca="1">CompData!C152</f>
        <v>4.9700001000000001E-2</v>
      </c>
      <c r="D30" s="591">
        <f ca="1">CompData!D152</f>
        <v>9.9999999999999995E-7</v>
      </c>
      <c r="E30" s="591">
        <f ca="1">CompData!E152</f>
        <v>9.9999999999999995E-7</v>
      </c>
      <c r="F30" s="591">
        <f ca="1">CompData!F152</f>
        <v>9.9999999999999995E-7</v>
      </c>
      <c r="G30" s="591">
        <f ca="1">CompData!G152</f>
        <v>9.9999999999999995E-7</v>
      </c>
      <c r="H30" s="591">
        <f ca="1">CompData!H152</f>
        <v>9.9999999999999995E-7</v>
      </c>
      <c r="J30" s="642" t="str">
        <f t="shared" ref="J30:J35" ca="1" si="1">IF(C30&lt;0,IF(C30*100&lt;-50,"&lt;&lt;&lt; "&amp;REPT("|",50),REPT("|",ABS(C30*100))),"")</f>
        <v/>
      </c>
      <c r="K30" s="643" t="str">
        <f t="shared" ref="K30:K35" ca="1" si="2">IF(C30&gt;=0,IF(C30*100&gt;50,REPT("|",50)&amp;" &gt;&gt;&gt;",REPT("|",C30*100)),"")</f>
        <v>||||</v>
      </c>
      <c r="L30" s="984" t="str">
        <f t="shared" ref="L30:L35" ca="1" si="3">IF(D30&lt;0,IF(D30*100&lt;-50,"&lt;&lt;&lt; "&amp;REPT("|",50),REPT("|",ABS(D30*100))),"")</f>
        <v/>
      </c>
      <c r="M30" s="634" t="str">
        <f t="shared" ref="M30:M35" ca="1" si="4">IF(D30&gt;=0,IF(D30*100&gt;50,REPT("|",50)&amp;" &gt;&gt;&gt;",REPT("|",D30*100)),"")</f>
        <v/>
      </c>
      <c r="N30" s="642" t="str">
        <f t="shared" ref="N30:N35" ca="1" si="5">IF(E30&lt;0,IF(E30*100&lt;-50,"&lt;&lt;&lt; "&amp;REPT("|",50),REPT("|",ABS(E30*100))),"")</f>
        <v/>
      </c>
      <c r="O30" s="643" t="str">
        <f t="shared" ref="O30:O35" ca="1" si="6">IF(E30&gt;=0,IF(E30&gt;50,REPT("|",50)&amp;" &gt;&gt;&gt;",REPT("|",E30)),"")</f>
        <v/>
      </c>
      <c r="P30" s="984" t="str">
        <f t="shared" ref="P30:P35" ca="1" si="7">IF(F30&lt;0,IF(F30*100&lt;-50,"&lt;&lt;&lt; "&amp;REPT("|",50),REPT("|",ABS(F30*100))),"")</f>
        <v/>
      </c>
      <c r="Q30" s="634" t="str">
        <f t="shared" ref="Q30:Q35" ca="1" si="8">IF(F30&gt;=0,IF(F30&gt;50,REPT("|",50)&amp;" &gt;&gt;&gt;",REPT("|",F30)),"")</f>
        <v/>
      </c>
      <c r="R30" s="642" t="str">
        <f t="shared" ref="R30:R35" ca="1" si="9">IF(G30&lt;0,IF(G30*100&lt;-50,"&lt;&lt;&lt; "&amp;REPT("|",50),REPT("|",ABS(G30*100))),"")</f>
        <v/>
      </c>
      <c r="S30" s="643" t="str">
        <f t="shared" ref="S30:S35" ca="1" si="10">IF(G30&gt;=0,IF(G30&gt;50,REPT("|",50)&amp;" &gt;&gt;&gt;",REPT("|",G30)),"")</f>
        <v/>
      </c>
      <c r="T30" s="984" t="str">
        <f t="shared" ref="T30:T35" ca="1" si="11">IF(H30&lt;0,IF(H30*100&lt;-50,"&lt;&lt;&lt; "&amp;REPT("|",50),REPT("|",ABS(H30*100))),"")</f>
        <v/>
      </c>
      <c r="U30" s="634" t="str">
        <f t="shared" ref="U30:U35" ca="1" si="12">IF(H30&gt;=0,IF(H30&gt;50,REPT("|",50)&amp;" &gt;&gt;&gt;",REPT("|",H30)),"")</f>
        <v/>
      </c>
    </row>
    <row r="31" spans="1:23">
      <c r="A31" s="576"/>
      <c r="B31" s="640" t="str">
        <f ca="1">CompData!B153</f>
        <v>Sales(TTM) v 1yr ago</v>
      </c>
      <c r="C31" s="652">
        <f ca="1">CompData!C153</f>
        <v>3.8500000999999999E-2</v>
      </c>
      <c r="D31" s="652">
        <f ca="1">CompData!D153</f>
        <v>9.9999999999999995E-7</v>
      </c>
      <c r="E31" s="652">
        <f ca="1">CompData!E153</f>
        <v>9.9999999999999995E-7</v>
      </c>
      <c r="F31" s="652">
        <f ca="1">CompData!F153</f>
        <v>9.9999999999999995E-7</v>
      </c>
      <c r="G31" s="652">
        <f ca="1">CompData!G153</f>
        <v>9.9999999999999995E-7</v>
      </c>
      <c r="H31" s="652">
        <f ca="1">CompData!H153</f>
        <v>9.9999999999999995E-7</v>
      </c>
      <c r="J31" s="642" t="str">
        <f t="shared" ca="1" si="1"/>
        <v/>
      </c>
      <c r="K31" s="643" t="str">
        <f t="shared" ca="1" si="2"/>
        <v>|||</v>
      </c>
      <c r="L31" s="984" t="str">
        <f t="shared" ca="1" si="3"/>
        <v/>
      </c>
      <c r="M31" s="634" t="str">
        <f t="shared" ca="1" si="4"/>
        <v/>
      </c>
      <c r="N31" s="642" t="str">
        <f t="shared" ca="1" si="5"/>
        <v/>
      </c>
      <c r="O31" s="643" t="str">
        <f t="shared" ca="1" si="6"/>
        <v/>
      </c>
      <c r="P31" s="984" t="str">
        <f t="shared" ca="1" si="7"/>
        <v/>
      </c>
      <c r="Q31" s="634" t="str">
        <f t="shared" ca="1" si="8"/>
        <v/>
      </c>
      <c r="R31" s="642" t="str">
        <f t="shared" ca="1" si="9"/>
        <v/>
      </c>
      <c r="S31" s="643" t="str">
        <f t="shared" ca="1" si="10"/>
        <v/>
      </c>
      <c r="T31" s="984" t="str">
        <f t="shared" ca="1" si="11"/>
        <v/>
      </c>
      <c r="U31" s="634" t="str">
        <f t="shared" ca="1" si="12"/>
        <v/>
      </c>
    </row>
    <row r="32" spans="1:23">
      <c r="A32" s="576"/>
      <c r="B32" s="586" t="str">
        <f ca="1">CompData!B154</f>
        <v>Sales 5yr Grth</v>
      </c>
      <c r="C32" s="591">
        <f ca="1">CompData!C154</f>
        <v>7.3500000999999995E-2</v>
      </c>
      <c r="D32" s="591">
        <f ca="1">CompData!D154</f>
        <v>9.9999999999999995E-7</v>
      </c>
      <c r="E32" s="591">
        <f ca="1">CompData!E154</f>
        <v>9.9999999999999995E-7</v>
      </c>
      <c r="F32" s="591">
        <f ca="1">CompData!F154</f>
        <v>9.9999999999999995E-7</v>
      </c>
      <c r="G32" s="591">
        <f ca="1">CompData!G154</f>
        <v>9.9999999999999995E-7</v>
      </c>
      <c r="H32" s="591">
        <f ca="1">CompData!H154</f>
        <v>9.9999999999999995E-7</v>
      </c>
      <c r="J32" s="642" t="str">
        <f t="shared" ca="1" si="1"/>
        <v/>
      </c>
      <c r="K32" s="643" t="str">
        <f t="shared" ca="1" si="2"/>
        <v>|||||||</v>
      </c>
      <c r="L32" s="984" t="str">
        <f t="shared" ca="1" si="3"/>
        <v/>
      </c>
      <c r="M32" s="634" t="str">
        <f t="shared" ca="1" si="4"/>
        <v/>
      </c>
      <c r="N32" s="642" t="str">
        <f t="shared" ca="1" si="5"/>
        <v/>
      </c>
      <c r="O32" s="643" t="str">
        <f t="shared" ca="1" si="6"/>
        <v/>
      </c>
      <c r="P32" s="984" t="str">
        <f t="shared" ca="1" si="7"/>
        <v/>
      </c>
      <c r="Q32" s="634" t="str">
        <f t="shared" ca="1" si="8"/>
        <v/>
      </c>
      <c r="R32" s="642" t="str">
        <f t="shared" ca="1" si="9"/>
        <v/>
      </c>
      <c r="S32" s="643" t="str">
        <f t="shared" ca="1" si="10"/>
        <v/>
      </c>
      <c r="T32" s="984" t="str">
        <f t="shared" ca="1" si="11"/>
        <v/>
      </c>
      <c r="U32" s="634" t="str">
        <f t="shared" ca="1" si="12"/>
        <v/>
      </c>
    </row>
    <row r="33" spans="1:21">
      <c r="A33" s="576"/>
      <c r="B33" s="640" t="str">
        <f ca="1">CompData!B155</f>
        <v>EPS(MRQ) v 1yr ago</v>
      </c>
      <c r="C33" s="652">
        <f ca="1">CompData!C155</f>
        <v>0.19320000100000001</v>
      </c>
      <c r="D33" s="652">
        <f ca="1">CompData!D155</f>
        <v>9.9999999999999995E-7</v>
      </c>
      <c r="E33" s="652">
        <f ca="1">CompData!E155</f>
        <v>9.9999999999999995E-7</v>
      </c>
      <c r="F33" s="652">
        <f ca="1">CompData!F155</f>
        <v>9.9999999999999995E-7</v>
      </c>
      <c r="G33" s="652">
        <f ca="1">CompData!G155</f>
        <v>9.9999999999999995E-7</v>
      </c>
      <c r="H33" s="652">
        <f ca="1">CompData!H155</f>
        <v>9.9999999999999995E-7</v>
      </c>
      <c r="J33" s="642" t="str">
        <f t="shared" ca="1" si="1"/>
        <v/>
      </c>
      <c r="K33" s="643" t="str">
        <f t="shared" ca="1" si="2"/>
        <v>|||||||||||||||||||</v>
      </c>
      <c r="L33" s="984" t="str">
        <f t="shared" ca="1" si="3"/>
        <v/>
      </c>
      <c r="M33" s="634" t="str">
        <f t="shared" ca="1" si="4"/>
        <v/>
      </c>
      <c r="N33" s="642" t="str">
        <f t="shared" ca="1" si="5"/>
        <v/>
      </c>
      <c r="O33" s="643" t="str">
        <f t="shared" ca="1" si="6"/>
        <v/>
      </c>
      <c r="P33" s="984" t="str">
        <f t="shared" ca="1" si="7"/>
        <v/>
      </c>
      <c r="Q33" s="634" t="str">
        <f t="shared" ca="1" si="8"/>
        <v/>
      </c>
      <c r="R33" s="642" t="str">
        <f t="shared" ca="1" si="9"/>
        <v/>
      </c>
      <c r="S33" s="643" t="str">
        <f t="shared" ca="1" si="10"/>
        <v/>
      </c>
      <c r="T33" s="984" t="str">
        <f t="shared" ca="1" si="11"/>
        <v/>
      </c>
      <c r="U33" s="634" t="str">
        <f t="shared" ca="1" si="12"/>
        <v/>
      </c>
    </row>
    <row r="34" spans="1:21">
      <c r="A34" s="592"/>
      <c r="B34" s="586" t="str">
        <f ca="1">CompData!B156</f>
        <v xml:space="preserve">EPS(TTM) v 1yr ago </v>
      </c>
      <c r="C34" s="591">
        <f ca="1">CompData!C156</f>
        <v>0.252800001</v>
      </c>
      <c r="D34" s="591">
        <f ca="1">CompData!D156</f>
        <v>9.9999999999999995E-7</v>
      </c>
      <c r="E34" s="591">
        <f ca="1">CompData!E156</f>
        <v>9.9999999999999995E-7</v>
      </c>
      <c r="F34" s="591">
        <f ca="1">CompData!F156</f>
        <v>9.9999999999999995E-7</v>
      </c>
      <c r="G34" s="591">
        <f ca="1">CompData!G156</f>
        <v>9.9999999999999995E-7</v>
      </c>
      <c r="H34" s="591">
        <f ca="1">CompData!H156</f>
        <v>9.9999999999999995E-7</v>
      </c>
      <c r="J34" s="642" t="str">
        <f t="shared" ca="1" si="1"/>
        <v/>
      </c>
      <c r="K34" s="643" t="str">
        <f t="shared" ca="1" si="2"/>
        <v>|||||||||||||||||||||||||</v>
      </c>
      <c r="L34" s="984" t="str">
        <f t="shared" ca="1" si="3"/>
        <v/>
      </c>
      <c r="M34" s="634" t="str">
        <f t="shared" ca="1" si="4"/>
        <v/>
      </c>
      <c r="N34" s="642" t="str">
        <f t="shared" ca="1" si="5"/>
        <v/>
      </c>
      <c r="O34" s="643" t="str">
        <f t="shared" ca="1" si="6"/>
        <v/>
      </c>
      <c r="P34" s="984" t="str">
        <f t="shared" ca="1" si="7"/>
        <v/>
      </c>
      <c r="Q34" s="634" t="str">
        <f t="shared" ca="1" si="8"/>
        <v/>
      </c>
      <c r="R34" s="642" t="str">
        <f t="shared" ca="1" si="9"/>
        <v/>
      </c>
      <c r="S34" s="643" t="str">
        <f t="shared" ca="1" si="10"/>
        <v/>
      </c>
      <c r="T34" s="984" t="str">
        <f t="shared" ca="1" si="11"/>
        <v/>
      </c>
      <c r="U34" s="634" t="str">
        <f t="shared" ca="1" si="12"/>
        <v/>
      </c>
    </row>
    <row r="35" spans="1:21" ht="13.5" thickBot="1">
      <c r="A35" s="342"/>
      <c r="B35" s="644" t="str">
        <f ca="1">CompData!B157</f>
        <v>EPS 5yr Grth</v>
      </c>
      <c r="C35" s="645">
        <f ca="1">CompData!C157</f>
        <v>7.9900000999999998E-2</v>
      </c>
      <c r="D35" s="645">
        <f ca="1">CompData!D157</f>
        <v>9.9999999999999995E-7</v>
      </c>
      <c r="E35" s="645">
        <f ca="1">CompData!E157</f>
        <v>9.9999999999999995E-7</v>
      </c>
      <c r="F35" s="645">
        <f ca="1">CompData!F157</f>
        <v>9.9999999999999995E-7</v>
      </c>
      <c r="G35" s="645">
        <f ca="1">CompData!G157</f>
        <v>9.9999999999999995E-7</v>
      </c>
      <c r="H35" s="645">
        <f ca="1">CompData!H157</f>
        <v>9.9999999999999995E-7</v>
      </c>
      <c r="J35" s="646" t="str">
        <f t="shared" ca="1" si="1"/>
        <v/>
      </c>
      <c r="K35" s="647" t="str">
        <f t="shared" ca="1" si="2"/>
        <v>|||||||</v>
      </c>
      <c r="L35" s="985" t="str">
        <f t="shared" ca="1" si="3"/>
        <v/>
      </c>
      <c r="M35" s="635" t="str">
        <f t="shared" ca="1" si="4"/>
        <v/>
      </c>
      <c r="N35" s="646" t="str">
        <f t="shared" ca="1" si="5"/>
        <v/>
      </c>
      <c r="O35" s="647" t="str">
        <f t="shared" ca="1" si="6"/>
        <v/>
      </c>
      <c r="P35" s="985" t="str">
        <f t="shared" ca="1" si="7"/>
        <v/>
      </c>
      <c r="Q35" s="635" t="str">
        <f t="shared" ca="1" si="8"/>
        <v/>
      </c>
      <c r="R35" s="646" t="str">
        <f t="shared" ca="1" si="9"/>
        <v/>
      </c>
      <c r="S35" s="647" t="str">
        <f t="shared" ca="1" si="10"/>
        <v/>
      </c>
      <c r="T35" s="985" t="str">
        <f t="shared" ca="1" si="11"/>
        <v/>
      </c>
      <c r="U35" s="635" t="str">
        <f t="shared" ca="1" si="12"/>
        <v/>
      </c>
    </row>
    <row r="36" spans="1:21" s="342" customFormat="1" ht="15" thickTop="1">
      <c r="B36" s="991" t="s">
        <v>75</v>
      </c>
      <c r="C36" s="588"/>
      <c r="D36" s="588"/>
      <c r="E36" s="588"/>
      <c r="F36" s="588"/>
      <c r="G36" s="588"/>
      <c r="H36" s="588"/>
      <c r="J36" s="988"/>
      <c r="K36" s="987"/>
      <c r="L36" s="986"/>
      <c r="M36" s="989"/>
      <c r="N36" s="986"/>
      <c r="O36" s="989"/>
      <c r="P36" s="986"/>
      <c r="Q36" s="989"/>
      <c r="R36" s="986"/>
      <c r="S36" s="989"/>
      <c r="T36" s="986"/>
      <c r="U36" s="989"/>
    </row>
    <row r="37" spans="1:21">
      <c r="B37" s="586" t="str">
        <f ca="1">CompData!B158</f>
        <v>Quick Ratio(MRQ)</v>
      </c>
      <c r="C37" s="589">
        <f ca="1">CompData!C158</f>
        <v>1.1000001000000001</v>
      </c>
      <c r="D37" s="589">
        <f ca="1">CompData!D158</f>
        <v>9.9999999999999995E-7</v>
      </c>
      <c r="E37" s="589">
        <f ca="1">CompData!E158</f>
        <v>9.9999999999999995E-7</v>
      </c>
      <c r="F37" s="589">
        <f ca="1">CompData!F158</f>
        <v>9.9999999999999995E-7</v>
      </c>
      <c r="G37" s="589">
        <f ca="1">CompData!G158</f>
        <v>9.9999999999999995E-7</v>
      </c>
      <c r="H37" s="589">
        <f ca="1">CompData!H158</f>
        <v>9.9999999999999995E-7</v>
      </c>
      <c r="J37" s="642" t="str">
        <f ca="1">IF(C37&lt;0,IF(C37&lt;-50,"&lt;&lt;&lt; "&amp;REPT("|",50),REPT("|",ABS(C37))),"")</f>
        <v/>
      </c>
      <c r="K37" s="643" t="str">
        <f ca="1">IF(C37&gt;=0,IF(C37&gt;50,REPT("|",50)&amp;" &gt;&gt;&gt;",REPT("|",C37)),"")</f>
        <v>|</v>
      </c>
      <c r="L37" s="632"/>
      <c r="M37" s="634" t="str">
        <f ca="1">IF(D37&gt;=0,IF(D37&gt;50,REPT("|",50)&amp;" &gt;&gt;&gt;",REPT("|",D37)),"")</f>
        <v/>
      </c>
      <c r="N37" s="649"/>
      <c r="O37" s="643" t="str">
        <f ca="1">IF(E37&gt;=0,IF(E37&gt;50,REPT("|",50)&amp;" &gt;&gt;&gt;",REPT("|",E37)),"")</f>
        <v/>
      </c>
      <c r="P37" s="632"/>
      <c r="Q37" s="634" t="str">
        <f ca="1">IF(F37&gt;=0,IF(F37&gt;50,REPT("|",50)&amp;" &gt;&gt;&gt;",REPT("|",F37)),"")</f>
        <v/>
      </c>
      <c r="R37" s="649"/>
      <c r="S37" s="643" t="str">
        <f ca="1">IF(G37&gt;=0,IF(G37&gt;50,REPT("|",50)&amp;" &gt;&gt;&gt;",REPT("|",G37)),"")</f>
        <v/>
      </c>
      <c r="T37" s="632"/>
      <c r="U37" s="634" t="str">
        <f ca="1">IF(H37&gt;=0,IF(H37&gt;50,REPT("|",50)&amp;" &gt;&gt;&gt;",REPT("|",H37)),"")</f>
        <v/>
      </c>
    </row>
    <row r="38" spans="1:21">
      <c r="B38" s="640" t="str">
        <f ca="1">CompData!B159</f>
        <v>Current Ratio(MRQ)</v>
      </c>
      <c r="C38" s="648">
        <f ca="1">CompData!C159</f>
        <v>1.2700001000000001</v>
      </c>
      <c r="D38" s="648">
        <f ca="1">CompData!D159</f>
        <v>9.9999999999999995E-7</v>
      </c>
      <c r="E38" s="648">
        <f ca="1">CompData!E159</f>
        <v>9.9999999999999995E-7</v>
      </c>
      <c r="F38" s="648">
        <f ca="1">CompData!F159</f>
        <v>9.9999999999999995E-7</v>
      </c>
      <c r="G38" s="648">
        <f ca="1">CompData!G159</f>
        <v>9.9999999999999995E-7</v>
      </c>
      <c r="H38" s="648">
        <f ca="1">CompData!H159</f>
        <v>9.9999999999999995E-7</v>
      </c>
      <c r="J38" s="642" t="str">
        <f ca="1">IF(C38&lt;0,IF(C38&lt;-50,"&lt;&lt;&lt; "&amp;REPT("|",50),REPT("|",ABS(C38))),"")</f>
        <v/>
      </c>
      <c r="K38" s="643" t="str">
        <f ca="1">IF(C38&gt;=0,IF(C38&gt;50,REPT("|",50)&amp;" &gt;&gt;&gt;",REPT("|",C38)),"")</f>
        <v>|</v>
      </c>
      <c r="L38" s="632"/>
      <c r="M38" s="634" t="str">
        <f ca="1">IF(D38&gt;=0,IF(D38&gt;50,REPT("|",50)&amp;" &gt;&gt;&gt;",REPT("|",D38)),"")</f>
        <v/>
      </c>
      <c r="N38" s="649"/>
      <c r="O38" s="643" t="str">
        <f ca="1">IF(E38&gt;=0,IF(E38&gt;50,REPT("|",50)&amp;" &gt;&gt;&gt;",REPT("|",E38)),"")</f>
        <v/>
      </c>
      <c r="P38" s="632"/>
      <c r="Q38" s="634" t="str">
        <f ca="1">IF(F38&gt;=0,IF(F38&gt;50,REPT("|",50)&amp;" &gt;&gt;&gt;",REPT("|",F38)),"")</f>
        <v/>
      </c>
      <c r="R38" s="649"/>
      <c r="S38" s="643" t="str">
        <f ca="1">IF(G38&gt;=0,IF(G38&gt;50,REPT("|",50)&amp;" &gt;&gt;&gt;",REPT("|",G38)),"")</f>
        <v/>
      </c>
      <c r="T38" s="632"/>
      <c r="U38" s="634" t="str">
        <f ca="1">IF(H38&gt;=0,IF(H38&gt;50,REPT("|",50)&amp;" &gt;&gt;&gt;",REPT("|",H38)),"")</f>
        <v/>
      </c>
    </row>
    <row r="39" spans="1:21">
      <c r="B39" s="586" t="str">
        <f ca="1">CompData!B160</f>
        <v xml:space="preserve">LTD/Eq(MRQ) </v>
      </c>
      <c r="C39" s="589">
        <f ca="1">CompData!C160</f>
        <v>17.770000100000001</v>
      </c>
      <c r="D39" s="589">
        <f ca="1">CompData!D160</f>
        <v>9.9999999999999995E-7</v>
      </c>
      <c r="E39" s="589">
        <f ca="1">CompData!E160</f>
        <v>9.9999999999999995E-7</v>
      </c>
      <c r="F39" s="589">
        <f ca="1">CompData!F160</f>
        <v>9.9999999999999995E-7</v>
      </c>
      <c r="G39" s="589">
        <f ca="1">CompData!G160</f>
        <v>9.9999999999999995E-7</v>
      </c>
      <c r="H39" s="589">
        <f ca="1">CompData!H160</f>
        <v>9.9999999999999995E-7</v>
      </c>
      <c r="J39" s="642" t="str">
        <f ca="1">IF(C39&lt;0,IF(C39&lt;-50,"&lt;&lt;&lt; "&amp;REPT("|",50),REPT("|",ABS(C39))),"")</f>
        <v/>
      </c>
      <c r="K39" s="643" t="str">
        <f ca="1">IF(C39&gt;=0,IF(C39&gt;50,REPT("|",50)&amp;" &gt;&gt;&gt;",REPT("|",C39)),"")</f>
        <v>|||||||||||||||||</v>
      </c>
      <c r="L39" s="632"/>
      <c r="M39" s="634" t="str">
        <f ca="1">IF(D39&gt;=0,IF(D39&gt;50,REPT("|",50)&amp;" &gt;&gt;&gt;",REPT("|",D39)),"")</f>
        <v/>
      </c>
      <c r="N39" s="649"/>
      <c r="O39" s="643" t="str">
        <f ca="1">IF(E39&gt;=0,IF(E39&gt;50,REPT("|",50)&amp;" &gt;&gt;&gt;",REPT("|",E39)),"")</f>
        <v/>
      </c>
      <c r="P39" s="632"/>
      <c r="Q39" s="634" t="str">
        <f ca="1">IF(F39&gt;=0,IF(F39&gt;50,REPT("|",50)&amp;" &gt;&gt;&gt;",REPT("|",F39)),"")</f>
        <v/>
      </c>
      <c r="R39" s="649"/>
      <c r="S39" s="643" t="str">
        <f ca="1">IF(G39&gt;=0,IF(G39&gt;50,REPT("|",50)&amp;" &gt;&gt;&gt;",REPT("|",G39)),"")</f>
        <v/>
      </c>
      <c r="T39" s="632"/>
      <c r="U39" s="634" t="str">
        <f ca="1">IF(H39&gt;=0,IF(H39&gt;50,REPT("|",50)&amp;" &gt;&gt;&gt;",REPT("|",H39)),"")</f>
        <v/>
      </c>
    </row>
    <row r="40" spans="1:21" ht="13.5" thickBot="1">
      <c r="B40" s="644" t="str">
        <f ca="1">CompData!B161</f>
        <v xml:space="preserve">Tot D/Eq(MRQ) </v>
      </c>
      <c r="C40" s="650">
        <f ca="1">CompData!C161</f>
        <v>46.780000100000002</v>
      </c>
      <c r="D40" s="650">
        <f ca="1">CompData!D161</f>
        <v>9.9999999999999995E-7</v>
      </c>
      <c r="E40" s="650">
        <f ca="1">CompData!E161</f>
        <v>9.9999999999999995E-7</v>
      </c>
      <c r="F40" s="650">
        <f ca="1">CompData!F161</f>
        <v>9.9999999999999995E-7</v>
      </c>
      <c r="G40" s="650">
        <f ca="1">CompData!G161</f>
        <v>9.9999999999999995E-7</v>
      </c>
      <c r="H40" s="650">
        <f ca="1">CompData!H161</f>
        <v>9.9999999999999995E-7</v>
      </c>
      <c r="J40" s="646" t="str">
        <f ca="1">IF(C40&lt;0,IF(C40&lt;-50,"&lt;&lt;&lt; "&amp;REPT("|",50),REPT("|",ABS(C40))),"")</f>
        <v/>
      </c>
      <c r="K40" s="647" t="str">
        <f ca="1">IF(C40&gt;=0,IF(C40&gt;50,REPT("|",50)&amp;" &gt;&gt;&gt;",REPT("|",C40)),"")</f>
        <v>||||||||||||||||||||||||||||||||||||||||||||||</v>
      </c>
      <c r="L40" s="633"/>
      <c r="M40" s="635" t="str">
        <f ca="1">IF(D40&gt;=0,IF(D40&gt;50,REPT("|",50)&amp;" &gt;&gt;&gt;",REPT("|",D40)),"")</f>
        <v/>
      </c>
      <c r="N40" s="651"/>
      <c r="O40" s="647" t="str">
        <f ca="1">IF(E40&gt;=0,IF(E40&gt;50,REPT("|",50)&amp;" &gt;&gt;&gt;",REPT("|",E40)),"")</f>
        <v/>
      </c>
      <c r="P40" s="633"/>
      <c r="Q40" s="635" t="str">
        <f ca="1">IF(F40&gt;=0,IF(F40&gt;50,REPT("|",50)&amp;" &gt;&gt;&gt;",REPT("|",F40)),"")</f>
        <v/>
      </c>
      <c r="R40" s="651"/>
      <c r="S40" s="647" t="str">
        <f ca="1">IF(G40&gt;=0,IF(G40&gt;50,REPT("|",50)&amp;" &gt;&gt;&gt;",REPT("|",G40)),"")</f>
        <v/>
      </c>
      <c r="T40" s="633"/>
      <c r="U40" s="635" t="str">
        <f ca="1">IF(H40&gt;=0,IF(H40&gt;50,REPT("|",50)&amp;" &gt;&gt;&gt;",REPT("|",H40)),"")</f>
        <v/>
      </c>
    </row>
    <row r="41" spans="1:21" s="342" customFormat="1" ht="15" thickTop="1">
      <c r="B41" s="991" t="s">
        <v>82</v>
      </c>
      <c r="C41" s="588"/>
      <c r="D41" s="588"/>
      <c r="E41" s="588"/>
      <c r="F41" s="588"/>
      <c r="G41" s="588"/>
      <c r="H41" s="588"/>
      <c r="J41" s="988"/>
      <c r="K41" s="987"/>
      <c r="L41" s="986"/>
      <c r="M41" s="989"/>
      <c r="N41" s="986"/>
      <c r="O41" s="989"/>
      <c r="P41" s="986"/>
      <c r="Q41" s="989"/>
      <c r="R41" s="986"/>
      <c r="S41" s="989"/>
      <c r="T41" s="986"/>
      <c r="U41" s="989"/>
    </row>
    <row r="42" spans="1:21">
      <c r="B42" s="586" t="str">
        <f ca="1">CompData!B162</f>
        <v>Gross %(TTM)</v>
      </c>
      <c r="C42" s="591">
        <f ca="1">CompData!C162</f>
        <v>0.6478000009999999</v>
      </c>
      <c r="D42" s="591">
        <f ca="1">CompData!D162</f>
        <v>9.9999999999999995E-7</v>
      </c>
      <c r="E42" s="591">
        <f ca="1">CompData!E162</f>
        <v>9.9999999999999995E-7</v>
      </c>
      <c r="F42" s="591">
        <f ca="1">CompData!F162</f>
        <v>9.9999999999999995E-7</v>
      </c>
      <c r="G42" s="591">
        <f ca="1">CompData!G162</f>
        <v>9.9999999999999995E-7</v>
      </c>
      <c r="H42" s="591">
        <f ca="1">CompData!H162</f>
        <v>9.9999999999999995E-7</v>
      </c>
      <c r="J42" s="642" t="str">
        <f t="shared" ref="J42:J47" ca="1" si="13">IF(C42&lt;0,IF(C42*100&lt;-50,"&lt;&lt;&lt; "&amp;REPT("|",50),REPT("|",ABS(C42*100))),"")</f>
        <v/>
      </c>
      <c r="K42" s="643" t="str">
        <f t="shared" ref="K42:K47" ca="1" si="14">IF(C42&gt;=0,IF(C42*100&gt;50,REPT("|",50)&amp;" &gt;&gt;&gt;",REPT("|",C42*100)),"")</f>
        <v>|||||||||||||||||||||||||||||||||||||||||||||||||| &gt;&gt;&gt;</v>
      </c>
      <c r="L42" s="984" t="str">
        <f t="shared" ref="L42:L47" ca="1" si="15">IF(D42&lt;0,IF(D42*100&lt;-50,"&lt;&lt;&lt; "&amp;REPT("|",50),REPT("|",ABS(D42*100))),"")</f>
        <v/>
      </c>
      <c r="M42" s="634" t="str">
        <f t="shared" ref="M42:M47" ca="1" si="16">IF(D42&gt;=0,IF(D42*100&gt;50,REPT("|",50)&amp;" &gt;&gt;&gt;",REPT("|",D42*100)),"")</f>
        <v/>
      </c>
      <c r="N42" s="642" t="str">
        <f t="shared" ref="N42:N47" ca="1" si="17">IF(E42&lt;0,IF(E42*100&lt;-50,"&lt;&lt;&lt; "&amp;REPT("|",50),REPT("|",ABS(E42*100))),"")</f>
        <v/>
      </c>
      <c r="O42" s="643" t="str">
        <f t="shared" ref="O42:O47" ca="1" si="18">IF(E42&gt;=0,IF(E42&gt;50,REPT("|",50)&amp;" &gt;&gt;&gt;",REPT("|",E42)),"")</f>
        <v/>
      </c>
      <c r="P42" s="984" t="str">
        <f t="shared" ref="P42:P47" ca="1" si="19">IF(F42&lt;0,IF(F42*100&lt;-50,"&lt;&lt;&lt; "&amp;REPT("|",50),REPT("|",ABS(F42*100))),"")</f>
        <v/>
      </c>
      <c r="Q42" s="634" t="str">
        <f t="shared" ref="Q42:Q47" ca="1" si="20">IF(F42&gt;=0,IF(F42&gt;50,REPT("|",50)&amp;" &gt;&gt;&gt;",REPT("|",F42)),"")</f>
        <v/>
      </c>
      <c r="R42" s="642" t="str">
        <f t="shared" ref="R42:R47" ca="1" si="21">IF(G42&lt;0,IF(G42*100&lt;-50,"&lt;&lt;&lt; "&amp;REPT("|",50),REPT("|",ABS(G42*100))),"")</f>
        <v/>
      </c>
      <c r="S42" s="643" t="str">
        <f t="shared" ref="S42:S47" ca="1" si="22">IF(G42&gt;=0,IF(G42&gt;50,REPT("|",50)&amp;" &gt;&gt;&gt;",REPT("|",G42)),"")</f>
        <v/>
      </c>
      <c r="T42" s="984" t="str">
        <f t="shared" ref="T42:T47" ca="1" si="23">IF(H42&lt;0,IF(H42*100&lt;-50,"&lt;&lt;&lt; "&amp;REPT("|",50),REPT("|",ABS(H42*100))),"")</f>
        <v/>
      </c>
      <c r="U42" s="634" t="str">
        <f t="shared" ref="U42:U47" ca="1" si="24">IF(H42&gt;=0,IF(H42&gt;50,REPT("|",50)&amp;" &gt;&gt;&gt;",REPT("|",H42)),"")</f>
        <v/>
      </c>
    </row>
    <row r="43" spans="1:21">
      <c r="B43" s="640" t="str">
        <f ca="1">CompData!B163</f>
        <v>Gross % 5yr</v>
      </c>
      <c r="C43" s="652">
        <f ca="1">CompData!C163</f>
        <v>0.6458000009999999</v>
      </c>
      <c r="D43" s="652">
        <f ca="1">CompData!D163</f>
        <v>9.9999999999999995E-7</v>
      </c>
      <c r="E43" s="652">
        <f ca="1">CompData!E163</f>
        <v>9.9999999999999995E-7</v>
      </c>
      <c r="F43" s="652">
        <f ca="1">CompData!F163</f>
        <v>9.9999999999999995E-7</v>
      </c>
      <c r="G43" s="652">
        <f ca="1">CompData!G163</f>
        <v>9.9999999999999995E-7</v>
      </c>
      <c r="H43" s="652">
        <f ca="1">CompData!H163</f>
        <v>9.9999999999999995E-7</v>
      </c>
      <c r="J43" s="642" t="str">
        <f t="shared" ca="1" si="13"/>
        <v/>
      </c>
      <c r="K43" s="643" t="str">
        <f t="shared" ca="1" si="14"/>
        <v>|||||||||||||||||||||||||||||||||||||||||||||||||| &gt;&gt;&gt;</v>
      </c>
      <c r="L43" s="984" t="str">
        <f t="shared" ca="1" si="15"/>
        <v/>
      </c>
      <c r="M43" s="634" t="str">
        <f t="shared" ca="1" si="16"/>
        <v/>
      </c>
      <c r="N43" s="642" t="str">
        <f t="shared" ca="1" si="17"/>
        <v/>
      </c>
      <c r="O43" s="643" t="str">
        <f t="shared" ca="1" si="18"/>
        <v/>
      </c>
      <c r="P43" s="984" t="str">
        <f t="shared" ca="1" si="19"/>
        <v/>
      </c>
      <c r="Q43" s="634" t="str">
        <f t="shared" ca="1" si="20"/>
        <v/>
      </c>
      <c r="R43" s="642" t="str">
        <f t="shared" ca="1" si="21"/>
        <v/>
      </c>
      <c r="S43" s="643" t="str">
        <f t="shared" ca="1" si="22"/>
        <v/>
      </c>
      <c r="T43" s="984" t="str">
        <f t="shared" ca="1" si="23"/>
        <v/>
      </c>
      <c r="U43" s="634" t="str">
        <f t="shared" ca="1" si="24"/>
        <v/>
      </c>
    </row>
    <row r="44" spans="1:21">
      <c r="B44" s="586" t="str">
        <f ca="1">CompData!B164</f>
        <v xml:space="preserve">Op %(TTM) </v>
      </c>
      <c r="C44" s="591">
        <f ca="1">CompData!C164</f>
        <v>0.27280000100000001</v>
      </c>
      <c r="D44" s="591">
        <f ca="1">CompData!D164</f>
        <v>9.9999999999999995E-7</v>
      </c>
      <c r="E44" s="591">
        <f ca="1">CompData!E164</f>
        <v>9.9999999999999995E-7</v>
      </c>
      <c r="F44" s="591">
        <f ca="1">CompData!F164</f>
        <v>9.9999999999999995E-7</v>
      </c>
      <c r="G44" s="591">
        <f ca="1">CompData!G164</f>
        <v>9.9999999999999995E-7</v>
      </c>
      <c r="H44" s="591">
        <f ca="1">CompData!H164</f>
        <v>9.9999999999999995E-7</v>
      </c>
      <c r="J44" s="642" t="str">
        <f t="shared" ca="1" si="13"/>
        <v/>
      </c>
      <c r="K44" s="643" t="str">
        <f t="shared" ca="1" si="14"/>
        <v>|||||||||||||||||||||||||||</v>
      </c>
      <c r="L44" s="984" t="str">
        <f t="shared" ca="1" si="15"/>
        <v/>
      </c>
      <c r="M44" s="634" t="str">
        <f t="shared" ca="1" si="16"/>
        <v/>
      </c>
      <c r="N44" s="642" t="str">
        <f t="shared" ca="1" si="17"/>
        <v/>
      </c>
      <c r="O44" s="643" t="str">
        <f t="shared" ca="1" si="18"/>
        <v/>
      </c>
      <c r="P44" s="984" t="str">
        <f t="shared" ca="1" si="19"/>
        <v/>
      </c>
      <c r="Q44" s="634" t="str">
        <f t="shared" ca="1" si="20"/>
        <v/>
      </c>
      <c r="R44" s="642" t="str">
        <f t="shared" ca="1" si="21"/>
        <v/>
      </c>
      <c r="S44" s="643" t="str">
        <f t="shared" ca="1" si="22"/>
        <v/>
      </c>
      <c r="T44" s="984" t="str">
        <f t="shared" ca="1" si="23"/>
        <v/>
      </c>
      <c r="U44" s="634" t="str">
        <f t="shared" ca="1" si="24"/>
        <v/>
      </c>
    </row>
    <row r="45" spans="1:21">
      <c r="B45" s="640" t="str">
        <f ca="1">CompData!B165</f>
        <v>Op % 5yr avg</v>
      </c>
      <c r="C45" s="652">
        <f ca="1">CompData!C165</f>
        <v>0.261300001</v>
      </c>
      <c r="D45" s="652">
        <f ca="1">CompData!D165</f>
        <v>9.9999999999999995E-7</v>
      </c>
      <c r="E45" s="652">
        <f ca="1">CompData!E165</f>
        <v>9.9999999999999995E-7</v>
      </c>
      <c r="F45" s="652">
        <f ca="1">CompData!F165</f>
        <v>9.9999999999999995E-7</v>
      </c>
      <c r="G45" s="652">
        <f ca="1">CompData!G165</f>
        <v>9.9999999999999995E-7</v>
      </c>
      <c r="H45" s="652">
        <f ca="1">CompData!H165</f>
        <v>9.9999999999999995E-7</v>
      </c>
      <c r="J45" s="642" t="str">
        <f t="shared" ca="1" si="13"/>
        <v/>
      </c>
      <c r="K45" s="643" t="str">
        <f t="shared" ca="1" si="14"/>
        <v>||||||||||||||||||||||||||</v>
      </c>
      <c r="L45" s="984" t="str">
        <f t="shared" ca="1" si="15"/>
        <v/>
      </c>
      <c r="M45" s="634" t="str">
        <f t="shared" ca="1" si="16"/>
        <v/>
      </c>
      <c r="N45" s="642" t="str">
        <f t="shared" ca="1" si="17"/>
        <v/>
      </c>
      <c r="O45" s="643" t="str">
        <f t="shared" ca="1" si="18"/>
        <v/>
      </c>
      <c r="P45" s="984" t="str">
        <f t="shared" ca="1" si="19"/>
        <v/>
      </c>
      <c r="Q45" s="634" t="str">
        <f t="shared" ca="1" si="20"/>
        <v/>
      </c>
      <c r="R45" s="642" t="str">
        <f t="shared" ca="1" si="21"/>
        <v/>
      </c>
      <c r="S45" s="643" t="str">
        <f t="shared" ca="1" si="22"/>
        <v/>
      </c>
      <c r="T45" s="984" t="str">
        <f t="shared" ca="1" si="23"/>
        <v/>
      </c>
      <c r="U45" s="634" t="str">
        <f t="shared" ca="1" si="24"/>
        <v/>
      </c>
    </row>
    <row r="46" spans="1:21">
      <c r="B46" s="586" t="str">
        <f ca="1">CompData!B166</f>
        <v xml:space="preserve">Net %(TTM) </v>
      </c>
      <c r="C46" s="591">
        <f ca="1">CompData!C166</f>
        <v>0.228800001</v>
      </c>
      <c r="D46" s="591">
        <f ca="1">CompData!D166</f>
        <v>9.9999999999999995E-7</v>
      </c>
      <c r="E46" s="591">
        <f ca="1">CompData!E166</f>
        <v>9.9999999999999995E-7</v>
      </c>
      <c r="F46" s="591">
        <f ca="1">CompData!F166</f>
        <v>9.9999999999999995E-7</v>
      </c>
      <c r="G46" s="591">
        <f ca="1">CompData!G166</f>
        <v>9.9999999999999995E-7</v>
      </c>
      <c r="H46" s="591">
        <f ca="1">CompData!H166</f>
        <v>9.9999999999999995E-7</v>
      </c>
      <c r="J46" s="642" t="str">
        <f t="shared" ca="1" si="13"/>
        <v/>
      </c>
      <c r="K46" s="643" t="str">
        <f t="shared" ca="1" si="14"/>
        <v>||||||||||||||||||||||</v>
      </c>
      <c r="L46" s="984" t="str">
        <f t="shared" ca="1" si="15"/>
        <v/>
      </c>
      <c r="M46" s="634" t="str">
        <f t="shared" ca="1" si="16"/>
        <v/>
      </c>
      <c r="N46" s="642" t="str">
        <f t="shared" ca="1" si="17"/>
        <v/>
      </c>
      <c r="O46" s="643" t="str">
        <f t="shared" ca="1" si="18"/>
        <v/>
      </c>
      <c r="P46" s="984" t="str">
        <f t="shared" ca="1" si="19"/>
        <v/>
      </c>
      <c r="Q46" s="634" t="str">
        <f t="shared" ca="1" si="20"/>
        <v/>
      </c>
      <c r="R46" s="642" t="str">
        <f t="shared" ca="1" si="21"/>
        <v/>
      </c>
      <c r="S46" s="643" t="str">
        <f t="shared" ca="1" si="22"/>
        <v/>
      </c>
      <c r="T46" s="984" t="str">
        <f t="shared" ca="1" si="23"/>
        <v/>
      </c>
      <c r="U46" s="634" t="str">
        <f t="shared" ca="1" si="24"/>
        <v/>
      </c>
    </row>
    <row r="47" spans="1:21" ht="13.5" thickBot="1">
      <c r="B47" s="644" t="str">
        <f ca="1">CompData!B167</f>
        <v>Net % 5yr avg</v>
      </c>
      <c r="C47" s="645">
        <f ca="1">CompData!C167</f>
        <v>0.20690000100000003</v>
      </c>
      <c r="D47" s="645">
        <f ca="1">CompData!D167</f>
        <v>9.9999999999999995E-7</v>
      </c>
      <c r="E47" s="645">
        <f ca="1">CompData!E167</f>
        <v>9.9999999999999995E-7</v>
      </c>
      <c r="F47" s="645">
        <f ca="1">CompData!F167</f>
        <v>9.9999999999999995E-7</v>
      </c>
      <c r="G47" s="645">
        <f ca="1">CompData!G167</f>
        <v>9.9999999999999995E-7</v>
      </c>
      <c r="H47" s="645">
        <f ca="1">CompData!H167</f>
        <v>9.9999999999999995E-7</v>
      </c>
      <c r="J47" s="646" t="str">
        <f t="shared" ca="1" si="13"/>
        <v/>
      </c>
      <c r="K47" s="647" t="str">
        <f t="shared" ca="1" si="14"/>
        <v>||||||||||||||||||||</v>
      </c>
      <c r="L47" s="985" t="str">
        <f t="shared" ca="1" si="15"/>
        <v/>
      </c>
      <c r="M47" s="635" t="str">
        <f t="shared" ca="1" si="16"/>
        <v/>
      </c>
      <c r="N47" s="646" t="str">
        <f t="shared" ca="1" si="17"/>
        <v/>
      </c>
      <c r="O47" s="647" t="str">
        <f t="shared" ca="1" si="18"/>
        <v/>
      </c>
      <c r="P47" s="985" t="str">
        <f t="shared" ca="1" si="19"/>
        <v/>
      </c>
      <c r="Q47" s="635" t="str">
        <f t="shared" ca="1" si="20"/>
        <v/>
      </c>
      <c r="R47" s="646" t="str">
        <f t="shared" ca="1" si="21"/>
        <v/>
      </c>
      <c r="S47" s="647" t="str">
        <f t="shared" ca="1" si="22"/>
        <v/>
      </c>
      <c r="T47" s="985" t="str">
        <f t="shared" ca="1" si="23"/>
        <v/>
      </c>
      <c r="U47" s="635" t="str">
        <f t="shared" ca="1" si="24"/>
        <v/>
      </c>
    </row>
    <row r="48" spans="1:21" s="342" customFormat="1" ht="15" thickTop="1">
      <c r="B48" s="991" t="s">
        <v>668</v>
      </c>
      <c r="C48" s="588"/>
      <c r="D48" s="588"/>
      <c r="E48" s="588"/>
      <c r="F48" s="588"/>
      <c r="G48" s="588"/>
      <c r="H48" s="588"/>
      <c r="J48" s="988"/>
      <c r="K48" s="987"/>
      <c r="L48" s="986"/>
      <c r="M48" s="989"/>
      <c r="N48" s="986"/>
      <c r="O48" s="989"/>
      <c r="P48" s="986"/>
      <c r="Q48" s="989"/>
      <c r="R48" s="986"/>
      <c r="S48" s="989"/>
      <c r="T48" s="986"/>
      <c r="U48" s="989"/>
    </row>
    <row r="49" spans="2:21">
      <c r="B49" s="586" t="str">
        <f ca="1">CompData!B168</f>
        <v xml:space="preserve">ROA(TTM) </v>
      </c>
      <c r="C49" s="591">
        <f ca="1">CompData!C168</f>
        <v>0.158500001</v>
      </c>
      <c r="D49" s="591">
        <f ca="1">CompData!D168</f>
        <v>9.9999999999999995E-7</v>
      </c>
      <c r="E49" s="591">
        <f ca="1">CompData!E168</f>
        <v>9.9999999999999995E-7</v>
      </c>
      <c r="F49" s="591">
        <f ca="1">CompData!F168</f>
        <v>9.9999999999999995E-7</v>
      </c>
      <c r="G49" s="591">
        <f ca="1">CompData!G168</f>
        <v>9.9999999999999995E-7</v>
      </c>
      <c r="H49" s="591">
        <f ca="1">CompData!H168</f>
        <v>9.9999999999999995E-7</v>
      </c>
      <c r="J49" s="642" t="str">
        <f ca="1">IF(C49&lt;0,IF(C49*100&lt;-50,"&lt;&lt;&lt; "&amp;REPT("|",50),REPT("|",ABS(C49*100))),"")</f>
        <v/>
      </c>
      <c r="K49" s="643" t="str">
        <f ca="1">IF(C49&gt;=0,IF(C49*100&gt;50,REPT("|",50)&amp;" &gt;&gt;&gt;",REPT("|",C49*100)),"")</f>
        <v>|||||||||||||||</v>
      </c>
      <c r="L49" s="984" t="str">
        <f ca="1">IF(D49&lt;0,IF(D49*100&lt;-50,"&lt;&lt;&lt; "&amp;REPT("|",50),REPT("|",ABS(D49*100))),"")</f>
        <v/>
      </c>
      <c r="M49" s="634" t="str">
        <f ca="1">IF(D49&gt;=0,IF(D49*100&gt;50,REPT("|",50)&amp;" &gt;&gt;&gt;",REPT("|",D49*100)),"")</f>
        <v/>
      </c>
      <c r="N49" s="642" t="str">
        <f ca="1">IF(E49&lt;0,IF(E49*100&lt;-50,"&lt;&lt;&lt; "&amp;REPT("|",50),REPT("|",ABS(E49*100))),"")</f>
        <v/>
      </c>
      <c r="O49" s="643" t="str">
        <f ca="1">IF(E49&gt;=0,IF(E49&gt;50,REPT("|",50)&amp;" &gt;&gt;&gt;",REPT("|",E49)),"")</f>
        <v/>
      </c>
      <c r="P49" s="984" t="str">
        <f ca="1">IF(F49&lt;0,IF(F49*100&lt;-50,"&lt;&lt;&lt; "&amp;REPT("|",50),REPT("|",ABS(F49*100))),"")</f>
        <v/>
      </c>
      <c r="Q49" s="634" t="str">
        <f ca="1">IF(F49&gt;=0,IF(F49&gt;50,REPT("|",50)&amp;" &gt;&gt;&gt;",REPT("|",F49)),"")</f>
        <v/>
      </c>
      <c r="R49" s="642" t="str">
        <f ca="1">IF(G49&lt;0,IF(G49*100&lt;-50,"&lt;&lt;&lt; "&amp;REPT("|",50),REPT("|",ABS(G49*100))),"")</f>
        <v/>
      </c>
      <c r="S49" s="643" t="str">
        <f ca="1">IF(G49&gt;=0,IF(G49&gt;50,REPT("|",50)&amp;" &gt;&gt;&gt;",REPT("|",G49)),"")</f>
        <v/>
      </c>
      <c r="T49" s="984" t="str">
        <f ca="1">IF(H49&lt;0,IF(H49*100&lt;-50,"&lt;&lt;&lt; "&amp;REPT("|",50),REPT("|",ABS(H49*100))),"")</f>
        <v/>
      </c>
      <c r="U49" s="634" t="str">
        <f ca="1">IF(H49&gt;=0,IF(H49&gt;50,REPT("|",50)&amp;" &gt;&gt;&gt;",REPT("|",H49)),"")</f>
        <v/>
      </c>
    </row>
    <row r="50" spans="2:21">
      <c r="B50" s="640" t="str">
        <f ca="1">CompData!B169</f>
        <v>ROA 5yr avg</v>
      </c>
      <c r="C50" s="652">
        <f ca="1">CompData!C169</f>
        <v>0.157000001</v>
      </c>
      <c r="D50" s="652">
        <f ca="1">CompData!D169</f>
        <v>9.9999999999999995E-7</v>
      </c>
      <c r="E50" s="652">
        <f ca="1">CompData!E169</f>
        <v>9.9999999999999995E-7</v>
      </c>
      <c r="F50" s="652">
        <f ca="1">CompData!F169</f>
        <v>9.9999999999999995E-7</v>
      </c>
      <c r="G50" s="652">
        <f ca="1">CompData!G169</f>
        <v>9.9999999999999995E-7</v>
      </c>
      <c r="H50" s="652">
        <f ca="1">CompData!H169</f>
        <v>9.9999999999999995E-7</v>
      </c>
      <c r="J50" s="642" t="str">
        <f ca="1">IF(C50&lt;0,IF(C50*100&lt;-50,"&lt;&lt;&lt; "&amp;REPT("|",50),REPT("|",ABS(C50*100))),"")</f>
        <v/>
      </c>
      <c r="K50" s="643" t="str">
        <f ca="1">IF(C50&gt;=0,IF(C50*100&gt;50,REPT("|",50)&amp;" &gt;&gt;&gt;",REPT("|",C50*100)),"")</f>
        <v>|||||||||||||||</v>
      </c>
      <c r="L50" s="984" t="str">
        <f ca="1">IF(D50&lt;0,IF(D50*100&lt;-50,"&lt;&lt;&lt; "&amp;REPT("|",50),REPT("|",ABS(D50*100))),"")</f>
        <v/>
      </c>
      <c r="M50" s="634" t="str">
        <f ca="1">IF(D50&gt;=0,IF(D50*100&gt;50,REPT("|",50)&amp;" &gt;&gt;&gt;",REPT("|",D50*100)),"")</f>
        <v/>
      </c>
      <c r="N50" s="642" t="str">
        <f ca="1">IF(E50&lt;0,IF(E50*100&lt;-50,"&lt;&lt;&lt; "&amp;REPT("|",50),REPT("|",ABS(E50*100))),"")</f>
        <v/>
      </c>
      <c r="O50" s="643" t="str">
        <f ca="1">IF(E50&gt;=0,IF(E50&gt;50,REPT("|",50)&amp;" &gt;&gt;&gt;",REPT("|",E50)),"")</f>
        <v/>
      </c>
      <c r="P50" s="984" t="str">
        <f ca="1">IF(F50&lt;0,IF(F50*100&lt;-50,"&lt;&lt;&lt; "&amp;REPT("|",50),REPT("|",ABS(F50*100))),"")</f>
        <v/>
      </c>
      <c r="Q50" s="634" t="str">
        <f ca="1">IF(F50&gt;=0,IF(F50&gt;50,REPT("|",50)&amp;" &gt;&gt;&gt;",REPT("|",F50)),"")</f>
        <v/>
      </c>
      <c r="R50" s="642" t="str">
        <f ca="1">IF(G50&lt;0,IF(G50*100&lt;-50,"&lt;&lt;&lt; "&amp;REPT("|",50),REPT("|",ABS(G50*100))),"")</f>
        <v/>
      </c>
      <c r="S50" s="643" t="str">
        <f ca="1">IF(G50&gt;=0,IF(G50&gt;50,REPT("|",50)&amp;" &gt;&gt;&gt;",REPT("|",G50)),"")</f>
        <v/>
      </c>
      <c r="T50" s="984" t="str">
        <f ca="1">IF(H50&lt;0,IF(H50*100&lt;-50,"&lt;&lt;&lt; "&amp;REPT("|",50),REPT("|",ABS(H50*100))),"")</f>
        <v/>
      </c>
      <c r="U50" s="634" t="str">
        <f ca="1">IF(H50&gt;=0,IF(H50&gt;50,REPT("|",50)&amp;" &gt;&gt;&gt;",REPT("|",H50)),"")</f>
        <v/>
      </c>
    </row>
    <row r="51" spans="2:21">
      <c r="B51" s="586" t="str">
        <f ca="1">CompData!B170</f>
        <v xml:space="preserve">ROE(TTM) </v>
      </c>
      <c r="C51" s="591">
        <f ca="1">CompData!C170</f>
        <v>0.31110000100000001</v>
      </c>
      <c r="D51" s="591">
        <f ca="1">CompData!D170</f>
        <v>9.9999999999999995E-7</v>
      </c>
      <c r="E51" s="591">
        <f ca="1">CompData!E170</f>
        <v>9.9999999999999995E-7</v>
      </c>
      <c r="F51" s="591">
        <f ca="1">CompData!F170</f>
        <v>9.9999999999999995E-7</v>
      </c>
      <c r="G51" s="591">
        <f ca="1">CompData!G170</f>
        <v>9.9999999999999995E-7</v>
      </c>
      <c r="H51" s="591">
        <f ca="1">CompData!H170</f>
        <v>9.9999999999999995E-7</v>
      </c>
      <c r="J51" s="642" t="str">
        <f ca="1">IF(C51&lt;0,IF(C51*100&lt;-50,"&lt;&lt;&lt; "&amp;REPT("|",50),REPT("|",ABS(C51*100))),"")</f>
        <v/>
      </c>
      <c r="K51" s="643" t="str">
        <f ca="1">IF(C51&gt;=0,IF(C51*100&gt;50,REPT("|",50)&amp;" &gt;&gt;&gt;",REPT("|",C51*100)),"")</f>
        <v>|||||||||||||||||||||||||||||||</v>
      </c>
      <c r="L51" s="984" t="str">
        <f ca="1">IF(D51&lt;0,IF(D51*100&lt;-50,"&lt;&lt;&lt; "&amp;REPT("|",50),REPT("|",ABS(D51*100))),"")</f>
        <v/>
      </c>
      <c r="M51" s="634" t="str">
        <f ca="1">IF(D51&gt;=0,IF(D51*100&gt;50,REPT("|",50)&amp;" &gt;&gt;&gt;",REPT("|",D51*100)),"")</f>
        <v/>
      </c>
      <c r="N51" s="642" t="str">
        <f ca="1">IF(E51&lt;0,IF(E51*100&lt;-50,"&lt;&lt;&lt; "&amp;REPT("|",50),REPT("|",ABS(E51*100))),"")</f>
        <v/>
      </c>
      <c r="O51" s="643" t="str">
        <f ca="1">IF(E51&gt;=0,IF(E51&gt;50,REPT("|",50)&amp;" &gt;&gt;&gt;",REPT("|",E51)),"")</f>
        <v/>
      </c>
      <c r="P51" s="984" t="str">
        <f ca="1">IF(F51&lt;0,IF(F51*100&lt;-50,"&lt;&lt;&lt; "&amp;REPT("|",50),REPT("|",ABS(F51*100))),"")</f>
        <v/>
      </c>
      <c r="Q51" s="634" t="str">
        <f ca="1">IF(F51&gt;=0,IF(F51&gt;50,REPT("|",50)&amp;" &gt;&gt;&gt;",REPT("|",F51)),"")</f>
        <v/>
      </c>
      <c r="R51" s="642" t="str">
        <f ca="1">IF(G51&lt;0,IF(G51*100&lt;-50,"&lt;&lt;&lt; "&amp;REPT("|",50),REPT("|",ABS(G51*100))),"")</f>
        <v/>
      </c>
      <c r="S51" s="643" t="str">
        <f ca="1">IF(G51&gt;=0,IF(G51&gt;50,REPT("|",50)&amp;" &gt;&gt;&gt;",REPT("|",G51)),"")</f>
        <v/>
      </c>
      <c r="T51" s="984" t="str">
        <f ca="1">IF(H51&lt;0,IF(H51*100&lt;-50,"&lt;&lt;&lt; "&amp;REPT("|",50),REPT("|",ABS(H51*100))),"")</f>
        <v/>
      </c>
      <c r="U51" s="634" t="str">
        <f ca="1">IF(H51&gt;=0,IF(H51&gt;50,REPT("|",50)&amp;" &gt;&gt;&gt;",REPT("|",H51)),"")</f>
        <v/>
      </c>
    </row>
    <row r="52" spans="2:21" ht="13.5" thickBot="1">
      <c r="B52" s="644" t="str">
        <f ca="1">CompData!B171</f>
        <v>ROE 5yr avg</v>
      </c>
      <c r="C52" s="645">
        <f ca="1">CompData!C171</f>
        <v>0.29800000100000001</v>
      </c>
      <c r="D52" s="645">
        <f ca="1">CompData!D171</f>
        <v>9.9999999999999995E-7</v>
      </c>
      <c r="E52" s="645">
        <f ca="1">CompData!E171</f>
        <v>9.9999999999999995E-7</v>
      </c>
      <c r="F52" s="645">
        <f ca="1">CompData!F171</f>
        <v>9.9999999999999995E-7</v>
      </c>
      <c r="G52" s="645">
        <f ca="1">CompData!G171</f>
        <v>9.9999999999999995E-7</v>
      </c>
      <c r="H52" s="645">
        <f ca="1">CompData!H171</f>
        <v>9.9999999999999995E-7</v>
      </c>
      <c r="J52" s="646" t="str">
        <f ca="1">IF(C52&lt;0,IF(C52*100&lt;-50,"&lt;&lt;&lt; "&amp;REPT("|",50),REPT("|",ABS(C52*100))),"")</f>
        <v/>
      </c>
      <c r="K52" s="647" t="str">
        <f ca="1">IF(C52&gt;=0,IF(C52*100&gt;50,REPT("|",50)&amp;" &gt;&gt;&gt;",REPT("|",C52*100)),"")</f>
        <v>|||||||||||||||||||||||||||||</v>
      </c>
      <c r="L52" s="985" t="str">
        <f ca="1">IF(D52&lt;0,IF(D52*100&lt;-50,"&lt;&lt;&lt; "&amp;REPT("|",50),REPT("|",ABS(D52*100))),"")</f>
        <v/>
      </c>
      <c r="M52" s="635" t="str">
        <f ca="1">IF(D52&gt;=0,IF(D52*100&gt;50,REPT("|",50)&amp;" &gt;&gt;&gt;",REPT("|",D52*100)),"")</f>
        <v/>
      </c>
      <c r="N52" s="646" t="str">
        <f ca="1">IF(E52&lt;0,IF(E52*100&lt;-50,"&lt;&lt;&lt; "&amp;REPT("|",50),REPT("|",ABS(E52*100))),"")</f>
        <v/>
      </c>
      <c r="O52" s="647" t="str">
        <f ca="1">IF(E52&gt;=0,IF(E52&gt;50,REPT("|",50)&amp;" &gt;&gt;&gt;",REPT("|",E52)),"")</f>
        <v/>
      </c>
      <c r="P52" s="985" t="str">
        <f ca="1">IF(F52&lt;0,IF(F52*100&lt;-50,"&lt;&lt;&lt; "&amp;REPT("|",50),REPT("|",ABS(F52*100))),"")</f>
        <v/>
      </c>
      <c r="Q52" s="635" t="str">
        <f ca="1">IF(F52&gt;=0,IF(F52&gt;50,REPT("|",50)&amp;" &gt;&gt;&gt;",REPT("|",F52)),"")</f>
        <v/>
      </c>
      <c r="R52" s="646" t="str">
        <f ca="1">IF(G52&lt;0,IF(G52*100&lt;-50,"&lt;&lt;&lt; "&amp;REPT("|",50),REPT("|",ABS(G52*100))),"")</f>
        <v/>
      </c>
      <c r="S52" s="647" t="str">
        <f ca="1">IF(G52&gt;=0,IF(G52&gt;50,REPT("|",50)&amp;" &gt;&gt;&gt;",REPT("|",G52)),"")</f>
        <v/>
      </c>
      <c r="T52" s="985" t="str">
        <f ca="1">IF(H52&lt;0,IF(H52*100&lt;-50,"&lt;&lt;&lt; "&amp;REPT("|",50),REPT("|",ABS(H52*100))),"")</f>
        <v/>
      </c>
      <c r="U52" s="635" t="str">
        <f ca="1">IF(H52&gt;=0,IF(H52&gt;50,REPT("|",50)&amp;" &gt;&gt;&gt;",REPT("|",H52)),"")</f>
        <v/>
      </c>
    </row>
    <row r="53" spans="2:21" s="342" customFormat="1" ht="15" thickTop="1">
      <c r="B53" s="991" t="s">
        <v>91</v>
      </c>
      <c r="C53" s="588"/>
      <c r="D53" s="588"/>
      <c r="E53" s="588"/>
      <c r="F53" s="588"/>
      <c r="G53" s="588"/>
      <c r="H53" s="588"/>
      <c r="J53" s="988"/>
      <c r="K53" s="987"/>
      <c r="L53" s="986"/>
      <c r="M53" s="989"/>
      <c r="N53" s="986"/>
      <c r="O53" s="989"/>
      <c r="P53" s="986"/>
      <c r="Q53" s="989"/>
      <c r="R53" s="986"/>
      <c r="S53" s="989"/>
      <c r="T53" s="986"/>
      <c r="U53" s="989"/>
    </row>
    <row r="54" spans="2:21">
      <c r="B54" s="586" t="str">
        <f ca="1">CompData!B172</f>
        <v>Rec Turnover(TTM)</v>
      </c>
      <c r="C54" s="589">
        <f ca="1">CompData!C172</f>
        <v>9.1600000999999995</v>
      </c>
      <c r="D54" s="589">
        <f ca="1">CompData!D172</f>
        <v>9.9999999999999995E-7</v>
      </c>
      <c r="E54" s="589">
        <f ca="1">CompData!E172</f>
        <v>9.9999999999999995E-7</v>
      </c>
      <c r="F54" s="589">
        <f ca="1">CompData!F172</f>
        <v>9.9999999999999995E-7</v>
      </c>
      <c r="G54" s="589">
        <f ca="1">CompData!G172</f>
        <v>9.9999999999999995E-7</v>
      </c>
      <c r="H54" s="589">
        <f ca="1">CompData!H172</f>
        <v>9.9999999999999995E-7</v>
      </c>
      <c r="J54" s="642" t="str">
        <f ca="1">IF(C54&lt;0,IF(C54&lt;-50,"&lt;&lt;&lt; "&amp;REPT("|",50),REPT("|",ABS(C54))),"")</f>
        <v/>
      </c>
      <c r="K54" s="643" t="str">
        <f ca="1">IF(C54&gt;=0,IF(C54&gt;50,REPT("|",50)&amp;" &gt;&gt;&gt;",REPT("|",C54)),"")</f>
        <v>|||||||||</v>
      </c>
      <c r="L54" s="632"/>
      <c r="M54" s="634" t="str">
        <f ca="1">IF(D54&gt;=0,IF(D54&gt;50,REPT("|",50)&amp;" &gt;&gt;&gt;",REPT("|",D54)),"")</f>
        <v/>
      </c>
      <c r="N54" s="649"/>
      <c r="O54" s="643" t="str">
        <f ca="1">IF(E54&gt;=0,IF(E54&gt;50,REPT("|",50)&amp;" &gt;&gt;&gt;",REPT("|",E54)),"")</f>
        <v/>
      </c>
      <c r="P54" s="632"/>
      <c r="Q54" s="634" t="str">
        <f ca="1">IF(F54&gt;=0,IF(F54&gt;50,REPT("|",50)&amp;" &gt;&gt;&gt;",REPT("|",F54)),"")</f>
        <v/>
      </c>
      <c r="R54" s="649"/>
      <c r="S54" s="643" t="str">
        <f ca="1">IF(G54&gt;=0,IF(G54&gt;50,REPT("|",50)&amp;" &gt;&gt;&gt;",REPT("|",G54)),"")</f>
        <v/>
      </c>
      <c r="T54" s="632"/>
      <c r="U54" s="634" t="str">
        <f ca="1">IF(H54&gt;=0,IF(H54&gt;50,REPT("|",50)&amp;" &gt;&gt;&gt;",REPT("|",H54)),"")</f>
        <v/>
      </c>
    </row>
    <row r="55" spans="2:21">
      <c r="B55" s="640" t="str">
        <f ca="1">CompData!B173</f>
        <v>Inv Turnover(TTM)</v>
      </c>
      <c r="C55" s="648">
        <f ca="1">CompData!C173</f>
        <v>4.7700000999999999</v>
      </c>
      <c r="D55" s="648">
        <f ca="1">CompData!D173</f>
        <v>9.9999999999999995E-7</v>
      </c>
      <c r="E55" s="648">
        <f ca="1">CompData!E173</f>
        <v>9.9999999999999995E-7</v>
      </c>
      <c r="F55" s="648">
        <f ca="1">CompData!F173</f>
        <v>9.9999999999999995E-7</v>
      </c>
      <c r="G55" s="648">
        <f ca="1">CompData!G173</f>
        <v>9.9999999999999995E-7</v>
      </c>
      <c r="H55" s="648">
        <f ca="1">CompData!H173</f>
        <v>9.9999999999999995E-7</v>
      </c>
      <c r="J55" s="642" t="str">
        <f ca="1">IF(C55&lt;0,IF(C55&lt;-50,"&lt;&lt;&lt; "&amp;REPT("|",50),REPT("|",ABS(C55))),"")</f>
        <v/>
      </c>
      <c r="K55" s="643" t="str">
        <f ca="1">IF(C55&gt;=0,IF(C55&gt;50,REPT("|",50)&amp;" &gt;&gt;&gt;",REPT("|",C55)),"")</f>
        <v>||||</v>
      </c>
      <c r="L55" s="632"/>
      <c r="M55" s="634" t="str">
        <f ca="1">IF(D55&gt;=0,IF(D55&gt;50,REPT("|",50)&amp;" &gt;&gt;&gt;",REPT("|",D55)),"")</f>
        <v/>
      </c>
      <c r="N55" s="649"/>
      <c r="O55" s="643" t="str">
        <f ca="1">IF(E55&gt;=0,IF(E55&gt;50,REPT("|",50)&amp;" &gt;&gt;&gt;",REPT("|",E55)),"")</f>
        <v/>
      </c>
      <c r="P55" s="632"/>
      <c r="Q55" s="634" t="str">
        <f ca="1">IF(F55&gt;=0,IF(F55&gt;50,REPT("|",50)&amp;" &gt;&gt;&gt;",REPT("|",F55)),"")</f>
        <v/>
      </c>
      <c r="R55" s="649"/>
      <c r="S55" s="643" t="str">
        <f ca="1">IF(G55&gt;=0,IF(G55&gt;50,REPT("|",50)&amp;" &gt;&gt;&gt;",REPT("|",G55)),"")</f>
        <v/>
      </c>
      <c r="T55" s="632"/>
      <c r="U55" s="634" t="str">
        <f ca="1">IF(H55&gt;=0,IF(H55&gt;50,REPT("|",50)&amp;" &gt;&gt;&gt;",REPT("|",H55)),"")</f>
        <v/>
      </c>
    </row>
    <row r="56" spans="2:21" ht="13.5" thickBot="1">
      <c r="B56" s="598" t="str">
        <f ca="1">CompData!B174</f>
        <v>Asset Turnover(TTM)</v>
      </c>
      <c r="C56" s="590">
        <f ca="1">CompData!C174</f>
        <v>0.69000009999999989</v>
      </c>
      <c r="D56" s="590">
        <f ca="1">CompData!D174</f>
        <v>9.9999999999999995E-7</v>
      </c>
      <c r="E56" s="590">
        <f ca="1">CompData!E174</f>
        <v>9.9999999999999995E-7</v>
      </c>
      <c r="F56" s="590">
        <f ca="1">CompData!F174</f>
        <v>9.9999999999999995E-7</v>
      </c>
      <c r="G56" s="590">
        <f ca="1">CompData!G174</f>
        <v>9.9999999999999995E-7</v>
      </c>
      <c r="H56" s="590">
        <f ca="1">CompData!H174</f>
        <v>9.9999999999999995E-7</v>
      </c>
      <c r="J56" s="646" t="str">
        <f ca="1">IF(C56&lt;0,IF(C56&lt;-50,"&lt;&lt;&lt; "&amp;REPT("|",50),REPT("|",ABS(C56))),"")</f>
        <v/>
      </c>
      <c r="K56" s="647" t="str">
        <f ca="1">IF(C56&gt;=0,IF(C56&gt;50,REPT("|",50)&amp;" &gt;&gt;&gt;",REPT("|",C56)),"")</f>
        <v/>
      </c>
      <c r="L56" s="633"/>
      <c r="M56" s="635" t="str">
        <f ca="1">IF(D56&gt;=0,IF(D56&gt;50,REPT("|",50)&amp;" &gt;&gt;&gt;",REPT("|",D56)),"")</f>
        <v/>
      </c>
      <c r="N56" s="651"/>
      <c r="O56" s="647" t="str">
        <f ca="1">IF(E56&gt;=0,IF(E56&gt;50,REPT("|",50)&amp;" &gt;&gt;&gt;",REPT("|",E56)),"")</f>
        <v/>
      </c>
      <c r="P56" s="633"/>
      <c r="Q56" s="635" t="str">
        <f ca="1">IF(F56&gt;=0,IF(F56&gt;50,REPT("|",50)&amp;" &gt;&gt;&gt;",REPT("|",F56)),"")</f>
        <v/>
      </c>
      <c r="R56" s="651"/>
      <c r="S56" s="647" t="str">
        <f ca="1">IF(G56&gt;=0,IF(G56&gt;50,REPT("|",50)&amp;" &gt;&gt;&gt;",REPT("|",G56)),"")</f>
        <v/>
      </c>
      <c r="T56" s="633"/>
      <c r="U56" s="635" t="str">
        <f ca="1">IF(H56&gt;=0,IF(H56&gt;50,REPT("|",50)&amp;" &gt;&gt;&gt;",REPT("|",H56)),"")</f>
        <v/>
      </c>
    </row>
    <row r="57" spans="2:21" ht="13.5" thickTop="1">
      <c r="K57" s="637"/>
      <c r="L57" s="988"/>
      <c r="M57" s="990"/>
      <c r="N57" s="988"/>
      <c r="O57" s="990"/>
      <c r="P57" s="988"/>
      <c r="Q57" s="990"/>
      <c r="R57" s="988"/>
      <c r="S57" s="990"/>
      <c r="T57" s="988"/>
      <c r="U57" s="990"/>
    </row>
    <row r="58" spans="2:21">
      <c r="K58" s="637"/>
      <c r="M58" s="639"/>
      <c r="O58" s="639"/>
      <c r="Q58" s="639"/>
      <c r="S58" s="639"/>
      <c r="U58" s="639"/>
    </row>
    <row r="59" spans="2:21">
      <c r="C59" s="596"/>
      <c r="D59" s="596"/>
      <c r="E59" s="596"/>
      <c r="F59" s="596"/>
      <c r="G59" s="596"/>
      <c r="H59" s="596"/>
      <c r="K59" s="637"/>
      <c r="M59" s="639"/>
      <c r="O59" s="639"/>
      <c r="Q59" s="639"/>
      <c r="S59" s="639"/>
      <c r="U59" s="639"/>
    </row>
    <row r="60" spans="2:21">
      <c r="K60" s="637"/>
      <c r="M60" s="639"/>
      <c r="O60" s="639"/>
      <c r="Q60" s="639"/>
      <c r="S60" s="639"/>
      <c r="U60" s="639"/>
    </row>
    <row r="61" spans="2:21">
      <c r="K61" s="637"/>
      <c r="M61" s="639"/>
      <c r="O61" s="639"/>
      <c r="Q61" s="639"/>
      <c r="S61" s="639"/>
      <c r="U61" s="639"/>
    </row>
    <row r="62" spans="2:21">
      <c r="K62" s="637"/>
      <c r="M62" s="639"/>
      <c r="O62" s="639"/>
      <c r="Q62" s="639"/>
      <c r="S62" s="639"/>
      <c r="U62" s="639"/>
    </row>
    <row r="63" spans="2:21">
      <c r="K63" s="637"/>
      <c r="M63" s="639"/>
      <c r="O63" s="639"/>
      <c r="Q63" s="639"/>
      <c r="S63" s="639"/>
      <c r="U63" s="639"/>
    </row>
    <row r="64" spans="2:21">
      <c r="K64" s="637"/>
      <c r="M64" s="639"/>
      <c r="O64" s="639"/>
      <c r="Q64" s="639"/>
      <c r="S64" s="639"/>
      <c r="U64" s="639"/>
    </row>
    <row r="65" spans="11:21">
      <c r="K65" s="637"/>
      <c r="M65" s="639"/>
      <c r="O65" s="639"/>
      <c r="Q65" s="639"/>
      <c r="S65" s="639"/>
      <c r="U65" s="639"/>
    </row>
    <row r="66" spans="11:21">
      <c r="K66" s="637"/>
      <c r="M66" s="639"/>
      <c r="O66" s="639"/>
      <c r="Q66" s="639"/>
      <c r="S66" s="639"/>
      <c r="U66" s="639"/>
    </row>
    <row r="67" spans="11:21">
      <c r="K67" s="637"/>
      <c r="M67" s="639"/>
      <c r="O67" s="639"/>
      <c r="Q67" s="639"/>
      <c r="S67" s="639"/>
      <c r="U67" s="639"/>
    </row>
    <row r="68" spans="11:21">
      <c r="K68" s="637"/>
      <c r="M68" s="639"/>
      <c r="O68" s="639"/>
      <c r="Q68" s="639"/>
      <c r="S68" s="639"/>
      <c r="U68" s="639"/>
    </row>
    <row r="69" spans="11:21">
      <c r="K69" s="637"/>
      <c r="M69" s="639"/>
      <c r="O69" s="639"/>
      <c r="Q69" s="639"/>
      <c r="S69" s="639"/>
      <c r="U69" s="639"/>
    </row>
    <row r="70" spans="11:21">
      <c r="M70" s="639"/>
      <c r="O70" s="639"/>
      <c r="Q70" s="639"/>
      <c r="U70" s="639"/>
    </row>
    <row r="71" spans="11:21">
      <c r="M71" s="639"/>
      <c r="O71" s="639"/>
      <c r="Q71" s="639"/>
      <c r="U71" s="639"/>
    </row>
    <row r="72" spans="11:21">
      <c r="M72" s="639"/>
      <c r="O72" s="639"/>
      <c r="Q72" s="639"/>
      <c r="U72" s="639"/>
    </row>
    <row r="73" spans="11:21">
      <c r="M73" s="639"/>
      <c r="O73" s="639"/>
      <c r="U73" s="639"/>
    </row>
    <row r="74" spans="11:21">
      <c r="M74" s="639"/>
      <c r="O74" s="639"/>
      <c r="U74" s="639"/>
    </row>
    <row r="75" spans="11:21">
      <c r="M75" s="639"/>
      <c r="O75" s="639"/>
      <c r="U75" s="639"/>
    </row>
    <row r="76" spans="11:21">
      <c r="M76" s="639"/>
      <c r="O76" s="639"/>
      <c r="U76" s="639"/>
    </row>
    <row r="77" spans="11:21">
      <c r="M77" s="639"/>
      <c r="O77" s="639"/>
      <c r="U77" s="639"/>
    </row>
    <row r="78" spans="11:21">
      <c r="M78" s="639"/>
      <c r="O78" s="639"/>
      <c r="U78" s="639"/>
    </row>
    <row r="79" spans="11:21">
      <c r="M79" s="639"/>
      <c r="O79" s="639"/>
      <c r="U79" s="639"/>
    </row>
    <row r="80" spans="11:21">
      <c r="M80" s="639"/>
      <c r="O80" s="639"/>
      <c r="U80" s="639"/>
    </row>
    <row r="81" spans="13:21">
      <c r="M81" s="639"/>
      <c r="O81" s="639"/>
      <c r="U81" s="639"/>
    </row>
    <row r="82" spans="13:21">
      <c r="M82" s="639"/>
      <c r="O82" s="639"/>
      <c r="U82" s="639"/>
    </row>
    <row r="83" spans="13:21">
      <c r="M83" s="639"/>
      <c r="O83" s="639"/>
      <c r="U83" s="639"/>
    </row>
    <row r="84" spans="13:21">
      <c r="M84" s="639"/>
      <c r="O84" s="639"/>
      <c r="U84" s="639"/>
    </row>
    <row r="85" spans="13:21">
      <c r="M85" s="639"/>
      <c r="O85" s="639"/>
      <c r="U85" s="639"/>
    </row>
    <row r="86" spans="13:21">
      <c r="M86" s="639"/>
      <c r="O86" s="639"/>
      <c r="U86" s="639"/>
    </row>
    <row r="87" spans="13:21">
      <c r="M87" s="639"/>
      <c r="O87" s="639"/>
      <c r="U87" s="639"/>
    </row>
    <row r="88" spans="13:21">
      <c r="M88" s="639"/>
      <c r="O88" s="639"/>
      <c r="U88" s="639"/>
    </row>
    <row r="89" spans="13:21">
      <c r="M89" s="639"/>
      <c r="U89" s="639"/>
    </row>
    <row r="90" spans="13:21">
      <c r="M90" s="639"/>
      <c r="U90" s="639"/>
    </row>
    <row r="91" spans="13:21">
      <c r="M91" s="639"/>
      <c r="U91" s="639"/>
    </row>
    <row r="92" spans="13:21">
      <c r="M92" s="639"/>
      <c r="U92" s="639"/>
    </row>
    <row r="93" spans="13:21">
      <c r="M93" s="639"/>
      <c r="U93" s="639"/>
    </row>
    <row r="94" spans="13:21">
      <c r="M94" s="639"/>
      <c r="U94" s="639"/>
    </row>
    <row r="95" spans="13:21">
      <c r="M95" s="639"/>
      <c r="U95" s="639"/>
    </row>
    <row r="96" spans="13:21">
      <c r="M96" s="639"/>
      <c r="U96" s="639"/>
    </row>
    <row r="97" spans="13:21">
      <c r="M97" s="639"/>
      <c r="U97" s="639"/>
    </row>
    <row r="98" spans="13:21">
      <c r="M98" s="639"/>
      <c r="U98" s="639"/>
    </row>
    <row r="99" spans="13:21">
      <c r="M99" s="639"/>
      <c r="U99" s="639"/>
    </row>
    <row r="100" spans="13:21">
      <c r="M100" s="639"/>
      <c r="U100" s="639"/>
    </row>
    <row r="101" spans="13:21">
      <c r="M101" s="639"/>
      <c r="U101" s="639"/>
    </row>
    <row r="102" spans="13:21">
      <c r="M102" s="639"/>
      <c r="U102" s="639"/>
    </row>
    <row r="103" spans="13:21">
      <c r="M103" s="639"/>
      <c r="U103" s="639"/>
    </row>
    <row r="104" spans="13:21">
      <c r="M104" s="639"/>
      <c r="U104" s="639"/>
    </row>
    <row r="105" spans="13:21">
      <c r="M105" s="639"/>
      <c r="U105" s="639"/>
    </row>
    <row r="106" spans="13:21">
      <c r="M106" s="639"/>
      <c r="U106" s="639"/>
    </row>
    <row r="107" spans="13:21">
      <c r="M107" s="639"/>
      <c r="U107" s="639"/>
    </row>
    <row r="108" spans="13:21">
      <c r="M108" s="639"/>
      <c r="U108" s="639"/>
    </row>
    <row r="109" spans="13:21">
      <c r="M109" s="639"/>
      <c r="U109" s="639"/>
    </row>
    <row r="110" spans="13:21">
      <c r="M110" s="639"/>
      <c r="U110" s="639"/>
    </row>
    <row r="111" spans="13:21">
      <c r="M111" s="639"/>
      <c r="U111" s="639"/>
    </row>
    <row r="112" spans="13:21">
      <c r="M112" s="639"/>
      <c r="U112" s="639"/>
    </row>
    <row r="113" spans="13:21">
      <c r="M113" s="639"/>
      <c r="U113" s="639"/>
    </row>
    <row r="114" spans="13:21">
      <c r="U114" s="639"/>
    </row>
    <row r="115" spans="13:21">
      <c r="U115" s="639"/>
    </row>
    <row r="116" spans="13:21">
      <c r="U116" s="639"/>
    </row>
    <row r="117" spans="13:21">
      <c r="U117" s="639"/>
    </row>
    <row r="118" spans="13:21">
      <c r="U118" s="639"/>
    </row>
    <row r="119" spans="13:21">
      <c r="U119" s="639"/>
    </row>
    <row r="120" spans="13:21">
      <c r="U120" s="639"/>
    </row>
    <row r="121" spans="13:21">
      <c r="U121" s="639"/>
    </row>
    <row r="122" spans="13:21">
      <c r="U122" s="639"/>
    </row>
    <row r="123" spans="13:21">
      <c r="U123" s="639"/>
    </row>
    <row r="124" spans="13:21">
      <c r="U124" s="639"/>
    </row>
    <row r="125" spans="13:21">
      <c r="U125" s="639"/>
    </row>
    <row r="126" spans="13:21">
      <c r="U126" s="639"/>
    </row>
    <row r="127" spans="13:21">
      <c r="U127" s="639"/>
    </row>
    <row r="128" spans="13:21">
      <c r="U128" s="639"/>
    </row>
    <row r="129" spans="21:21">
      <c r="U129" s="639"/>
    </row>
    <row r="130" spans="21:21">
      <c r="U130" s="639"/>
    </row>
    <row r="131" spans="21:21">
      <c r="U131" s="639"/>
    </row>
    <row r="132" spans="21:21">
      <c r="U132" s="639"/>
    </row>
    <row r="133" spans="21:21">
      <c r="U133" s="639"/>
    </row>
  </sheetData>
  <mergeCells count="10">
    <mergeCell ref="P10:Q10"/>
    <mergeCell ref="R10:S10"/>
    <mergeCell ref="T10:U10"/>
    <mergeCell ref="B7:B8"/>
    <mergeCell ref="F1:G1"/>
    <mergeCell ref="F2:G2"/>
    <mergeCell ref="D7:H7"/>
    <mergeCell ref="J10:K10"/>
    <mergeCell ref="L10:M10"/>
    <mergeCell ref="N10:O10"/>
  </mergeCells>
  <phoneticPr fontId="8" type="noConversion"/>
  <conditionalFormatting sqref="C10">
    <cfRule type="expression" dxfId="28" priority="117" stopIfTrue="1">
      <formula>$C$8=C$10</formula>
    </cfRule>
  </conditionalFormatting>
  <conditionalFormatting sqref="D10:H10">
    <cfRule type="expression" dxfId="27" priority="116" stopIfTrue="1">
      <formula>$C$8=D$10</formula>
    </cfRule>
  </conditionalFormatting>
  <conditionalFormatting sqref="D10:H10">
    <cfRule type="expression" dxfId="26" priority="115" stopIfTrue="1">
      <formula>$C$8=D$10</formula>
    </cfRule>
  </conditionalFormatting>
  <conditionalFormatting sqref="C25:H28 C30:H35 C42:H47 C49:H52">
    <cfRule type="expression" dxfId="25" priority="88" stopIfTrue="1">
      <formula>C25=0.000001</formula>
    </cfRule>
  </conditionalFormatting>
  <conditionalFormatting sqref="B11:B16 B18:B23 B25:B28 B30:B35 B37:B40 B42:B47 B49:B52 B54:B56">
    <cfRule type="expression" dxfId="24" priority="169" stopIfTrue="1">
      <formula>$B$7=$B11</formula>
    </cfRule>
  </conditionalFormatting>
  <conditionalFormatting sqref="C11:H16 C18:H23 C37:H40 C54:H56">
    <cfRule type="expression" dxfId="23" priority="178" stopIfTrue="1">
      <formula>C11=0.000001</formula>
    </cfRule>
    <cfRule type="expression" dxfId="22" priority="179" stopIfTrue="1">
      <formula>$B$7=$B11</formula>
    </cfRule>
  </conditionalFormatting>
  <conditionalFormatting sqref="C37:H40 C12:H15 C19:C23 D11:H16 D18:H23 C25:H28 C30:H35 C42:H47 C49:H52 C54:H56">
    <cfRule type="expression" dxfId="21" priority="180" stopIfTrue="1">
      <formula>$B$7=$B11</formula>
    </cfRule>
  </conditionalFormatting>
  <conditionalFormatting sqref="C12:H13">
    <cfRule type="expression" dxfId="20" priority="181" stopIfTrue="1">
      <formula>$B12=$B$7</formula>
    </cfRule>
  </conditionalFormatting>
  <dataValidations count="1">
    <dataValidation type="list" allowBlank="1" showInputMessage="1" showErrorMessage="1" sqref="B7">
      <formula1>list_compdata</formula1>
    </dataValidation>
  </dataValidations>
  <printOptions horizontalCentered="1"/>
  <pageMargins left="0.2" right="0.2" top="0.25" bottom="0.25" header="0.3" footer="0.3"/>
  <pageSetup scale="49" orientation="landscape" r:id="rId1"/>
  <drawing r:id="rId2"/>
  <legacyDrawing r:id="rId3"/>
</worksheet>
</file>

<file path=xl/worksheets/sheet18.xml><?xml version="1.0" encoding="utf-8"?>
<worksheet xmlns="http://schemas.openxmlformats.org/spreadsheetml/2006/main" xmlns:r="http://schemas.openxmlformats.org/officeDocument/2006/relationships">
  <sheetPr codeName="Sheet23"/>
  <dimension ref="B2:P174"/>
  <sheetViews>
    <sheetView zoomScale="75" zoomScaleNormal="75" workbookViewId="0">
      <selection activeCell="G156" sqref="G156"/>
    </sheetView>
  </sheetViews>
  <sheetFormatPr defaultRowHeight="15"/>
  <cols>
    <col min="1" max="1" width="9.140625" style="420"/>
    <col min="2" max="2" width="21" style="420" bestFit="1" customWidth="1"/>
    <col min="3" max="3" width="15.140625" style="420" bestFit="1" customWidth="1"/>
    <col min="4" max="4" width="15" style="420" bestFit="1" customWidth="1"/>
    <col min="5" max="5" width="13.85546875" style="420" bestFit="1" customWidth="1"/>
    <col min="6" max="6" width="15" style="420" bestFit="1" customWidth="1"/>
    <col min="7" max="7" width="15.7109375" style="420" bestFit="1" customWidth="1"/>
    <col min="8" max="8" width="13.85546875" style="420" bestFit="1" customWidth="1"/>
    <col min="9" max="9" width="11.42578125" style="420" bestFit="1" customWidth="1"/>
    <col min="10" max="10" width="16.42578125" style="420" bestFit="1" customWidth="1"/>
    <col min="11" max="11" width="11.85546875" style="420" bestFit="1" customWidth="1"/>
    <col min="12" max="12" width="12.140625" style="420" bestFit="1" customWidth="1"/>
    <col min="13" max="13" width="11.85546875" style="420" bestFit="1" customWidth="1"/>
    <col min="14" max="14" width="13" style="420" bestFit="1" customWidth="1"/>
    <col min="15" max="15" width="16.140625" style="420" bestFit="1" customWidth="1"/>
    <col min="16" max="16" width="11.85546875" style="420" bestFit="1" customWidth="1"/>
    <col min="17" max="17" width="11.42578125" style="420" bestFit="1" customWidth="1"/>
    <col min="18" max="18" width="18.42578125" style="420" bestFit="1" customWidth="1"/>
    <col min="19" max="19" width="20.85546875" style="420" bestFit="1" customWidth="1"/>
    <col min="20" max="20" width="19.85546875" style="420" bestFit="1" customWidth="1"/>
    <col min="21" max="21" width="13.7109375" style="420" bestFit="1" customWidth="1"/>
    <col min="22" max="22" width="18.5703125" style="420" bestFit="1" customWidth="1"/>
    <col min="23" max="23" width="18.42578125" style="420" bestFit="1" customWidth="1"/>
    <col min="24" max="24" width="12.7109375" style="420" bestFit="1" customWidth="1"/>
    <col min="25" max="25" width="17.28515625" style="420" bestFit="1" customWidth="1"/>
    <col min="26" max="26" width="19" style="420" bestFit="1" customWidth="1"/>
    <col min="27" max="27" width="13.5703125" style="420" bestFit="1" customWidth="1"/>
    <col min="28" max="28" width="15.140625" style="420" bestFit="1" customWidth="1"/>
    <col min="29" max="29" width="13.5703125" style="420" bestFit="1" customWidth="1"/>
    <col min="30" max="30" width="11.5703125" style="420" bestFit="1" customWidth="1"/>
    <col min="31" max="31" width="11.42578125" style="420" bestFit="1" customWidth="1"/>
    <col min="32" max="32" width="12.42578125" style="420" bestFit="1" customWidth="1"/>
    <col min="33" max="33" width="11.85546875" style="420" bestFit="1" customWidth="1"/>
    <col min="34" max="34" width="12.85546875" style="420" bestFit="1" customWidth="1"/>
    <col min="35" max="35" width="11.42578125" style="420" bestFit="1" customWidth="1"/>
    <col min="36" max="36" width="11.7109375" style="420" bestFit="1" customWidth="1"/>
    <col min="37" max="38" width="11.42578125" style="420" bestFit="1" customWidth="1"/>
    <col min="39" max="39" width="18.140625" style="420" bestFit="1" customWidth="1"/>
    <col min="40" max="40" width="17.5703125" style="420" bestFit="1" customWidth="1"/>
    <col min="41" max="41" width="20" style="420" bestFit="1" customWidth="1"/>
    <col min="42" max="42" width="16.7109375" style="420" customWidth="1"/>
    <col min="43" max="16384" width="9.140625" style="420"/>
  </cols>
  <sheetData>
    <row r="2" spans="2:8">
      <c r="B2" s="570" t="s">
        <v>560</v>
      </c>
      <c r="C2" s="570"/>
      <c r="D2" s="570"/>
      <c r="E2" s="570"/>
      <c r="F2" s="570"/>
      <c r="G2" s="570"/>
      <c r="H2" s="570"/>
    </row>
    <row r="3" spans="2:8">
      <c r="B3" s="559"/>
      <c r="C3" s="559" t="str">
        <f ca="1">Ticker</f>
        <v>KO</v>
      </c>
      <c r="D3" s="559">
        <f ca="1">Ticker2</f>
        <v>0</v>
      </c>
      <c r="E3" s="559">
        <f ca="1">Ticker3</f>
        <v>0</v>
      </c>
      <c r="F3" s="559">
        <f ca="1">Ticker4</f>
        <v>0</v>
      </c>
      <c r="G3" s="559">
        <f ca="1">Ticker5</f>
        <v>0</v>
      </c>
      <c r="H3" s="559">
        <f ca="1">Ticker6</f>
        <v>0</v>
      </c>
    </row>
    <row r="4" spans="2:8" ht="15.75">
      <c r="B4" s="131" t="s">
        <v>112</v>
      </c>
      <c r="C4" s="560">
        <f ca="1">[1]!RCHGetElementNumber(Ticker,25)</f>
        <v>52.4</v>
      </c>
      <c r="D4" s="560" t="str">
        <f ca="1">IF(ISBLANK(Ticker2),"",[1]!RCHGetElementNumber(Ticker2,25))</f>
        <v/>
      </c>
      <c r="E4" s="560" t="str">
        <f ca="1">IF(ISBLANK(Ticker3),"",[1]!RCHGetElementNumber(Ticker3,25))</f>
        <v/>
      </c>
      <c r="F4" s="560" t="str">
        <f ca="1">IF(ISBLANK(Ticker4),"",[1]!RCHGetElementNumber(Ticker4,25))</f>
        <v/>
      </c>
      <c r="G4" s="560" t="str">
        <f ca="1">IF(ISBLANK(Ticker5),"",[1]!RCHGetElementNumber(Ticker5,25))</f>
        <v/>
      </c>
      <c r="H4" s="561" t="str">
        <f ca="1">IF(ISBLANK(Ticker6),"",[1]!RCHGetElementNumber(Ticker6,25))</f>
        <v/>
      </c>
    </row>
    <row r="5" spans="2:8" ht="15.75">
      <c r="B5" s="131" t="s">
        <v>630</v>
      </c>
      <c r="C5" s="571">
        <f ca="1">[1]!RCHGetElementNumber(Ticker,1541)/1000000</f>
        <v>120830</v>
      </c>
      <c r="D5" s="571" t="str">
        <f ca="1">IF(ISBLANK(Ticker2),"",[1]!RCHGetElementNumber(Ticker2,1541)/1000000)</f>
        <v/>
      </c>
      <c r="E5" s="571" t="str">
        <f ca="1">IF(ISBLANK(Ticker3),"",[1]!RCHGetElementNumber(Ticker3,1541)/1000000)</f>
        <v/>
      </c>
      <c r="F5" s="571" t="str">
        <f ca="1">IF(ISBLANK(Ticker4),"",[1]!RCHGetElementNumber(Ticker4,1541)/1000000)</f>
        <v/>
      </c>
      <c r="G5" s="571" t="str">
        <f ca="1">IF(ISBLANK(Ticker5),"",[1]!RCHGetElementNumber(Ticker5,1541)/1000000)</f>
        <v/>
      </c>
      <c r="H5" s="572" t="str">
        <f ca="1">IF(ISBLANK(Ticker6),"",[1]!RCHGetElementNumber(Ticker6,1541)/1000000)</f>
        <v/>
      </c>
    </row>
    <row r="6" spans="2:8" ht="15.75">
      <c r="B6" s="131" t="s">
        <v>628</v>
      </c>
      <c r="C6" s="567">
        <f ca="1">[1]!RCHGetElementNumber(Ticker,942)/1000</f>
        <v>123730</v>
      </c>
      <c r="D6" s="567" t="str">
        <f ca="1">IF(ISBLANK(Ticker2),"",[1]!RCHGetElementNumber(Ticker2,942)/1000)</f>
        <v/>
      </c>
      <c r="E6" s="567" t="str">
        <f ca="1">IF(ISBLANK(Ticker3),"",[1]!RCHGetElementNumber(Ticker3,942)/1000)</f>
        <v/>
      </c>
      <c r="F6" s="567" t="str">
        <f ca="1">IF(ISBLANK(Ticker4),"",[1]!RCHGetElementNumber(Ticker4,942)/1000)</f>
        <v/>
      </c>
      <c r="G6" s="567" t="str">
        <f ca="1">IF(ISBLANK(Ticker5),"",[1]!RCHGetElementNumber(Ticker5,942)/1000)</f>
        <v/>
      </c>
      <c r="H6" s="567" t="str">
        <f ca="1">IF(ISBLANK(Ticker6),"",[1]!RCHGetElementNumber(Ticker6,942)/1000)</f>
        <v/>
      </c>
    </row>
    <row r="7" spans="2:8" ht="15.75">
      <c r="B7" s="131" t="s">
        <v>545</v>
      </c>
      <c r="C7" s="562">
        <f ca="1">[1]!RCHGetElementNumber(Ticker,975)</f>
        <v>59.45</v>
      </c>
      <c r="D7" s="562" t="str">
        <f ca="1">IF(ISBLANK(Ticker2),"",[1]!RCHGetElementNumber(Ticker2,975))</f>
        <v/>
      </c>
      <c r="E7" s="562" t="str">
        <f ca="1">IF(ISBLANK(Ticker3),"",[1]!RCHGetElementNumber(Ticker3,975))</f>
        <v/>
      </c>
      <c r="F7" s="562" t="str">
        <f ca="1">IF(ISBLANK(Ticker4),"",[1]!RCHGetElementNumber(Ticker4,975))</f>
        <v/>
      </c>
      <c r="G7" s="563" t="str">
        <f ca="1">IF(ISBLANK(Ticker5),"",[1]!RCHGetElementNumber(Ticker5,975))</f>
        <v/>
      </c>
      <c r="H7" s="564" t="str">
        <f ca="1">IF(ISBLANK(Ticker6),"",[1]!RCHGetElementNumber(Ticker6,975))</f>
        <v/>
      </c>
    </row>
    <row r="8" spans="2:8" ht="15.75">
      <c r="B8" s="131" t="s">
        <v>549</v>
      </c>
      <c r="C8" s="562">
        <f ca="1">[1]!RCHGetElementNumber(Ticker,976)</f>
        <v>47.42</v>
      </c>
      <c r="D8" s="562" t="str">
        <f ca="1">IF(ISBLANK(Ticker2),"",[1]!RCHGetElementNumber(Ticker2,976))</f>
        <v/>
      </c>
      <c r="E8" s="562" t="str">
        <f ca="1">IF(ISBLANK(Ticker3),"",[1]!RCHGetElementNumber(Ticker3,976))</f>
        <v/>
      </c>
      <c r="F8" s="562" t="str">
        <f ca="1">IF(ISBLANK(Ticker4),"",[1]!RCHGetElementNumber(Ticker4,976))</f>
        <v/>
      </c>
      <c r="G8" s="562" t="str">
        <f ca="1">IF(ISBLANK(Ticker5),"",[1]!RCHGetElementNumber(Ticker5,976))</f>
        <v/>
      </c>
      <c r="H8" s="573" t="str">
        <f ca="1">IF(ISBLANK(Ticker6),"",[1]!RCHGetElementNumber(Ticker6,976))</f>
        <v/>
      </c>
    </row>
    <row r="9" spans="2:8" ht="15.75">
      <c r="B9" s="131" t="s">
        <v>626</v>
      </c>
      <c r="C9" s="565">
        <f ca="1">(C4-C8)/C8</f>
        <v>0.10501897933361444</v>
      </c>
      <c r="D9" s="565" t="str">
        <f ca="1">IF(ISBLANK(Ticker2),"",(D4-D8)/D8)</f>
        <v/>
      </c>
      <c r="E9" s="565" t="str">
        <f ca="1">IF(ISBLANK(Ticker3),"",(E4-E8)/E8)</f>
        <v/>
      </c>
      <c r="F9" s="565" t="str">
        <f ca="1">IF(ISBLANK(Ticker4),"",(F4-F8)/F8)</f>
        <v/>
      </c>
      <c r="G9" s="565" t="str">
        <f ca="1">IF(ISBLANK(Ticker5),"",(G4-G8)/G8)</f>
        <v/>
      </c>
      <c r="H9" s="566" t="str">
        <f ca="1">IF(ISBLANK(Ticker6),"",(H4-H8)/H8)</f>
        <v/>
      </c>
    </row>
    <row r="10" spans="2:8" ht="15.75">
      <c r="B10" s="131" t="s">
        <v>631</v>
      </c>
      <c r="C10" s="567">
        <f ca="1">[1]!RCHGetTableCell("http://www.reuters.com/finance/stocks/financialHighlights?symbol="&amp;Ticker,1,"Valuation Ratios","P/E Ratio")</f>
        <v>17.22</v>
      </c>
      <c r="D10" s="567" t="str">
        <f ca="1">IF(ISBLANK(Ticker2),"",[1]!RCHGetTableCell("http://www.reuters.com/finance/stocks/financialHighlights?symbol="&amp;Ticker2,1,"Valuation Ratios","P/E Ratio"))</f>
        <v/>
      </c>
      <c r="E10" s="567" t="str">
        <f ca="1">IF(ISBLANK(Ticker3),"",[1]!RCHGetTableCell("http://www.reuters.com/finance/stocks/financialHighlights?symbol="&amp;Ticker3,1,"Valuation Ratios","P/E Ratio"))</f>
        <v/>
      </c>
      <c r="F10" s="567" t="str">
        <f ca="1">IF(ISBLANK(Ticker4),"",[1]!RCHGetTableCell("http://www.reuters.com/finance/stocks/financialHighlights?symbol="&amp;Ticker4,1,"Valuation Ratios","P/E Ratio"))</f>
        <v/>
      </c>
      <c r="G10" s="567" t="str">
        <f ca="1">IF(ISBLANK(Ticker5),"",[1]!RCHGetTableCell("http://www.reuters.com/finance/stocks/financialHighlights?symbol="&amp;Ticker5,1,"Valuation Ratios","P/E Ratio"))</f>
        <v/>
      </c>
      <c r="H10" s="567" t="str">
        <f ca="1">IF(ISBLANK(Ticker6),"",[1]!RCHGetTableCell("http://www.reuters.com/finance/stocks/financialHighlights?symbol="&amp;Ticker6,1,"Valuation Ratios","P/E Ratio"))</f>
        <v/>
      </c>
    </row>
    <row r="11" spans="2:8" ht="15.75">
      <c r="B11" s="131" t="s">
        <v>632</v>
      </c>
      <c r="C11" s="567">
        <f ca="1">[1]!RCHGetTableCell("http://www.reuters.com/finance/stocks/financialHighlights?symbol="&amp;Ticker,1,"Valuation Ratios","Price to Sales")</f>
        <v>3.85</v>
      </c>
      <c r="D11" s="567" t="str">
        <f ca="1">IF(ISBLANK(Ticker2),"",[1]!RCHGetTableCell("http://www.reuters.com/finance/stocks/financialHighlights?symbol="&amp;Ticker2,1,"Valuation Ratios"," Price to Sales"))</f>
        <v/>
      </c>
      <c r="E11" s="567" t="str">
        <f ca="1">IF(ISBLANK(Ticker3),"",[1]!RCHGetTableCell("http://www.reuters.com/finance/stocks/financialHighlights?symbol="&amp;Ticker3,1,"Valuation Ratios"," Price to Sales"))</f>
        <v/>
      </c>
      <c r="F11" s="567" t="str">
        <f ca="1">IF(ISBLANK(Ticker4),"",[1]!RCHGetTableCell("http://www.reuters.com/finance/stocks/financialHighlights?symbol="&amp;Ticker4,1,"Valuation Ratios"," Price to Sales"))</f>
        <v/>
      </c>
      <c r="G11" s="567" t="str">
        <f ca="1">IF(ISBLANK(Ticker5),"",[1]!RCHGetTableCell("http://www.reuters.com/finance/stocks/financialHighlights?symbol="&amp;Ticker5,1,"Valuation Ratios"," Price to Sales"))</f>
        <v/>
      </c>
      <c r="H11" s="567" t="str">
        <f ca="1">IF(ISBLANK(Ticker6),"",[1]!RCHGetTableCell("http://www.reuters.com/finance/stocks/financialHighlights?symbol="&amp;Ticker6,1,"Valuation Ratios"," Price to Sales"))</f>
        <v/>
      </c>
    </row>
    <row r="12" spans="2:8" ht="15.75">
      <c r="B12" s="131" t="s">
        <v>633</v>
      </c>
      <c r="C12" s="567">
        <f ca="1">[1]!RCHGetTableCell("http://www.reuters.com/finance/stocks/financialHighlights?symbol="&amp;Ticker,1,"Valuation Ratios"," Price to Tangible Book")</f>
        <v>9.6199999999999992</v>
      </c>
      <c r="D12" s="567" t="str">
        <f ca="1">IF(ISBLANK(Ticker2),"",[1]!RCHGetTableCell("http://www.reuters.com/finance/stocks/financialHighlights?symbol="&amp;Ticker2,1,"Valuation Ratios","  Price to Tangible Book"))</f>
        <v/>
      </c>
      <c r="E12" s="567" t="str">
        <f ca="1">IF(ISBLANK(Ticker3),"",[1]!RCHGetTableCell("http://www.reuters.com/finance/stocks/financialHighlights?symbol="&amp;Ticker3,1,"Valuation Ratios"," Price to Tangible Book"))</f>
        <v/>
      </c>
      <c r="F12" s="567" t="str">
        <f ca="1">IF(ISBLANK(Ticker4),"",[1]!RCHGetTableCell("http://www.reuters.com/finance/stocks/financialHighlights?symbol="&amp;Ticker4,1,"Valuation Ratios","Price to Tangible Book"))</f>
        <v/>
      </c>
      <c r="G12" s="567" t="str">
        <f ca="1">IF(ISBLANK(Ticker5),"",[1]!RCHGetTableCell("http://www.reuters.com/finance/stocks/financialHighlights?symbol="&amp;Ticker5,1,"Valuation Ratios"," Price to Tangible Book"))</f>
        <v/>
      </c>
      <c r="H12" s="567" t="str">
        <f ca="1">IF(ISBLANK(Ticker6),"",[1]!RCHGetTableCell("http://www.reuters.com/finance/stocks/financialHighlights?symbol="&amp;Ticker6,1,"Valuation Ratios","Price to Tangible Book"))</f>
        <v/>
      </c>
    </row>
    <row r="13" spans="2:8" ht="15.75">
      <c r="B13" s="131" t="s">
        <v>627</v>
      </c>
      <c r="C13" s="567">
        <f ca="1">[1]!RCHGetTableCell("http://www.reuters.com/finance/stocks/financialHighlights?symbol="&amp;Ticker,1,"Valuation Ratios"," Price to Cash Flow")</f>
        <v>14.35</v>
      </c>
      <c r="D13" s="567" t="str">
        <f ca="1">IF(ISBLANK(Ticker2),"",[1]!RCHGetTableCell("http://www.reuters.com/finance/stocks/financialHighlights?symbol="&amp;Ticker2,1,"Valuation Ratios","Price to Cash Flow"))</f>
        <v/>
      </c>
      <c r="E13" s="567" t="str">
        <f ca="1">IF(ISBLANK(Ticker3),"",[1]!RCHGetTableCell("http://www.reuters.com/finance/stocks/financialHighlights?symbol="&amp;Ticker3,1,"Valuation Ratios","Price to Cash Flow"))</f>
        <v/>
      </c>
      <c r="F13" s="567" t="str">
        <f ca="1">IF(ISBLANK(Ticker4),"",[1]!RCHGetTableCell("http://www.reuters.com/finance/stocks/financialHighlights?symbol="&amp;Ticker4,1,"Valuation Ratios","Price to Cash Flow"))</f>
        <v/>
      </c>
      <c r="G13" s="567" t="str">
        <f ca="1">IF(ISBLANK(Ticker5),"",[1]!RCHGetTableCell("http://www.reuters.com/finance/stocks/financialHighlights?symbol="&amp;Ticker5,1,"Valuation Ratios","Price to Cash Flow"))</f>
        <v/>
      </c>
      <c r="H13" s="567" t="str">
        <f ca="1">IF(ISBLANK(Ticker6),"",[1]!RCHGetTableCell("http://www.reuters.com/finance/stocks/financialHighlights?symbol="&amp;Ticker6,1,"Valuation Ratios","Price to Cash Flow"))</f>
        <v/>
      </c>
    </row>
    <row r="14" spans="2:8" ht="15.75">
      <c r="B14" s="131" t="s">
        <v>634</v>
      </c>
      <c r="C14" s="567">
        <f ca="1">[1]!RCHGetTableCell("http://www.reuters.com/finance/stocks/financialHighlights?symbol="&amp;Ticker,1,"Valuation Ratios"," Price to Free Cash Flow")</f>
        <v>42.32</v>
      </c>
      <c r="D14" s="567" t="str">
        <f ca="1">IF(ISBLANK(Ticker2),"",[1]!RCHGetTableCell("http://www.reuters.com/finance/stocks/financialHighlights?symbol="&amp;Ticker2,1,"Valuation Ratios"," Price to Free Cash Flow"))</f>
        <v/>
      </c>
      <c r="E14" s="567" t="str">
        <f ca="1">IF(ISBLANK(Ticker3),"",[1]!RCHGetTableCell("http://www.reuters.com/finance/stocks/financialHighlights?symbol="&amp;Ticker3,1,"Valuation Ratios"," Price to Free Cash Flow"))</f>
        <v/>
      </c>
      <c r="F14" s="567" t="str">
        <f ca="1">IF(ISBLANK(Ticker4),"",[1]!RCHGetTableCell("http://www.reuters.com/finance/stocks/financialHighlights?symbol="&amp;Ticker4,1,"Valuation Ratios"," Price to Free Cash Flow"))</f>
        <v/>
      </c>
      <c r="G14" s="567" t="str">
        <f ca="1">IF(ISBLANK(Ticker5),"",[1]!RCHGetTableCell("http://www.reuters.com/finance/stocks/financialHighlights?symbol="&amp;Ticker5,1,"Valuation Ratios"," Price to Free Cash Flow"))</f>
        <v/>
      </c>
      <c r="H14" s="567" t="str">
        <f ca="1">IF(ISBLANK(Ticker6),"",[1]!RCHGetTableCell("http://www.reuters.com/finance/stocks/financialHighlights?symbol="&amp;Ticker6,1,"Valuation Ratios"," Price to Free Cash Flow"))</f>
        <v/>
      </c>
    </row>
    <row r="15" spans="2:8" ht="15.75">
      <c r="B15" s="131" t="s">
        <v>629</v>
      </c>
      <c r="C15" s="568">
        <f ca="1">[1]!RCHGetElementNumber(Ticker,949)</f>
        <v>12.23</v>
      </c>
      <c r="D15" s="567" t="str">
        <f ca="1">IF(ISBLANK(Ticker2),"",[1]!RCHGetElementNumber(Ticker2,949))</f>
        <v/>
      </c>
      <c r="E15" s="567" t="str">
        <f ca="1">IF(ISBLANK(Ticker3),"",[1]!RCHGetElementNumber(Ticker3,949))</f>
        <v/>
      </c>
      <c r="F15" s="567" t="str">
        <f ca="1">IF(ISBLANK(Ticker4),"",[1]!RCHGetElementNumber(Ticker4,949))</f>
        <v/>
      </c>
      <c r="G15" s="567" t="str">
        <f ca="1">IF(ISBLANK(Ticker5),"",[1]!RCHGetElementNumber(Ticker5,949))</f>
        <v/>
      </c>
      <c r="H15" s="567" t="str">
        <f ca="1">IF(ISBLANK(Ticker6),"",[1]!RCHGetElementNumber(Ticker6,949))</f>
        <v/>
      </c>
    </row>
    <row r="16" spans="2:8" ht="15.75">
      <c r="B16" s="27" t="s">
        <v>635</v>
      </c>
      <c r="C16" s="568">
        <f ca="1">[1]!RCHGetElementNumber(Ticker,990)</f>
        <v>1.7</v>
      </c>
      <c r="D16" s="567" t="str">
        <f ca="1">IF(ISBLANK(Ticker2),"",[1]!RCHGetElementNumber(Ticker2,990))</f>
        <v/>
      </c>
      <c r="E16" s="567" t="str">
        <f ca="1">IF(ISBLANK(Ticker3),"",[1]!RCHGetElementNumber(Ticker3,990))</f>
        <v/>
      </c>
      <c r="F16" s="567" t="str">
        <f ca="1">IF(ISBLANK(Ticker4),"",[1]!RCHGetTableCell("http://www.reuters.com/finance/stocks/financialHighlights?symbol="&amp;Ticker4,1,"Valuation Ratios","Dividend Yield"))</f>
        <v/>
      </c>
      <c r="G16" s="567" t="str">
        <f ca="1">IF(ISBLANK(Ticker5),"",[1]!RCHGetTableCell("http://www.reuters.com/finance/stocks/financialHighlights?symbol="&amp;Ticker5,1,"Valuation Ratios","Dividend Yield"))</f>
        <v/>
      </c>
      <c r="H16" s="567" t="str">
        <f ca="1">IF(ISBLANK(Ticker6),"",[1]!RCHGetTableCell("http://www.reuters.com/finance/stocks/financialHighlights?symbol="&amp;Ticker6,1,"Valuation Ratios","Dividend Yield"))</f>
        <v/>
      </c>
    </row>
    <row r="17" spans="2:9">
      <c r="B17" s="420" t="s">
        <v>664</v>
      </c>
      <c r="C17">
        <f ca="1">[1]!RCHGetTableCell("http://www.reuters.com/finance/stocks/financialHighlights?symbol="&amp;Ticker,1,"Valuation Ratios"," Dividend Yield - 5")</f>
        <v>2.73</v>
      </c>
      <c r="D17" t="str">
        <f ca="1">IF(ISBLANK(Ticker2),"",[1]!RCHGetTableCell("http://www.reuters.com/finance/stocks/financialHighlights?symbol="&amp;Ticker2,1,"Valuation Ratios"," Dividend Yield - 5"))</f>
        <v/>
      </c>
      <c r="E17" t="str">
        <f ca="1">IF(ISBLANK(Ticker3),"",[1]!RCHGetTableCell("http://www.reuters.com/finance/stocks/financialHighlights?symbol="&amp;Ticker3,1,"Valuation Ratios"," Dividend Yield - 5"))</f>
        <v/>
      </c>
      <c r="F17" t="str">
        <f ca="1">IF(ISBLANK(Ticker4),"",[1]!RCHGetTableCell("http://www.reuters.com/finance/stocks/financialHighlights?symbol="&amp;Ticker4,1,"Valuation Ratios"," Dividend Yield - 5"))</f>
        <v/>
      </c>
      <c r="G17" t="str">
        <f ca="1">IF(ISBLANK(Ticker5),"",[1]!RCHGetTableCell("http://www.reuters.com/finance/stocks/financialHighlights?symbol="&amp;Ticker5,1,"Valuation Ratios"," Dividend Yield - 5"))</f>
        <v/>
      </c>
      <c r="H17" t="str">
        <f ca="1">IF(ISBLANK(Ticker6),"",[1]!RCHGetTableCell("http://www.reuters.com/finance/stocks/financialHighlights?symbol="&amp;Ticker6,1,"Valuation Ratios"," Dividend Yield - 5"))</f>
        <v/>
      </c>
    </row>
    <row r="18" spans="2:9" ht="15.75">
      <c r="B18" s="131" t="s">
        <v>636</v>
      </c>
      <c r="C18" s="567">
        <f ca="1">[1]!RCHGetTableCell("http://www.reuters.com/finance/stocks/financialHighlights?symbol="&amp;Ticker,1,"Valuation Ratios","Dividend 5")</f>
        <v>10.4</v>
      </c>
      <c r="D18" s="567" t="str">
        <f ca="1">IF(ISBLANK(Ticker2),"",[1]!RCHGetTableCell("http://www.reuters.com/finance/stocks/financialHighlights?symbol="&amp;Ticker2,1,"Valuation Ratios"," Dividend 5"))</f>
        <v/>
      </c>
      <c r="E18" s="567" t="str">
        <f ca="1">IF(ISBLANK(Ticker3),"",[1]!RCHGetTableCell("http://www.reuters.com/finance/stocks/financialHighlights?symbol="&amp;Ticker3,1,"Valuation Ratios","Dividend 5"))</f>
        <v/>
      </c>
      <c r="F18" s="567" t="str">
        <f ca="1">IF(ISBLANK(Ticker4),"",[1]!RCHGetTableCell("http://www.reuters.com/finance/stocks/financialHighlights?symbol="&amp;Ticker4,1,"Valuation Ratios","Dividend 5"))</f>
        <v/>
      </c>
      <c r="G18" s="567" t="str">
        <f ca="1">IF(ISBLANK(Ticker5),"",[1]!RCHGetTableCell("http://www.reuters.com/finance/stocks/financialHighlights?symbol="&amp;Ticker5,1,"Valuation Ratios","Dividend 5"))</f>
        <v/>
      </c>
      <c r="H18" s="567" t="str">
        <f ca="1">IF(ISBLANK(Ticker6),"",[1]!RCHGetTableCell("http://www.reuters.com/finance/stocks/financialHighlights?symbol="&amp;Ticker6,1,"Valuation Ratios","Dividend 5"))</f>
        <v/>
      </c>
      <c r="I18"/>
    </row>
    <row r="19" spans="2:9" ht="15.75">
      <c r="B19" s="131" t="s">
        <v>637</v>
      </c>
      <c r="C19" s="567">
        <f ca="1">[1]!RCHGetTableCell("http://www.reuters.com/finance/stocks/financialHighlights?symbol="&amp;Ticker,1,"Valuation Ratios","Payout Ratio")</f>
        <v>54.4</v>
      </c>
      <c r="D19" s="567" t="str">
        <f ca="1">IF(ISBLANK(Ticker2),"",[1]!RCHGetTableCell("http://www.reuters.com/finance/stocks/financialHighlights?symbol="&amp;Ticker2,1,"Valuation Ratios","Payout Ratio"))</f>
        <v/>
      </c>
      <c r="E19" s="567" t="str">
        <f ca="1">IF(ISBLANK(Ticker3),"",[1]!RCHGetTableCell("http://www.reuters.com/finance/stocks/financialHighlights?symbol="&amp;Ticker3,1,"Valuation Ratios","Payout Ratio"))</f>
        <v/>
      </c>
      <c r="F19" s="567" t="str">
        <f ca="1">IF(ISBLANK(Ticker4),"",[1]!RCHGetTableCell("http://www.reuters.com/finance/stocks/financialHighlights?symbol="&amp;Ticker4,1,"Valuation Ratios","Payout Ratio"))</f>
        <v/>
      </c>
      <c r="G19" s="567" t="str">
        <f ca="1">IF(ISBLANK(Ticker5),"",[1]!RCHGetTableCell("http://www.reuters.com/finance/stocks/financialHighlights?symbol="&amp;Ticker5,1,"Valuation Ratios","Payout Ratio"))</f>
        <v/>
      </c>
      <c r="H19" s="567" t="str">
        <f ca="1">IF(ISBLANK(Ticker6),"",[1]!RCHGetTableCell("http://www.reuters.com/finance/stocks/financialHighlights?symbol="&amp;Ticker6,1,"Valuation Ratios","Payout Ratio"))</f>
        <v/>
      </c>
      <c r="I19"/>
    </row>
    <row r="20" spans="2:9" ht="15.75">
      <c r="B20" s="131" t="s">
        <v>638</v>
      </c>
      <c r="C20" s="567">
        <f ca="1">[1]!RCHGetTableCell("http://www.reuters.com/finance/stocks/financialHighlights?symbol="&amp;Ticker,1,"Valuation Ratios","Sales (MRQ)")</f>
        <v>4.97</v>
      </c>
      <c r="D20" s="567" t="str">
        <f ca="1">IF(ISBLANK(Ticker2),"",[1]!RCHGetTableCell("http://www.reuters.com/finance/stocks/financialHighlights?symbol="&amp;Ticker2,1,"Valuation Ratios","Sales (MRQ)"))</f>
        <v/>
      </c>
      <c r="E20" s="567" t="str">
        <f ca="1">IF(ISBLANK(Ticker3),"",[1]!RCHGetTableCell("http://www.reuters.com/finance/stocks/financialHighlights?symbol="&amp;Ticker3,1,"Valuation Ratios","Sales (MRQ)"))</f>
        <v/>
      </c>
      <c r="F20" s="567" t="str">
        <f ca="1">IF(ISBLANK(Ticker4),"",[1]!RCHGetTableCell("http://www.reuters.com/finance/stocks/financialHighlights?symbol="&amp;Ticker4,1,"Valuation Ratios","Sales (MRQ)"))</f>
        <v/>
      </c>
      <c r="G20" s="567" t="str">
        <f ca="1">IF(ISBLANK(Ticker5),"",[1]!RCHGetTableCell("http://www.reuters.com/finance/stocks/financialHighlights?symbol="&amp;Ticker5,1,"Valuation Ratios","Sales (MRQ)"))</f>
        <v/>
      </c>
      <c r="H20" s="567" t="str">
        <f ca="1">IF(ISBLANK(Ticker6),"",[1]!RCHGetTableCell("http://www.reuters.com/finance/stocks/financialHighlights?symbol="&amp;Ticker6,1,"Valuation Ratios","Sales (MRQ)"))</f>
        <v/>
      </c>
      <c r="I20"/>
    </row>
    <row r="21" spans="2:9" ht="15.75">
      <c r="B21" s="131" t="s">
        <v>639</v>
      </c>
      <c r="C21" s="567">
        <f ca="1">[1]!RCHGetTableCell("http://www.reuters.com/finance/stocks/financialHighlights?symbol="&amp;Ticker,1,"Valuation Ratios","Sales (TTM")</f>
        <v>3.85</v>
      </c>
      <c r="D21" s="567" t="str">
        <f ca="1">IF(ISBLANK(Ticker2),"",[1]!RCHGetTableCell("http://www.reuters.com/finance/stocks/financialHighlights?symbol="&amp;Ticker2,1,"Valuation Ratios","Sales (TTM"))</f>
        <v/>
      </c>
      <c r="E21" s="567" t="str">
        <f ca="1">IF(ISBLANK(Ticker3),"",[1]!RCHGetTableCell("http://www.reuters.com/finance/stocks/financialHighlights?symbol="&amp;Ticker3,1,"Valuation Ratios","Sales (TTM"))</f>
        <v/>
      </c>
      <c r="F21" s="567" t="str">
        <f ca="1">IF(ISBLANK(Ticker4),"",[1]!RCHGetTableCell("http://www.reuters.com/finance/stocks/financialHighlights?symbol="&amp;Ticker4,1,"Valuation Ratios","Sales (TTM"))</f>
        <v/>
      </c>
      <c r="G21" s="567" t="str">
        <f ca="1">IF(ISBLANK(Ticker5),"",[1]!RCHGetTableCell("http://www.reuters.com/finance/stocks/financialHighlights?symbol="&amp;Ticker5,1,"Valuation Ratios","Sales (TTM"))</f>
        <v/>
      </c>
      <c r="H21" s="567" t="str">
        <f ca="1">IF(ISBLANK(Ticker6),"",[1]!RCHGetTableCell("http://www.reuters.com/finance/stocks/financialHighlights?symbol="&amp;Ticker6,1,"Valuation Ratios","Sales (TTM"))</f>
        <v/>
      </c>
      <c r="I21"/>
    </row>
    <row r="22" spans="2:9" ht="15.75">
      <c r="B22" s="131" t="s">
        <v>640</v>
      </c>
      <c r="C22" s="567">
        <f ca="1">[1]!RCHGetTableCell("http://www.reuters.com/finance/stocks/financialHighlights?symbol="&amp;Ticker,1,"Valuation Ratios","Sales - 5 Yr")</f>
        <v>7.35</v>
      </c>
      <c r="D22" s="567" t="str">
        <f ca="1">IF(ISBLANK(Ticker2),"",[1]!RCHGetTableCell("http://www.reuters.com/finance/stocks/financialHighlights?symbol="&amp;Ticker2,1,"Valuation Ratios","Sales - 5 Yr"))</f>
        <v/>
      </c>
      <c r="E22" s="567" t="str">
        <f ca="1">IF(ISBLANK(Ticker3),"",[1]!RCHGetTableCell("http://www.reuters.com/finance/stocks/financialHighlights?symbol="&amp;Ticker3,1,"Valuation Ratios","Sales - 5 Yr"))</f>
        <v/>
      </c>
      <c r="F22" s="567" t="str">
        <f ca="1">IF(ISBLANK(Ticker4),"",[1]!RCHGetTableCell("http://www.reuters.com/finance/stocks/financialHighlights?symbol="&amp;Ticker4,1,"Valuation Ratios","Sales - 5 Yr"))</f>
        <v/>
      </c>
      <c r="G22" s="567" t="str">
        <f ca="1">IF(ISBLANK(Ticker5),"",[1]!RCHGetTableCell("http://www.reuters.com/finance/stocks/financialHighlights?symbol="&amp;Ticker5,1,"Valuation Ratios","Sales - 5 Yr"))</f>
        <v/>
      </c>
      <c r="H22" s="567" t="str">
        <f ca="1">IF(ISBLANK(Ticker6),"",[1]!RCHGetTableCell("http://www.reuters.com/finance/stocks/financialHighlights?symbol="&amp;Ticker6,1,"Valuation Ratios","Sales - 5 Yr"))</f>
        <v/>
      </c>
      <c r="I22"/>
    </row>
    <row r="23" spans="2:9" ht="15.75">
      <c r="B23" s="131" t="s">
        <v>641</v>
      </c>
      <c r="C23" s="567">
        <f ca="1">[1]!RCHGetTableCell("http://www.reuters.com/finance/stocks/financialHighlights?symbol="&amp;Ticker,1,"Valuation Ratios","EPS (MRQ")</f>
        <v>19.32</v>
      </c>
      <c r="D23" s="567" t="str">
        <f ca="1">IF(ISBLANK(Ticker2),"",[1]!RCHGetTableCell("http://www.reuters.com/finance/stocks/financialHighlights?symbol="&amp;Ticker2,1,"Valuation Ratios","EPS (MRQ"))</f>
        <v/>
      </c>
      <c r="E23" s="567" t="str">
        <f ca="1">IF(ISBLANK(Ticker3),"",[1]!RCHGetTableCell("http://www.reuters.com/finance/stocks/financialHighlights?symbol="&amp;Ticker3,1,"Valuation Ratios","EPS (MRQ"))</f>
        <v/>
      </c>
      <c r="F23" s="567" t="str">
        <f ca="1">IF(ISBLANK(Ticker4),"",[1]!RCHGetTableCell("http://www.reuters.com/finance/stocks/financialHighlights?symbol="&amp;Ticker4,1,"Valuation Ratios","EPS (MRQ"))</f>
        <v/>
      </c>
      <c r="G23" s="567" t="str">
        <f ca="1">IF(ISBLANK(Ticker5),"",[1]!RCHGetTableCell("http://www.reuters.com/finance/stocks/financialHighlights?symbol="&amp;Ticker5,1,"Valuation Ratios","EPS (MRQ"))</f>
        <v/>
      </c>
      <c r="H23" s="567" t="str">
        <f ca="1">IF(ISBLANK(Ticker6),"",[1]!RCHGetTableCell("http://www.reuters.com/finance/stocks/financialHighlights?symbol="&amp;Ticker6,1,"Valuation Ratios","EPS (MRQ"))</f>
        <v/>
      </c>
      <c r="I23"/>
    </row>
    <row r="24" spans="2:9" ht="15.75">
      <c r="B24" s="131" t="s">
        <v>642</v>
      </c>
      <c r="C24" s="567">
        <f ca="1">[1]!RCHGetTableCell("http://www.reuters.com/finance/stocks/financialHighlights?symbol="&amp;Ticker,1,"Valuation Ratios","EPS (TTM")</f>
        <v>25.28</v>
      </c>
      <c r="D24" s="567" t="str">
        <f ca="1">IF(ISBLANK(Ticker2),"",[1]!RCHGetTableCell("http://www.reuters.com/finance/stocks/financialHighlights?symbol="&amp;Ticker2,1,"Valuation Ratios","EPS (TTM"))</f>
        <v/>
      </c>
      <c r="E24" s="567" t="str">
        <f ca="1">IF(ISBLANK(Ticker3),"",[1]!RCHGetTableCell("http://www.reuters.com/finance/stocks/financialHighlights?symbol="&amp;Ticker3,1,"Valuation Ratios","EPS (TTM"))</f>
        <v/>
      </c>
      <c r="F24" s="567" t="str">
        <f ca="1">IF(ISBLANK(Ticker4),"",[1]!RCHGetTableCell("http://www.reuters.com/finance/stocks/financialHighlights?symbol="&amp;Ticker4,1,"Valuation Ratios","EPS (TTM"))</f>
        <v/>
      </c>
      <c r="G24" s="567" t="str">
        <f ca="1">IF(ISBLANK(Ticker5),"",[1]!RCHGetTableCell("http://www.reuters.com/finance/stocks/financialHighlights?symbol="&amp;Ticker5,1,"Valuation Ratios","EPS (TTM"))</f>
        <v/>
      </c>
      <c r="H24" s="567" t="str">
        <f ca="1">IF(ISBLANK(Ticker6),"",[1]!RCHGetTableCell("http://www.reuters.com/finance/stocks/financialHighlights?symbol="&amp;Ticker6,1,"Valuation Ratios","EPS (TTM"))</f>
        <v/>
      </c>
      <c r="I24"/>
    </row>
    <row r="25" spans="2:9" ht="15.75">
      <c r="B25" s="131" t="s">
        <v>660</v>
      </c>
      <c r="C25" s="567">
        <f ca="1">[1]!RCHGetTableCell("http://www.reuters.com/finance/stocks/financialHighlights?symbol="&amp;Ticker,1,"Valuation Ratios","EPS - 5 Y")</f>
        <v>7.99</v>
      </c>
      <c r="D25" s="567" t="str">
        <f ca="1">IF(ISBLANK(Ticker2),"",[1]!RCHGetTableCell("http://www.reuters.com/finance/stocks/financialHighlights?symbol="&amp;Ticker2,1,"Valuation Ratios","EPS - 5 Y"))</f>
        <v/>
      </c>
      <c r="E25" s="567" t="str">
        <f ca="1">IF(ISBLANK(Ticker3),"",[1]!RCHGetTableCell("http://www.reuters.com/finance/stocks/financialHighlights?symbol="&amp;Ticker3,1,"Valuation Ratios","EPS - 5 Y"))</f>
        <v/>
      </c>
      <c r="F25" s="567" t="str">
        <f ca="1">IF(ISBLANK(Ticker4),"",[1]!RCHGetTableCell("http://www.reuters.com/finance/stocks/financialHighlights?symbol="&amp;Ticker4,1,"Valuation Ratios","EPS - 5 Y"))</f>
        <v/>
      </c>
      <c r="G25" s="567" t="str">
        <f ca="1">IF(ISBLANK(Ticker5),"",[1]!RCHGetTableCell("http://www.reuters.com/finance/stocks/financialHighlights?symbol="&amp;Ticker5,1,"Valuation Ratios","EPS - 5 Y"))</f>
        <v/>
      </c>
      <c r="H25" s="567" t="str">
        <f ca="1">IF(ISBLANK(Ticker6),"",[1]!RCHGetTableCell("http://www.reuters.com/finance/stocks/financialHighlights?symbol="&amp;Ticker6,1,"Valuation Ratios","EPS - 5 Y"))</f>
        <v/>
      </c>
      <c r="I25"/>
    </row>
    <row r="26" spans="2:9" ht="15.75">
      <c r="B26" s="131" t="s">
        <v>643</v>
      </c>
      <c r="C26" s="567">
        <f ca="1">[1]!RCHGetTableCell("http://www.reuters.com/finance/stocks/financialHighlights?symbol="&amp;Ticker,1,"Valuation Ratios"," Quick Ratio (MRQ)")</f>
        <v>1.1000000000000001</v>
      </c>
      <c r="D26" s="567" t="str">
        <f ca="1">IF(ISBLANK(Ticker2),"",[1]!RCHGetTableCell("http://www.reuters.com/finance/stocks/financialHighlights?symbol="&amp;Ticker2,1,"Valuation Ratios","Quick Ratio (MRQ"))</f>
        <v/>
      </c>
      <c r="E26" s="567" t="str">
        <f ca="1">IF(ISBLANK(Ticker3),"",[1]!RCHGetTableCell("http://www.reuters.com/finance/stocks/financialHighlights?symbol="&amp;Ticker3,1,"Valuation Ratios","Quick Ratio (MRQ"))</f>
        <v/>
      </c>
      <c r="F26" s="567" t="str">
        <f ca="1">IF(ISBLANK(Ticker4),"",[1]!RCHGetTableCell("http://www.reuters.com/finance/stocks/financialHighlights?symbol="&amp;Ticker4,1,"Valuation Ratios","Quick Ratio (MRQ"))</f>
        <v/>
      </c>
      <c r="G26" s="567" t="str">
        <f ca="1">IF(ISBLANK(Ticker5),"",[1]!RCHGetTableCell("http://www.reuters.com/finance/stocks/financialHighlights?symbol="&amp;Ticker5,1,"Valuation Ratios","Quick Ratio (MRQ"))</f>
        <v/>
      </c>
      <c r="H26" s="567" t="str">
        <f ca="1">IF(ISBLANK(Ticker6),"",[1]!RCHGetTableCell("http://www.reuters.com/finance/stocks/financialHighlights?symbol="&amp;Ticker6,1,"Valuation Ratios","Quick Ratio (MRQ"))</f>
        <v/>
      </c>
      <c r="I26"/>
    </row>
    <row r="27" spans="2:9" ht="15.75">
      <c r="B27" s="131" t="s">
        <v>644</v>
      </c>
      <c r="C27" s="567">
        <f ca="1">[1]!RCHGetTableCell("http://www.reuters.com/finance/stocks/financialHighlights?symbol="&amp;Ticker,1,"Valuation Ratios","Current Ratio (MRQ")</f>
        <v>1.27</v>
      </c>
      <c r="D27" s="567" t="str">
        <f ca="1">IF(ISBLANK(Ticker2),"",[1]!RCHGetTableCell("http://www.reuters.com/finance/stocks/financialHighlights?symbol="&amp;Ticker2,1,"Valuation Ratios","Current Ratio (MRQ"))</f>
        <v/>
      </c>
      <c r="E27" s="567" t="str">
        <f ca="1">IF(ISBLANK(Ticker3),"",[1]!RCHGetTableCell("http://www.reuters.com/finance/stocks/financialHighlights?symbol="&amp;Ticker3,1,"Valuation Ratios","Current Ratio (MRQ"))</f>
        <v/>
      </c>
      <c r="F27" s="567" t="str">
        <f ca="1">IF(ISBLANK(Ticker4),"",[1]!RCHGetTableCell("http://www.reuters.com/finance/stocks/financialHighlights?symbol="&amp;Ticker4,1,"Valuation Ratios","Current Ratio (MRQ"))</f>
        <v/>
      </c>
      <c r="G27" s="567" t="str">
        <f ca="1">IF(ISBLANK(Ticker5),"",[1]!RCHGetTableCell("http://www.reuters.com/finance/stocks/financialHighlights?symbol="&amp;Ticker5,1,"Valuation Ratios","Current Ratio (MRQ"))</f>
        <v/>
      </c>
      <c r="H27" s="567" t="str">
        <f ca="1">IF(ISBLANK(Ticker6),"",[1]!RCHGetTableCell("http://www.reuters.com/finance/stocks/financialHighlights?symbol="&amp;Ticker6,1,"Valuation Ratios","Current Ratio (MRQ"))</f>
        <v/>
      </c>
      <c r="I27"/>
    </row>
    <row r="28" spans="2:9" ht="15.75">
      <c r="B28" s="131" t="s">
        <v>645</v>
      </c>
      <c r="C28" s="567">
        <f ca="1">[1]!RCHGetTableCell("http://www.reuters.com/finance/stocks/financialHighlights?symbol="&amp;Ticker,1,"Valuation Ratios"," LT Debt to Equity")</f>
        <v>17.77</v>
      </c>
      <c r="D28" s="567" t="str">
        <f ca="1">IF(ISBLANK(Ticker2),"",[1]!RCHGetTableCell("http://www.reuters.com/finance/stocks/financialHighlights?symbol="&amp;Ticker2,1,"Valuation Ratios"," LT Debt to Equity"))</f>
        <v/>
      </c>
      <c r="E28" s="567" t="str">
        <f ca="1">IF(ISBLANK(Ticker3),"",[1]!RCHGetTableCell("http://www.reuters.com/finance/stocks/financialHighlights?symbol="&amp;Ticker3,1,"Valuation Ratios"," LT Debt to Equity"))</f>
        <v/>
      </c>
      <c r="F28" s="567" t="str">
        <f ca="1">IF(ISBLANK(Ticker4),"",[1]!RCHGetTableCell("http://www.reuters.com/finance/stocks/financialHighlights?symbol="&amp;Ticker4,1,"Valuation Ratios"," LT Debt to Equity"))</f>
        <v/>
      </c>
      <c r="G28" s="567" t="str">
        <f ca="1">IF(ISBLANK(Ticker5),"",[1]!RCHGetTableCell("http://www.reuters.com/finance/stocks/financialHighlights?symbol="&amp;Ticker5,1,"Valuation Ratios"," LT Debt to Equity"))</f>
        <v/>
      </c>
      <c r="H28" s="567" t="str">
        <f ca="1">IF(ISBLANK(Ticker6),"",[1]!RCHGetTableCell("http://www.reuters.com/finance/stocks/financialHighlights?symbol="&amp;Ticker6,1,"Valuation Ratios"," LT Debt to Equity"))</f>
        <v/>
      </c>
      <c r="I28"/>
    </row>
    <row r="29" spans="2:9" ht="15.75">
      <c r="B29" s="131" t="s">
        <v>646</v>
      </c>
      <c r="C29" s="567">
        <f ca="1">[1]!RCHGetTableCell("http://www.reuters.com/finance/stocks/financialHighlights?symbol="&amp;Ticker,1,"Valuation Ratios","Total Debt to Equity")</f>
        <v>46.78</v>
      </c>
      <c r="D29" s="567" t="str">
        <f ca="1">IF(ISBLANK(Ticker2),"",[1]!RCHGetTableCell("http://www.reuters.com/finance/stocks/financialHighlights?symbol="&amp;Ticker2,1,"Valuation Ratios","Total Debt to Equity"))</f>
        <v/>
      </c>
      <c r="E29" s="567" t="str">
        <f ca="1">IF(ISBLANK(Ticker3),"",[1]!RCHGetTableCell("http://www.reuters.com/finance/stocks/financialHighlights?symbol="&amp;Ticker3,1,"Valuation Ratios"," Total Debt to Equity"))</f>
        <v/>
      </c>
      <c r="F29" s="567" t="str">
        <f ca="1">IF(ISBLANK(Ticker4),"",[1]!RCHGetTableCell("http://www.reuters.com/finance/stocks/financialHighlights?symbol="&amp;Ticker4,1,"Valuation Ratios"," Total Debt to Equity"))</f>
        <v/>
      </c>
      <c r="G29" s="567" t="str">
        <f ca="1">IF(ISBLANK(Ticker5),"",[1]!RCHGetTableCell("http://www.reuters.com/finance/stocks/financialHighlights?symbol="&amp;Ticker5,1,"Valuation Ratios"," Total Debt to Equity"))</f>
        <v/>
      </c>
      <c r="H29" s="567" t="str">
        <f ca="1">IF(ISBLANK(Ticker6),"",[1]!RCHGetTableCell("http://www.reuters.com/finance/stocks/financialHighlights?symbol="&amp;Ticker6,1,"Valuation Ratios"," Total Debt to Equity"))</f>
        <v/>
      </c>
      <c r="I29"/>
    </row>
    <row r="30" spans="2:9" ht="15.75">
      <c r="B30" s="131" t="s">
        <v>647</v>
      </c>
      <c r="C30" s="567">
        <f ca="1">[1]!RCHGetTableCell("http://www.reuters.com/finance/stocks/financialHighlights?symbol="&amp;Ticker,1,"Valuation Ratios","Gross Margin (TTM")</f>
        <v>64.78</v>
      </c>
      <c r="D30" s="567" t="str">
        <f ca="1">IF(ISBLANK(Ticker2),"",[1]!RCHGetTableCell("http://www.reuters.com/finance/stocks/financialHighlights?symbol="&amp;Ticker2,1,"Valuation Ratios","Gross Margin (TTM"))</f>
        <v/>
      </c>
      <c r="E30" s="567" t="str">
        <f ca="1">IF(ISBLANK(Ticker3),"",[1]!RCHGetTableCell("http://www.reuters.com/finance/stocks/financialHighlights?symbol="&amp;Ticker3,1,"Valuation Ratios"," Gross Margin (TTM"))</f>
        <v/>
      </c>
      <c r="F30" s="567" t="str">
        <f ca="1">IF(ISBLANK(Ticker4),"",[1]!RCHGetTableCell("http://www.reuters.com/finance/stocks/financialHighlights?symbol="&amp;Ticker4,1,"Valuation Ratios"," Gross Margin (TTM"))</f>
        <v/>
      </c>
      <c r="G30" s="567" t="str">
        <f ca="1">IF(ISBLANK(Ticker5),"",[1]!RCHGetTableCell("http://www.reuters.com/finance/stocks/financialHighlights?symbol="&amp;Ticker5,1,"Valuation Ratios"," Gross Margin (TTM"))</f>
        <v/>
      </c>
      <c r="H30" s="567" t="str">
        <f ca="1">IF(ISBLANK(Ticker6),"",[1]!RCHGetTableCell("http://www.reuters.com/finance/stocks/financialHighlights?symbol="&amp;Ticker6,1,"Valuation Ratios"," Gross Margin (TTM"))</f>
        <v/>
      </c>
      <c r="I30"/>
    </row>
    <row r="31" spans="2:9" ht="15.75">
      <c r="B31" s="131" t="s">
        <v>648</v>
      </c>
      <c r="C31" s="567">
        <f ca="1">[1]!RCHGetTableCell("http://www.reuters.com/finance/stocks/financialHighlights?symbol="&amp;Ticker,1,"Valuation Ratios","Gross Margin - 5 Yr")</f>
        <v>64.58</v>
      </c>
      <c r="D31" s="567" t="str">
        <f ca="1">IF(ISBLANK(Ticker2),"",[1]!RCHGetTableCell("http://www.reuters.com/finance/stocks/financialHighlights?symbol="&amp;Ticker2,1,"Valuation Ratios","Gross Margin - 5 Yr"))</f>
        <v/>
      </c>
      <c r="E31" s="567" t="str">
        <f ca="1">IF(ISBLANK(Ticker3),"",[1]!RCHGetTableCell("http://www.reuters.com/finance/stocks/financialHighlights?symbol="&amp;Ticker3,1,"Valuation Ratios"," Gross Margin - 5 Yr"))</f>
        <v/>
      </c>
      <c r="F31" s="567" t="str">
        <f ca="1">IF(ISBLANK(Ticker4),"",[1]!RCHGetTableCell("http://www.reuters.com/finance/stocks/financialHighlights?symbol="&amp;Ticker4,1,"Valuation Ratios"," Gross Margin - 5 Yr"))</f>
        <v/>
      </c>
      <c r="G31" s="567" t="str">
        <f ca="1">IF(ISBLANK(Ticker5),"",[1]!RCHGetTableCell("http://www.reuters.com/finance/stocks/financialHighlights?symbol="&amp;Ticker5,1,"Valuation Ratios"," Gross Margin - 5 Yr"))</f>
        <v/>
      </c>
      <c r="H31" s="567" t="str">
        <f ca="1">IF(ISBLANK(Ticker6),"",[1]!RCHGetTableCell("http://www.reuters.com/finance/stocks/financialHighlights?symbol="&amp;Ticker6,1,"Valuation Ratios"," Gross Margin - 5 Yr"))</f>
        <v/>
      </c>
    </row>
    <row r="32" spans="2:9" ht="15.75">
      <c r="B32" s="131" t="s">
        <v>649</v>
      </c>
      <c r="C32" s="567">
        <f ca="1">[1]!RCHGetTableCell("http://www.reuters.com/finance/stocks/financialHighlights?symbol="&amp;Ticker,1,"Valuation Ratios","Operating Margin (TTM")</f>
        <v>27.28</v>
      </c>
      <c r="D32" s="567" t="str">
        <f ca="1">IF(ISBLANK(Ticker2),"",[1]!RCHGetTableCell("http://www.reuters.com/finance/stocks/financialHighlights?symbol="&amp;Ticker2,1,"Valuation Ratios","Operating Margin (TTM"))</f>
        <v/>
      </c>
      <c r="E32" s="567" t="str">
        <f ca="1">IF(ISBLANK(Ticker3),"",[1]!RCHGetTableCell("http://www.reuters.com/finance/stocks/financialHighlights?symbol="&amp;Ticker3,1,"Valuation Ratios"," Operating Margin (TTM"))</f>
        <v/>
      </c>
      <c r="F32" s="567" t="str">
        <f ca="1">IF(ISBLANK(Ticker4),"",[1]!RCHGetTableCell("http://www.reuters.com/finance/stocks/financialHighlights?symbol="&amp;Ticker4,1,"Valuation Ratios"," Operating Margin (TTM"))</f>
        <v/>
      </c>
      <c r="G32" s="567" t="str">
        <f ca="1">IF(ISBLANK(Ticker5),"",[1]!RCHGetTableCell("http://www.reuters.com/finance/stocks/financialHighlights?symbol="&amp;Ticker5,1,"Valuation Ratios"," Operating Margin (TTM"))</f>
        <v/>
      </c>
      <c r="H32" s="567" t="str">
        <f ca="1">IF(ISBLANK(Ticker6),"",[1]!RCHGetTableCell("http://www.reuters.com/finance/stocks/financialHighlights?symbol="&amp;Ticker6,1,"Valuation Ratios"," Operating Margin (TTM"))</f>
        <v/>
      </c>
    </row>
    <row r="33" spans="2:16" ht="15.75">
      <c r="B33" s="131" t="s">
        <v>650</v>
      </c>
      <c r="C33" s="567">
        <f ca="1">[1]!RCHGetTableCell("http://www.reuters.com/finance/stocks/financialHighlights?symbol="&amp;Ticker,1,"Valuation Ratios","Operating Margin - 5 Yr")</f>
        <v>26.13</v>
      </c>
      <c r="D33" s="567" t="str">
        <f ca="1">IF(ISBLANK(Ticker2),"",[1]!RCHGetTableCell("http://www.reuters.com/finance/stocks/financialHighlights?symbol="&amp;Ticker2,1,"Valuation Ratios","Operating Margin - 5 Yr"))</f>
        <v/>
      </c>
      <c r="E33" s="567" t="str">
        <f ca="1">IF(ISBLANK(Ticker3),"",[1]!RCHGetTableCell("http://www.reuters.com/finance/stocks/financialHighlights?symbol="&amp;Ticker3,1,"Valuation Ratios"," Operating Margin - 5 Yr"))</f>
        <v/>
      </c>
      <c r="F33" s="567" t="str">
        <f ca="1">IF(ISBLANK(Ticker4),"",[1]!RCHGetTableCell("http://www.reuters.com/finance/stocks/financialHighlights?symbol="&amp;Ticker4,1,"Valuation Ratios"," Operating Margin - 5 Yr"))</f>
        <v/>
      </c>
      <c r="G33" s="567" t="str">
        <f ca="1">IF(ISBLANK(Ticker5),"",[1]!RCHGetTableCell("http://www.reuters.com/finance/stocks/financialHighlights?symbol="&amp;Ticker5,1,"Valuation Ratios"," Operating Margin - 5 Yr"))</f>
        <v/>
      </c>
      <c r="H33" s="567" t="str">
        <f ca="1">IF(ISBLANK(Ticker6),"",[1]!RCHGetTableCell("http://www.reuters.com/finance/stocks/financialHighlights?symbol="&amp;Ticker6,1,"Valuation Ratios"," Operating Margin - 5 Yr"))</f>
        <v/>
      </c>
    </row>
    <row r="34" spans="2:16" ht="15.75">
      <c r="B34" s="131" t="s">
        <v>651</v>
      </c>
      <c r="C34" s="567">
        <f ca="1">[1]!RCHGetTableCell("http://www.reuters.com/finance/stocks/financialHighlights?symbol="&amp;Ticker,1,"Valuation Ratios","Net Profit Margin (TTM")</f>
        <v>22.88</v>
      </c>
      <c r="D34" s="567" t="str">
        <f ca="1">IF(ISBLANK(Ticker2),"",[1]!RCHGetTableCell("http://www.reuters.com/finance/stocks/financialHighlights?symbol="&amp;Ticker2,1,"Valuation Ratios","Net Profit Margin (TTM"))</f>
        <v/>
      </c>
      <c r="E34" s="567" t="str">
        <f ca="1">IF(ISBLANK(Ticker3),"",[1]!RCHGetTableCell("http://www.reuters.com/finance/stocks/financialHighlights?symbol="&amp;Ticker3,1,"Valuation Ratios","Net Profit Margin (TTM"))</f>
        <v/>
      </c>
      <c r="F34" s="567" t="str">
        <f ca="1">IF(ISBLANK(Ticker4),"",[1]!RCHGetTableCell("http://www.reuters.com/finance/stocks/financialHighlights?symbol="&amp;Ticker4,1,"Valuation Ratios"," Net Profit Margin (TTM"))</f>
        <v/>
      </c>
      <c r="G34" s="567" t="str">
        <f ca="1">IF(ISBLANK(Ticker5),"",[1]!RCHGetTableCell("http://www.reuters.com/finance/stocks/financialHighlights?symbol="&amp;Ticker5,1,"Valuation Ratios"," Net Profit Margin (TTM"))</f>
        <v/>
      </c>
      <c r="H34" s="567" t="str">
        <f ca="1">IF(ISBLANK(Ticker6),"",[1]!RCHGetTableCell("http://www.reuters.com/finance/stocks/financialHighlights?symbol="&amp;Ticker6,1,"Valuation Ratios"," Net Profit Margin (TTM"))</f>
        <v/>
      </c>
    </row>
    <row r="35" spans="2:16" ht="15.75">
      <c r="B35" s="131" t="s">
        <v>652</v>
      </c>
      <c r="C35" s="567">
        <f ca="1">[1]!RCHGetTableCell("http://www.reuters.com/finance/stocks/financialHighlights?symbol="&amp;Ticker,1,"Valuation Ratios","Net Profit Margin - 5 Yr")</f>
        <v>20.69</v>
      </c>
      <c r="D35" s="567" t="str">
        <f ca="1">IF(ISBLANK(Ticker2),"",[1]!RCHGetTableCell("http://www.reuters.com/finance/stocks/financialHighlights?symbol="&amp;Ticker2,1,"Valuation Ratios","Net Profit Margin - 5 Yr"))</f>
        <v/>
      </c>
      <c r="E35" s="567" t="str">
        <f ca="1">IF(ISBLANK(Ticker3),"",[1]!RCHGetTableCell("http://www.reuters.com/finance/stocks/financialHighlights?symbol="&amp;Ticker3,1,"Valuation Ratios","Net Profit Margin - 5 Yr"))</f>
        <v/>
      </c>
      <c r="F35" s="567" t="str">
        <f ca="1">IF(ISBLANK(Ticker4),"",[1]!RCHGetTableCell("http://www.reuters.com/finance/stocks/financialHighlights?symbol="&amp;Ticker4,1,"Valuation Ratios"," Net Profit Margin - 5 Yr"))</f>
        <v/>
      </c>
      <c r="G35" s="567" t="str">
        <f ca="1">IF(ISBLANK(Ticker5),"",[1]!RCHGetTableCell("http://www.reuters.com/finance/stocks/financialHighlights?symbol="&amp;Ticker5,1,"Valuation Ratios"," Net Profit Margin - 5 Yr"))</f>
        <v/>
      </c>
      <c r="H35" s="567" t="str">
        <f ca="1">IF(ISBLANK(Ticker6),"",[1]!RCHGetTableCell("http://www.reuters.com/finance/stocks/financialHighlights?symbol="&amp;Ticker6,1,"Valuation Ratios"," Net Profit Margin - 5 Yr"))</f>
        <v/>
      </c>
    </row>
    <row r="36" spans="2:16" ht="15.75">
      <c r="B36" s="131" t="s">
        <v>653</v>
      </c>
      <c r="C36" s="567">
        <f ca="1">[1]!RCHGetTableCell("http://www.reuters.com/finance/stocks/financialHighlights?symbol="&amp;Ticker,1,"Valuation Ratios","Return On Assets (TTM")</f>
        <v>15.85</v>
      </c>
      <c r="D36" s="567" t="str">
        <f ca="1">IF(ISBLANK(Ticker2),"",[1]!RCHGetTableCell("http://www.reuters.com/finance/stocks/financialHighlights?symbol="&amp;Ticker2,1,"Valuation Ratios","Return On Assets (TTM"))</f>
        <v/>
      </c>
      <c r="E36" s="567" t="str">
        <f ca="1">IF(ISBLANK(Ticker3),"",[1]!RCHGetTableCell("http://www.reuters.com/finance/stocks/financialHighlights?symbol="&amp;Ticker3,1,"Valuation Ratios","Return On Assets (TTM"))</f>
        <v/>
      </c>
      <c r="F36" s="567" t="str">
        <f ca="1">IF(ISBLANK(Ticker4),"",[1]!RCHGetTableCell("http://www.reuters.com/finance/stocks/financialHighlights?symbol="&amp;Ticker4,1,"Valuation Ratios"," Return On Assets (TTM"))</f>
        <v/>
      </c>
      <c r="G36" s="567" t="str">
        <f ca="1">IF(ISBLANK(Ticker5),"",[1]!RCHGetTableCell("http://www.reuters.com/finance/stocks/financialHighlights?symbol="&amp;Ticker5,1,"Valuation Ratios"," Return On Assets (TTM"))</f>
        <v/>
      </c>
      <c r="H36" s="567" t="str">
        <f ca="1">IF(ISBLANK(Ticker6),"",[1]!RCHGetTableCell("http://www.reuters.com/finance/stocks/financialHighlights?symbol="&amp;Ticker6,1,"Valuation Ratios"," Return On Assets (TTM"))</f>
        <v/>
      </c>
    </row>
    <row r="37" spans="2:16" ht="15.75">
      <c r="B37" s="131" t="s">
        <v>654</v>
      </c>
      <c r="C37" s="567">
        <f ca="1">[1]!RCHGetTableCell("http://www.reuters.com/finance/stocks/financialHighlights?symbol="&amp;Ticker,1,"Valuation Ratios","Return On Assets - 5 Yr")</f>
        <v>15.7</v>
      </c>
      <c r="D37" s="567" t="str">
        <f ca="1">IF(ISBLANK(Ticker2),"",[1]!RCHGetTableCell("http://www.reuters.com/finance/stocks/financialHighlights?symbol="&amp;Ticker2,1,"Valuation Ratios","Return On Assets - 5 Yr"))</f>
        <v/>
      </c>
      <c r="E37" s="567" t="str">
        <f ca="1">IF(ISBLANK(Ticker3),"",[1]!RCHGetTableCell("http://www.reuters.com/finance/stocks/financialHighlights?symbol="&amp;Ticker3,1,"Valuation Ratios","Return On Assets - 5 Yr"))</f>
        <v/>
      </c>
      <c r="F37" s="567" t="str">
        <f ca="1">IF(ISBLANK(Ticker4),"",[1]!RCHGetTableCell("http://www.reuters.com/finance/stocks/financialHighlights?symbol="&amp;Ticker4,1,"Valuation Ratios"," Return On Assets - 5 Yr"))</f>
        <v/>
      </c>
      <c r="G37" s="567" t="str">
        <f ca="1">IF(ISBLANK(Ticker5),"",[1]!RCHGetTableCell("http://www.reuters.com/finance/stocks/financialHighlights?symbol="&amp;Ticker5,1,"Valuation Ratios"," Return On Assets - 5 Yr"))</f>
        <v/>
      </c>
      <c r="H37" s="567" t="str">
        <f ca="1">IF(ISBLANK(Ticker6),"",[1]!RCHGetTableCell("http://www.reuters.com/finance/stocks/financialHighlights?symbol="&amp;Ticker6,1,"Valuation Ratios"," Return On Assets - 5 Yr"))</f>
        <v/>
      </c>
    </row>
    <row r="38" spans="2:16" ht="15.75">
      <c r="B38" s="131" t="s">
        <v>655</v>
      </c>
      <c r="C38" s="567">
        <f ca="1">[1]!RCHGetTableCell("http://www.reuters.com/finance/stocks/financialHighlights?symbol="&amp;Ticker,1,"Valuation Ratios","Return On Equity (TTM")</f>
        <v>31.11</v>
      </c>
      <c r="D38" s="567" t="str">
        <f ca="1">IF(ISBLANK(Ticker2),"",[1]!RCHGetTableCell("http://www.reuters.com/finance/stocks/financialHighlights?symbol="&amp;Ticker2,1,"Valuation Ratios","Return On Equity (TTM"))</f>
        <v/>
      </c>
      <c r="E38" s="567" t="str">
        <f ca="1">IF(ISBLANK(Ticker3),"",[1]!RCHGetTableCell("http://www.reuters.com/finance/stocks/financialHighlights?symbol="&amp;Ticker3,1,"Valuation Ratios","Return On Equity (TTM"))</f>
        <v/>
      </c>
      <c r="F38" s="567" t="str">
        <f ca="1">IF(ISBLANK(Ticker4),"",[1]!RCHGetTableCell("http://www.reuters.com/finance/stocks/financialHighlights?symbol="&amp;Ticker4,1,"Valuation Ratios"," Return On Equity (TTM"))</f>
        <v/>
      </c>
      <c r="G38" s="567" t="str">
        <f ca="1">IF(ISBLANK(Ticker5),"",[1]!RCHGetTableCell("http://www.reuters.com/finance/stocks/financialHighlights?symbol="&amp;Ticker5,1,"Valuation Ratios"," Return On Equity (TTM"))</f>
        <v/>
      </c>
      <c r="H38" s="567" t="str">
        <f ca="1">IF(ISBLANK(Ticker6),"",[1]!RCHGetTableCell("http://www.reuters.com/finance/stocks/financialHighlights?symbol="&amp;Ticker6,1,"Valuation Ratios"," Return On Equity (TTM"))</f>
        <v/>
      </c>
    </row>
    <row r="39" spans="2:16" ht="15.75">
      <c r="B39" s="131" t="s">
        <v>656</v>
      </c>
      <c r="C39" s="567">
        <f ca="1">[1]!RCHGetTableCell("http://www.reuters.com/finance/stocks/financialHighlights?symbol="&amp;Ticker,1,"Valuation Ratios","Return On Equity - 5 Yr")</f>
        <v>29.8</v>
      </c>
      <c r="D39" s="567" t="str">
        <f ca="1">IF(ISBLANK(Ticker2),"",[1]!RCHGetTableCell("http://www.reuters.com/finance/stocks/financialHighlights?symbol="&amp;Ticker2,1,"Valuation Ratios","Return On Equity - 5 Yr"))</f>
        <v/>
      </c>
      <c r="E39" s="567" t="str">
        <f ca="1">IF(ISBLANK(Ticker3),"",[1]!RCHGetTableCell("http://www.reuters.com/finance/stocks/financialHighlights?symbol="&amp;Ticker3,1,"Valuation Ratios","Return On Equity - 5 Yr"))</f>
        <v/>
      </c>
      <c r="F39" s="567" t="str">
        <f ca="1">IF(ISBLANK(Ticker4),"",[1]!RCHGetTableCell("http://www.reuters.com/finance/stocks/financialHighlights?symbol="&amp;Ticker4,1,"Valuation Ratios"," Return On Equity - 5 Yr"))</f>
        <v/>
      </c>
      <c r="G39" s="567" t="str">
        <f ca="1">IF(ISBLANK(Ticker5),"",[1]!RCHGetTableCell("http://www.reuters.com/finance/stocks/financialHighlights?symbol="&amp;Ticker5,1,"Valuation Ratios"," Return On Equity - 5 Yr"))</f>
        <v/>
      </c>
      <c r="H39" s="567" t="str">
        <f ca="1">IF(ISBLANK(Ticker6),"",[1]!RCHGetTableCell("http://www.reuters.com/finance/stocks/financialHighlights?symbol="&amp;Ticker6,1,"Valuation Ratios"," Return On Equity - 5 Yr"))</f>
        <v/>
      </c>
    </row>
    <row r="40" spans="2:16" ht="15.75">
      <c r="B40" s="131" t="s">
        <v>657</v>
      </c>
      <c r="C40" s="567">
        <f ca="1">[1]!RCHGetTableCell("http://www.reuters.com/finance/stocks/financialHighlights?symbol="&amp;Ticker,1,"Valuation Ratios","Receivable Turnover (TTM")</f>
        <v>9.16</v>
      </c>
      <c r="D40" s="567" t="str">
        <f ca="1">IF(ISBLANK(Ticker2),"",[1]!RCHGetTableCell("http://www.reuters.com/finance/stocks/financialHighlights?symbol="&amp;Ticker2,1,"Valuation Ratios","Receivable Turnover (TTM"))</f>
        <v/>
      </c>
      <c r="E40" s="567" t="str">
        <f ca="1">IF(ISBLANK(Ticker3),"",[1]!RCHGetTableCell("http://www.reuters.com/finance/stocks/financialHighlights?symbol="&amp;Ticker3,1,"Valuation Ratios","Receivable Turnover (TTM"))</f>
        <v/>
      </c>
      <c r="F40" s="567" t="str">
        <f ca="1">IF(ISBLANK(Ticker4),"",[1]!RCHGetTableCell("http://www.reuters.com/finance/stocks/financialHighlights?symbol="&amp;Ticker4,1,"Valuation Ratios"," Receivable Turnover (TTM"))</f>
        <v/>
      </c>
      <c r="G40" s="567" t="str">
        <f ca="1">IF(ISBLANK(Ticker5),"",[1]!RCHGetTableCell("http://www.reuters.com/finance/stocks/financialHighlights?symbol="&amp;Ticker5,1,"Valuation Ratios"," Receivable Turnover (TTM"))</f>
        <v/>
      </c>
      <c r="H40" s="567" t="str">
        <f ca="1">IF(ISBLANK(Ticker6),"",[1]!RCHGetTableCell("http://www.reuters.com/finance/stocks/financialHighlights?symbol="&amp;Ticker6,1,"Valuation Ratios"," Receivable Turnover (TTM"))</f>
        <v/>
      </c>
    </row>
    <row r="41" spans="2:16" ht="15.75">
      <c r="B41" s="131" t="s">
        <v>658</v>
      </c>
      <c r="C41" s="567">
        <f ca="1">[1]!RCHGetTableCell("http://www.reuters.com/finance/stocks/financialHighlights?symbol="&amp;Ticker,1,"Valuation Ratios","Inventory Turnover (TTM")</f>
        <v>4.7699999999999996</v>
      </c>
      <c r="D41" s="567" t="str">
        <f ca="1">IF(ISBLANK(Ticker2),"",[1]!RCHGetTableCell("http://www.reuters.com/finance/stocks/financialHighlights?symbol="&amp;Ticker2,1,"Valuation Ratios","Inventory Turnover (TTM"))</f>
        <v/>
      </c>
      <c r="E41" s="567" t="str">
        <f ca="1">IF(ISBLANK(Ticker3),"",[1]!RCHGetTableCell("http://www.reuters.com/finance/stocks/financialHighlights?symbol="&amp;Ticker3,1,"Valuation Ratios","Inventory Turnover (TTM"))</f>
        <v/>
      </c>
      <c r="F41" s="567" t="str">
        <f ca="1">IF(ISBLANK(Ticker4),"",[1]!RCHGetTableCell("http://www.reuters.com/finance/stocks/financialHighlights?symbol="&amp;Ticker4,1,"Valuation Ratios"," Inventory Turnover (TTM"))</f>
        <v/>
      </c>
      <c r="G41" s="567" t="str">
        <f ca="1">IF(ISBLANK(Ticker5),"",[1]!RCHGetTableCell("http://www.reuters.com/finance/stocks/financialHighlights?symbol="&amp;Ticker5,1,"Valuation Ratios"," Inventory Turnover (TTM"))</f>
        <v/>
      </c>
      <c r="H41" s="567" t="str">
        <f ca="1">IF(ISBLANK(Ticker6),"",[1]!RCHGetTableCell("http://www.reuters.com/finance/stocks/financialHighlights?symbol="&amp;Ticker6,1,"Valuation Ratios"," Inventory Turnover (TTM"))</f>
        <v/>
      </c>
    </row>
    <row r="42" spans="2:16" ht="15.75">
      <c r="B42" s="131" t="s">
        <v>659</v>
      </c>
      <c r="C42" s="567">
        <f ca="1">[1]!RCHGetTableCell("http://www.reuters.com/finance/stocks/financialHighlights?symbol="&amp;Ticker,1,"Valuation Ratios","Asset Turnover (TTM")</f>
        <v>0.69</v>
      </c>
      <c r="D42" s="567" t="str">
        <f ca="1">IF(ISBLANK(Ticker2),"",[1]!RCHGetTableCell("http://www.reuters.com/finance/stocks/financialHighlights?symbol="&amp;Ticker2,1,"Valuation Ratios","Asset Turnover (TTM"))</f>
        <v/>
      </c>
      <c r="E42" s="567" t="str">
        <f ca="1">IF(ISBLANK(Ticker3),"",[1]!RCHGetTableCell("http://www.reuters.com/finance/stocks/financialHighlights?symbol="&amp;Ticker3,1,"Valuation Ratios","Asset Turnover (TTM"))</f>
        <v/>
      </c>
      <c r="F42" s="567" t="str">
        <f ca="1">IF(ISBLANK(Ticker4),"",[1]!RCHGetTableCell("http://www.reuters.com/finance/stocks/financialHighlights?symbol="&amp;Ticker4,1,"Valuation Ratios"," Asset Turnover (TTM"))</f>
        <v/>
      </c>
      <c r="G42" s="567" t="str">
        <f ca="1">IF(ISBLANK(Ticker5),"",[1]!RCHGetTableCell("http://www.reuters.com/finance/stocks/financialHighlights?symbol="&amp;Ticker5,1,"Valuation Ratios"," Asset Turnover (TTM"))</f>
        <v/>
      </c>
      <c r="H42" s="567" t="str">
        <f ca="1">IF(ISBLANK(Ticker6),"",[1]!RCHGetTableCell("http://www.reuters.com/finance/stocks/financialHighlights?symbol="&amp;Ticker6,1,"Valuation Ratios"," Asset Turnover (TTM"))</f>
        <v/>
      </c>
    </row>
    <row r="46" spans="2:16">
      <c r="B46" s="570" t="s">
        <v>661</v>
      </c>
      <c r="C46" s="570"/>
      <c r="D46" s="570"/>
      <c r="E46" s="570"/>
      <c r="F46" s="570"/>
      <c r="G46" s="570"/>
      <c r="H46" s="570"/>
      <c r="J46" s="570" t="s">
        <v>670</v>
      </c>
      <c r="K46" s="570"/>
      <c r="L46" s="570"/>
      <c r="M46" s="570"/>
      <c r="N46" s="570"/>
      <c r="O46" s="570"/>
      <c r="P46" s="570"/>
    </row>
    <row r="47" spans="2:16">
      <c r="C47" s="420" t="str">
        <f t="shared" ref="C47:H47" ca="1" si="0">C3</f>
        <v>KO</v>
      </c>
      <c r="D47" s="420">
        <f t="shared" ca="1" si="0"/>
        <v>0</v>
      </c>
      <c r="E47" s="420">
        <f t="shared" ca="1" si="0"/>
        <v>0</v>
      </c>
      <c r="F47" s="420">
        <f t="shared" ca="1" si="0"/>
        <v>0</v>
      </c>
      <c r="G47" s="420">
        <f t="shared" ca="1" si="0"/>
        <v>0</v>
      </c>
      <c r="H47" s="420">
        <f t="shared" ca="1" si="0"/>
        <v>0</v>
      </c>
      <c r="K47" s="420" t="str">
        <f t="shared" ref="K47:P47" ca="1" si="1">C47</f>
        <v>KO</v>
      </c>
      <c r="L47" s="420">
        <f t="shared" ca="1" si="1"/>
        <v>0</v>
      </c>
      <c r="M47" s="420">
        <f t="shared" ca="1" si="1"/>
        <v>0</v>
      </c>
      <c r="N47" s="420">
        <f t="shared" ca="1" si="1"/>
        <v>0</v>
      </c>
      <c r="O47" s="420">
        <f t="shared" ca="1" si="1"/>
        <v>0</v>
      </c>
      <c r="P47" s="420">
        <f t="shared" ca="1" si="1"/>
        <v>0</v>
      </c>
    </row>
    <row r="48" spans="2:16">
      <c r="B48" s="420" t="str">
        <f>B4</f>
        <v>Stock Price</v>
      </c>
      <c r="C48" s="421">
        <f ca="1">C4+(0.0000001)*COLUMNS($C$47:C$47)</f>
        <v>52.4000001</v>
      </c>
      <c r="D48" s="421" t="str">
        <f ca="1">IF(D$47=0,"",D4+(0.0000001)*COLUMNS($C$47:D$47))</f>
        <v/>
      </c>
      <c r="E48" s="421" t="str">
        <f ca="1">IF(E$47=0,"",E4+(0.0000001)*COLUMNS($C$47:E$47))</f>
        <v/>
      </c>
      <c r="F48" s="421" t="str">
        <f ca="1">IF(F$47=0,"",F4+(0.0000001)*COLUMNS($C$47:F$47))</f>
        <v/>
      </c>
      <c r="G48" s="421" t="str">
        <f ca="1">IF(G$47=0,"",G4+(0.0000001)*COLUMNS($C$47:G$47))</f>
        <v/>
      </c>
      <c r="H48" s="421" t="str">
        <f ca="1">IF(H$47=0,"",H4+(0.0000001)*COLUMNS($C$47:H$47))</f>
        <v/>
      </c>
      <c r="J48" s="420" t="s">
        <v>112</v>
      </c>
      <c r="K48" s="420">
        <f t="shared" ref="K48:K59" ca="1" si="2">IF(OR(ISERROR(C48),ISBLANK(C48)),0,C48)</f>
        <v>52.4000001</v>
      </c>
      <c r="L48" s="420" t="str">
        <f t="shared" ref="L48:L59" ca="1" si="3">IF(OR(ISERROR(D48),ISBLANK(D48)),0,D48)</f>
        <v/>
      </c>
      <c r="M48" s="420" t="str">
        <f t="shared" ref="M48:M59" ca="1" si="4">IF(OR(ISERROR(E48),ISBLANK(E48)),0,E48)</f>
        <v/>
      </c>
      <c r="N48" s="420" t="str">
        <f t="shared" ref="N48:N59" ca="1" si="5">IF(OR(ISERROR(F48),ISBLANK(F48)),0,F48)</f>
        <v/>
      </c>
      <c r="O48" s="420" t="str">
        <f t="shared" ref="O48:O59" ca="1" si="6">IF(OR(ISERROR(G48),ISBLANK(G48)),0,G48)</f>
        <v/>
      </c>
      <c r="P48" s="420" t="str">
        <f t="shared" ref="P48:P59" ca="1" si="7">IF(OR(ISERROR(H48),ISBLANK(H48)),0,H48)</f>
        <v/>
      </c>
    </row>
    <row r="49" spans="2:16">
      <c r="B49" s="420" t="str">
        <f>B5</f>
        <v>Mkt Cap ($M)</v>
      </c>
      <c r="C49" s="421">
        <f ca="1">C5+(0.0000001)*COLUMNS($C$47:C$47)</f>
        <v>120830.0000001</v>
      </c>
      <c r="D49" s="421" t="str">
        <f ca="1">IF(D$47=0,"",D5+(0.0000001)*COLUMNS($C$47:D$47))</f>
        <v/>
      </c>
      <c r="E49" s="421" t="str">
        <f ca="1">IF(E$47=0,"",E5+(0.0000001)*COLUMNS($C$47:E$47))</f>
        <v/>
      </c>
      <c r="F49" s="421" t="str">
        <f ca="1">IF(F$47=0,"",F5+(0.0000001)*COLUMNS($C$47:F$47))</f>
        <v/>
      </c>
      <c r="G49" s="421" t="str">
        <f ca="1">IF(G$47=0,"",G5+(0.0000001)*COLUMNS($C$47:G$47))</f>
        <v/>
      </c>
      <c r="H49" s="421" t="str">
        <f ca="1">IF(H$47=0,"",H5+(0.0000001)*COLUMNS($C$47:H$47))</f>
        <v/>
      </c>
      <c r="J49" s="420" t="s">
        <v>630</v>
      </c>
      <c r="K49" s="420">
        <f t="shared" ca="1" si="2"/>
        <v>120830.0000001</v>
      </c>
      <c r="L49" s="420" t="str">
        <f t="shared" ca="1" si="3"/>
        <v/>
      </c>
      <c r="M49" s="420" t="str">
        <f t="shared" ca="1" si="4"/>
        <v/>
      </c>
      <c r="N49" s="420" t="str">
        <f t="shared" ca="1" si="5"/>
        <v/>
      </c>
      <c r="O49" s="420" t="str">
        <f t="shared" ca="1" si="6"/>
        <v/>
      </c>
      <c r="P49" s="420" t="str">
        <f t="shared" ca="1" si="7"/>
        <v/>
      </c>
    </row>
    <row r="50" spans="2:16">
      <c r="B50" s="420" t="str">
        <f>B6</f>
        <v>EV</v>
      </c>
      <c r="C50" s="421">
        <f ca="1">C6+(0.0000001)*COLUMNS($C$47:C$47)</f>
        <v>123730.0000001</v>
      </c>
      <c r="D50" s="421" t="str">
        <f ca="1">IF(D$47=0,"",D6+(0.0000001)*COLUMNS($C$47:D$47))</f>
        <v/>
      </c>
      <c r="E50" s="421" t="str">
        <f ca="1">IF(E$47=0,"",E6+(0.0000001)*COLUMNS($C$47:E$47))</f>
        <v/>
      </c>
      <c r="F50" s="421" t="str">
        <f ca="1">IF(F$47=0,"",F6+(0.0000001)*COLUMNS($C$47:F$47))</f>
        <v/>
      </c>
      <c r="G50" s="421" t="str">
        <f ca="1">IF(G$47=0,"",G6+(0.0000001)*COLUMNS($C$47:G$47))</f>
        <v/>
      </c>
      <c r="H50" s="421" t="str">
        <f ca="1">IF(H$47=0,"",H6+(0.0000001)*COLUMNS($C$47:H$47))</f>
        <v/>
      </c>
      <c r="J50" s="420" t="s">
        <v>628</v>
      </c>
      <c r="K50" s="420">
        <f t="shared" ca="1" si="2"/>
        <v>123730.0000001</v>
      </c>
      <c r="L50" s="420" t="str">
        <f t="shared" ca="1" si="3"/>
        <v/>
      </c>
      <c r="M50" s="420" t="str">
        <f t="shared" ca="1" si="4"/>
        <v/>
      </c>
      <c r="N50" s="420" t="str">
        <f t="shared" ca="1" si="5"/>
        <v/>
      </c>
      <c r="O50" s="420" t="str">
        <f t="shared" ca="1" si="6"/>
        <v/>
      </c>
      <c r="P50" s="420" t="str">
        <f t="shared" ca="1" si="7"/>
        <v/>
      </c>
    </row>
    <row r="51" spans="2:16">
      <c r="B51" s="420" t="str">
        <f t="shared" ref="B51:B58" si="8">B7</f>
        <v>52 Wk High</v>
      </c>
      <c r="C51" s="421">
        <f ca="1">C7+(0.0000001)*COLUMNS($C$47:C$47)</f>
        <v>59.450000100000004</v>
      </c>
      <c r="D51" s="421" t="str">
        <f ca="1">IF(D$47=0,"",D7+(0.0000001)*COLUMNS($C$47:D$47))</f>
        <v/>
      </c>
      <c r="E51" s="421" t="str">
        <f ca="1">IF(E$47=0,"",E7+(0.0000001)*COLUMNS($C$47:E$47))</f>
        <v/>
      </c>
      <c r="F51" s="421" t="str">
        <f ca="1">IF(F$47=0,"",F7+(0.0000001)*COLUMNS($C$47:F$47))</f>
        <v/>
      </c>
      <c r="G51" s="421" t="str">
        <f ca="1">IF(G$47=0,"",G7+(0.0000001)*COLUMNS($C$47:G$47))</f>
        <v/>
      </c>
      <c r="H51" s="421" t="str">
        <f ca="1">IF(H$47=0,"",H7+(0.0000001)*COLUMNS($C$47:H$47))</f>
        <v/>
      </c>
      <c r="J51" s="420" t="s">
        <v>545</v>
      </c>
      <c r="K51" s="420">
        <f t="shared" ca="1" si="2"/>
        <v>59.450000100000004</v>
      </c>
      <c r="L51" s="420" t="str">
        <f t="shared" ca="1" si="3"/>
        <v/>
      </c>
      <c r="M51" s="420" t="str">
        <f t="shared" ca="1" si="4"/>
        <v/>
      </c>
      <c r="N51" s="420" t="str">
        <f t="shared" ca="1" si="5"/>
        <v/>
      </c>
      <c r="O51" s="420" t="str">
        <f t="shared" ca="1" si="6"/>
        <v/>
      </c>
      <c r="P51" s="420" t="str">
        <f t="shared" ca="1" si="7"/>
        <v/>
      </c>
    </row>
    <row r="52" spans="2:16">
      <c r="B52" s="420" t="str">
        <f t="shared" si="8"/>
        <v>52 Wk Low</v>
      </c>
      <c r="C52" s="421">
        <f ca="1">C8+(0.0000001)*COLUMNS($C$47:C$47)</f>
        <v>47.420000100000003</v>
      </c>
      <c r="D52" s="421" t="str">
        <f ca="1">IF(D$47=0,"",D8+(0.0000001)*COLUMNS($C$47:D$47))</f>
        <v/>
      </c>
      <c r="E52" s="421" t="str">
        <f ca="1">IF(E$47=0,"",E8+(0.0000001)*COLUMNS($C$47:E$47))</f>
        <v/>
      </c>
      <c r="F52" s="421" t="str">
        <f ca="1">IF(F$47=0,"",F8+(0.0000001)*COLUMNS($C$47:F$47))</f>
        <v/>
      </c>
      <c r="G52" s="421" t="str">
        <f ca="1">IF(G$47=0,"",G8+(0.0000001)*COLUMNS($C$47:G$47))</f>
        <v/>
      </c>
      <c r="H52" s="421" t="str">
        <f ca="1">IF(H$47=0,"",H8+(0.0000001)*COLUMNS($C$47:H$47))</f>
        <v/>
      </c>
      <c r="J52" s="420" t="s">
        <v>549</v>
      </c>
      <c r="K52" s="420">
        <f t="shared" ca="1" si="2"/>
        <v>47.420000100000003</v>
      </c>
      <c r="L52" s="420" t="str">
        <f t="shared" ca="1" si="3"/>
        <v/>
      </c>
      <c r="M52" s="420" t="str">
        <f t="shared" ca="1" si="4"/>
        <v/>
      </c>
      <c r="N52" s="420" t="str">
        <f t="shared" ca="1" si="5"/>
        <v/>
      </c>
      <c r="O52" s="420" t="str">
        <f t="shared" ca="1" si="6"/>
        <v/>
      </c>
      <c r="P52" s="420" t="str">
        <f t="shared" ca="1" si="7"/>
        <v/>
      </c>
    </row>
    <row r="53" spans="2:16">
      <c r="B53" s="420" t="str">
        <f t="shared" si="8"/>
        <v>% off 52Wk Low</v>
      </c>
      <c r="C53" s="578">
        <f ca="1">C9+(0.0000001)*COLUMNS($C$47:C$47)</f>
        <v>0.10501907933361444</v>
      </c>
      <c r="D53" s="578" t="str">
        <f ca="1">IF(D$47=0,"",D9+(0.0000001)*COLUMNS($C$47:D$47))</f>
        <v/>
      </c>
      <c r="E53" s="578" t="str">
        <f ca="1">IF(E$47=0,"",E9+(0.0000001)*COLUMNS($C$47:E$47))</f>
        <v/>
      </c>
      <c r="F53" s="578" t="str">
        <f ca="1">IF(F$47=0,"",F9+(0.0000001)*COLUMNS($C$47:F$47))</f>
        <v/>
      </c>
      <c r="G53" s="578" t="str">
        <f ca="1">IF(G$47=0,"",G9+(0.0000001)*COLUMNS($C$47:G$47))</f>
        <v/>
      </c>
      <c r="H53" s="578" t="str">
        <f ca="1">IF(H$47=0,"",H9+(0.0000001)*COLUMNS($C$47:H$47))</f>
        <v/>
      </c>
      <c r="J53" s="420" t="s">
        <v>626</v>
      </c>
      <c r="K53" s="420">
        <f t="shared" ca="1" si="2"/>
        <v>0.10501907933361444</v>
      </c>
      <c r="L53" s="420" t="str">
        <f t="shared" ca="1" si="3"/>
        <v/>
      </c>
      <c r="M53" s="420" t="str">
        <f t="shared" ca="1" si="4"/>
        <v/>
      </c>
      <c r="N53" s="420" t="str">
        <f t="shared" ca="1" si="5"/>
        <v/>
      </c>
      <c r="O53" s="420" t="str">
        <f t="shared" ca="1" si="6"/>
        <v/>
      </c>
      <c r="P53" s="420" t="str">
        <f t="shared" ca="1" si="7"/>
        <v/>
      </c>
    </row>
    <row r="54" spans="2:16">
      <c r="B54" s="420" t="str">
        <f t="shared" si="8"/>
        <v xml:space="preserve">P/E(TTM) </v>
      </c>
      <c r="C54" s="421">
        <f ca="1">C10+(0.0000001)*COLUMNS($C$47:C$47)</f>
        <v>17.2200001</v>
      </c>
      <c r="D54" s="421" t="str">
        <f ca="1">IF(D$47=0,"",D10+(0.0000001)*COLUMNS($C$47:D$47))</f>
        <v/>
      </c>
      <c r="E54" s="421" t="str">
        <f ca="1">IF(E$47=0,"",E10+(0.0000001)*COLUMNS($C$47:E$47))</f>
        <v/>
      </c>
      <c r="F54" s="421" t="str">
        <f ca="1">IF(F$47=0,"",F10+(0.0000001)*COLUMNS($C$47:F$47))</f>
        <v/>
      </c>
      <c r="G54" s="421" t="str">
        <f ca="1">IF(G$47=0,"",G10+(0.0000001)*COLUMNS($C$47:G$47))</f>
        <v/>
      </c>
      <c r="H54" s="421" t="str">
        <f ca="1">IF(H$47=0,"",H10+(0.0000001)*COLUMNS($C$47:H$47))</f>
        <v/>
      </c>
      <c r="J54" s="420" t="s">
        <v>631</v>
      </c>
      <c r="K54" s="420">
        <f t="shared" ca="1" si="2"/>
        <v>17.2200001</v>
      </c>
      <c r="L54" s="420" t="str">
        <f t="shared" ca="1" si="3"/>
        <v/>
      </c>
      <c r="M54" s="420" t="str">
        <f t="shared" ca="1" si="4"/>
        <v/>
      </c>
      <c r="N54" s="420" t="str">
        <f t="shared" ca="1" si="5"/>
        <v/>
      </c>
      <c r="O54" s="420" t="str">
        <f t="shared" ca="1" si="6"/>
        <v/>
      </c>
      <c r="P54" s="420" t="str">
        <f t="shared" ca="1" si="7"/>
        <v/>
      </c>
    </row>
    <row r="55" spans="2:16">
      <c r="B55" s="420" t="str">
        <f t="shared" si="8"/>
        <v xml:space="preserve">P/S(TTM) </v>
      </c>
      <c r="C55" s="421">
        <f ca="1">C11+(0.0000001)*COLUMNS($C$47:C$47)</f>
        <v>3.8500000999999999</v>
      </c>
      <c r="D55" s="421" t="str">
        <f ca="1">IF(D$47=0,"",D11+(0.0000001)*COLUMNS($C$47:D$47))</f>
        <v/>
      </c>
      <c r="E55" s="421" t="str">
        <f ca="1">IF(E$47=0,"",E11+(0.0000001)*COLUMNS($C$47:E$47))</f>
        <v/>
      </c>
      <c r="F55" s="421" t="str">
        <f ca="1">IF(F$47=0,"",F11+(0.0000001)*COLUMNS($C$47:F$47))</f>
        <v/>
      </c>
      <c r="G55" s="421" t="str">
        <f ca="1">IF(G$47=0,"",G11+(0.0000001)*COLUMNS($C$47:G$47))</f>
        <v/>
      </c>
      <c r="H55" s="421" t="str">
        <f ca="1">IF(H$47=0,"",H11+(0.0000001)*COLUMNS($C$47:H$47))</f>
        <v/>
      </c>
      <c r="J55" s="420" t="s">
        <v>632</v>
      </c>
      <c r="K55" s="420">
        <f t="shared" ca="1" si="2"/>
        <v>3.8500000999999999</v>
      </c>
      <c r="L55" s="420" t="str">
        <f t="shared" ca="1" si="3"/>
        <v/>
      </c>
      <c r="M55" s="420" t="str">
        <f t="shared" ca="1" si="4"/>
        <v/>
      </c>
      <c r="N55" s="420" t="str">
        <f t="shared" ca="1" si="5"/>
        <v/>
      </c>
      <c r="O55" s="420" t="str">
        <f t="shared" ca="1" si="6"/>
        <v/>
      </c>
      <c r="P55" s="420" t="str">
        <f t="shared" ca="1" si="7"/>
        <v/>
      </c>
    </row>
    <row r="56" spans="2:16">
      <c r="B56" s="420" t="str">
        <f t="shared" si="8"/>
        <v xml:space="preserve">P/Tang BV(MRQ) </v>
      </c>
      <c r="C56" s="421">
        <f ca="1">C12+(0.0000001)*COLUMNS($C$47:C$47)</f>
        <v>9.6200000999999986</v>
      </c>
      <c r="D56" s="421" t="str">
        <f ca="1">IF(D$47=0,"",D12+(0.0000001)*COLUMNS($C$47:D$47))</f>
        <v/>
      </c>
      <c r="E56" s="421" t="str">
        <f ca="1">IF(E$47=0,"",E12+(0.0000001)*COLUMNS($C$47:E$47))</f>
        <v/>
      </c>
      <c r="F56" s="421" t="str">
        <f ca="1">IF(F$47=0,"",F12+(0.0000001)*COLUMNS($C$47:F$47))</f>
        <v/>
      </c>
      <c r="G56" s="421" t="str">
        <f ca="1">IF(G$47=0,"",G12+(0.0000001)*COLUMNS($C$47:G$47))</f>
        <v/>
      </c>
      <c r="H56" s="421" t="str">
        <f ca="1">IF(H$47=0,"",H12+(0.0000001)*COLUMNS($C$47:H$47))</f>
        <v/>
      </c>
      <c r="J56" s="420" t="s">
        <v>633</v>
      </c>
      <c r="K56" s="420">
        <f t="shared" ca="1" si="2"/>
        <v>9.6200000999999986</v>
      </c>
      <c r="L56" s="420" t="str">
        <f t="shared" ca="1" si="3"/>
        <v/>
      </c>
      <c r="M56" s="420" t="str">
        <f t="shared" ca="1" si="4"/>
        <v/>
      </c>
      <c r="N56" s="420" t="str">
        <f t="shared" ca="1" si="5"/>
        <v/>
      </c>
      <c r="O56" s="420" t="str">
        <f t="shared" ca="1" si="6"/>
        <v/>
      </c>
      <c r="P56" s="420" t="str">
        <f t="shared" ca="1" si="7"/>
        <v/>
      </c>
    </row>
    <row r="57" spans="2:16">
      <c r="B57" s="420" t="str">
        <f t="shared" si="8"/>
        <v>P/CF</v>
      </c>
      <c r="C57" s="421">
        <f ca="1">C13+(0.0000001)*COLUMNS($C$47:C$47)</f>
        <v>14.350000099999999</v>
      </c>
      <c r="D57" s="421" t="str">
        <f ca="1">IF(D$47=0,"",D13+(0.0000001)*COLUMNS($C$47:D$47))</f>
        <v/>
      </c>
      <c r="E57" s="421" t="str">
        <f ca="1">IF(E$47=0,"",E13+(0.0000001)*COLUMNS($C$47:E$47))</f>
        <v/>
      </c>
      <c r="F57" s="421" t="str">
        <f ca="1">IF(F$47=0,"",F13+(0.0000001)*COLUMNS($C$47:F$47))</f>
        <v/>
      </c>
      <c r="G57" s="421" t="str">
        <f ca="1">IF(G$47=0,"",G13+(0.0000001)*COLUMNS($C$47:G$47))</f>
        <v/>
      </c>
      <c r="H57" s="421" t="str">
        <f ca="1">IF(H$47=0,"",H13+(0.0000001)*COLUMNS($C$47:H$47))</f>
        <v/>
      </c>
      <c r="J57" s="420" t="s">
        <v>627</v>
      </c>
      <c r="K57" s="420">
        <f t="shared" ca="1" si="2"/>
        <v>14.350000099999999</v>
      </c>
      <c r="L57" s="420" t="str">
        <f t="shared" ca="1" si="3"/>
        <v/>
      </c>
      <c r="M57" s="420" t="str">
        <f t="shared" ca="1" si="4"/>
        <v/>
      </c>
      <c r="N57" s="420" t="str">
        <f t="shared" ca="1" si="5"/>
        <v/>
      </c>
      <c r="O57" s="420" t="str">
        <f t="shared" ca="1" si="6"/>
        <v/>
      </c>
      <c r="P57" s="420" t="str">
        <f t="shared" ca="1" si="7"/>
        <v/>
      </c>
    </row>
    <row r="58" spans="2:16">
      <c r="B58" s="420" t="str">
        <f t="shared" si="8"/>
        <v xml:space="preserve">P/FCF(TTM) </v>
      </c>
      <c r="C58" s="421">
        <f ca="1">C14+(0.0000001)*COLUMNS($C$47:C$47)</f>
        <v>42.320000100000001</v>
      </c>
      <c r="D58" s="421" t="str">
        <f ca="1">IF(D$47=0,"",D14+(0.0000001)*COLUMNS($C$47:D$47))</f>
        <v/>
      </c>
      <c r="E58" s="421" t="str">
        <f ca="1">IF(E$47=0,"",E14+(0.0000001)*COLUMNS($C$47:E$47))</f>
        <v/>
      </c>
      <c r="F58" s="421" t="str">
        <f ca="1">IF(F$47=0,"",F14+(0.0000001)*COLUMNS($C$47:F$47))</f>
        <v/>
      </c>
      <c r="G58" s="421" t="str">
        <f ca="1">IF(G$47=0,"",G14+(0.0000001)*COLUMNS($C$47:G$47))</f>
        <v/>
      </c>
      <c r="H58" s="421" t="str">
        <f ca="1">IF(H$47=0,"",H14+(0.0000001)*COLUMNS($C$47:H$47))</f>
        <v/>
      </c>
      <c r="J58" s="420" t="s">
        <v>634</v>
      </c>
      <c r="K58" s="420">
        <f t="shared" ca="1" si="2"/>
        <v>42.320000100000001</v>
      </c>
      <c r="L58" s="420" t="str">
        <f t="shared" ca="1" si="3"/>
        <v/>
      </c>
      <c r="M58" s="420" t="str">
        <f t="shared" ca="1" si="4"/>
        <v/>
      </c>
      <c r="N58" s="420" t="str">
        <f t="shared" ca="1" si="5"/>
        <v/>
      </c>
      <c r="O58" s="420" t="str">
        <f t="shared" ca="1" si="6"/>
        <v/>
      </c>
      <c r="P58" s="420" t="str">
        <f t="shared" ca="1" si="7"/>
        <v/>
      </c>
    </row>
    <row r="59" spans="2:16">
      <c r="B59" s="420" t="str">
        <f>B15</f>
        <v>EV/EBITDA(TTM)</v>
      </c>
      <c r="C59" s="421">
        <f ca="1">C15+(0.0000001)*COLUMNS($C$47:C$47)</f>
        <v>12.2300001</v>
      </c>
      <c r="D59" s="421" t="str">
        <f ca="1">IF(D$47=0,"",D15+(0.0000001)*COLUMNS($C$47:D$47))</f>
        <v/>
      </c>
      <c r="E59" s="421" t="str">
        <f ca="1">IF(E$47=0,"",E15+(0.0000001)*COLUMNS($C$47:E$47))</f>
        <v/>
      </c>
      <c r="F59" s="421" t="str">
        <f ca="1">IF(F$47=0,"",F15+(0.0000001)*COLUMNS($C$47:F$47))</f>
        <v/>
      </c>
      <c r="G59" s="421" t="str">
        <f ca="1">IF(G$47=0,"",G15+(0.0000001)*COLUMNS($C$47:G$47))</f>
        <v/>
      </c>
      <c r="H59" s="421" t="str">
        <f ca="1">IF(H$47=0,"",H15+(0.0000001)*COLUMNS($C$47:H$47))</f>
        <v/>
      </c>
      <c r="J59" s="420" t="s">
        <v>629</v>
      </c>
      <c r="K59" s="420">
        <f t="shared" ca="1" si="2"/>
        <v>12.2300001</v>
      </c>
      <c r="L59" s="420" t="str">
        <f t="shared" ca="1" si="3"/>
        <v/>
      </c>
      <c r="M59" s="420" t="str">
        <f t="shared" ca="1" si="4"/>
        <v/>
      </c>
      <c r="N59" s="420" t="str">
        <f t="shared" ca="1" si="5"/>
        <v/>
      </c>
      <c r="O59" s="420" t="str">
        <f t="shared" ca="1" si="6"/>
        <v/>
      </c>
      <c r="P59" s="420" t="str">
        <f t="shared" ca="1" si="7"/>
        <v/>
      </c>
    </row>
    <row r="60" spans="2:16">
      <c r="B60" s="420" t="str">
        <f>B16</f>
        <v>Div Yld</v>
      </c>
      <c r="C60" s="421">
        <f ca="1">C16+(0.0000001)*COLUMNS($C$47:C$47)</f>
        <v>1.7000001</v>
      </c>
      <c r="D60" s="421" t="str">
        <f ca="1">IF(D$47=0,"",D16+(0.0000001)*COLUMNS($C$47:D$47))</f>
        <v/>
      </c>
      <c r="E60" s="421" t="str">
        <f ca="1">IF(E$47=0,"",E16+(0.0000001)*COLUMNS($C$47:E$47))</f>
        <v/>
      </c>
      <c r="F60" s="421" t="str">
        <f ca="1">IF(F$47=0,"",F16+(0.0000001)*COLUMNS($C$47:F$47))</f>
        <v/>
      </c>
      <c r="G60" s="421" t="str">
        <f ca="1">IF(G$47=0,"",G16+(0.0000001)*COLUMNS($C$47:G$47))</f>
        <v/>
      </c>
      <c r="H60" s="421" t="str">
        <f ca="1">IF(H$47=0,"",H16+(0.0000001)*COLUMNS($C$47:H$47))</f>
        <v/>
      </c>
      <c r="J60" s="420" t="s">
        <v>635</v>
      </c>
      <c r="K60" s="420">
        <f t="shared" ref="K60:P60" ca="1" si="9">IF(OR(ISERROR(C60),ISBLANK(C60)),0.0000001,C60)</f>
        <v>1.7000001</v>
      </c>
      <c r="L60" s="420" t="str">
        <f t="shared" ca="1" si="9"/>
        <v/>
      </c>
      <c r="M60" s="420" t="str">
        <f t="shared" ca="1" si="9"/>
        <v/>
      </c>
      <c r="N60" s="420" t="str">
        <f t="shared" ca="1" si="9"/>
        <v/>
      </c>
      <c r="O60" s="420" t="str">
        <f t="shared" ca="1" si="9"/>
        <v/>
      </c>
      <c r="P60" s="420" t="str">
        <f t="shared" ca="1" si="9"/>
        <v/>
      </c>
    </row>
    <row r="61" spans="2:16">
      <c r="B61" s="420" t="str">
        <f>B17</f>
        <v>Div Yld - 5yr avg</v>
      </c>
      <c r="C61" s="421">
        <f ca="1">C17+(0.0000001)*COLUMNS($C$47:C$47)</f>
        <v>2.7300000999999998</v>
      </c>
      <c r="D61" s="421" t="str">
        <f ca="1">IF(D$47=0,"",D17+(0.0000001)*COLUMNS($C$47:D$47))</f>
        <v/>
      </c>
      <c r="E61" s="421" t="str">
        <f ca="1">IF(E$47=0,"",E17+(0.0000001)*COLUMNS($C$47:E$47))</f>
        <v/>
      </c>
      <c r="F61" s="421" t="str">
        <f ca="1">IF(F$47=0,"",F17+(0.0000001)*COLUMNS($C$47:F$47))</f>
        <v/>
      </c>
      <c r="G61" s="421"/>
      <c r="H61" s="421"/>
      <c r="J61" s="420" t="s">
        <v>664</v>
      </c>
      <c r="K61" s="420">
        <f t="shared" ref="K61:K86" ca="1" si="10">IF(OR(ISERROR(C61),ISBLANK(C61)),0,C61)</f>
        <v>2.7300000999999998</v>
      </c>
      <c r="L61" s="420" t="str">
        <f t="shared" ref="L61:L86" ca="1" si="11">IF(OR(ISERROR(D61),ISBLANK(D61)),0,D61)</f>
        <v/>
      </c>
      <c r="M61" s="420" t="str">
        <f t="shared" ref="M61:M86" ca="1" si="12">IF(OR(ISERROR(E61),ISBLANK(E61)),0,E61)</f>
        <v/>
      </c>
      <c r="N61" s="420" t="str">
        <f t="shared" ref="N61:N86" ca="1" si="13">IF(OR(ISERROR(F61),ISBLANK(F61)),0,F61)</f>
        <v/>
      </c>
      <c r="O61" s="420">
        <f t="shared" ref="O61:O86" si="14">IF(OR(ISERROR(G61),ISBLANK(G61)),0,G61)</f>
        <v>0</v>
      </c>
      <c r="P61" s="420">
        <f t="shared" ref="P61:P86" si="15">IF(OR(ISERROR(H61),ISBLANK(H61)),0,H61)</f>
        <v>0</v>
      </c>
    </row>
    <row r="62" spans="2:16">
      <c r="B62" s="420" t="str">
        <f t="shared" ref="B62:B86" si="16">B18</f>
        <v>Div 5yr Grth</v>
      </c>
      <c r="C62" s="421">
        <f ca="1">C18+(0.0000001)*COLUMNS($C$47:C$47)</f>
        <v>10.4000001</v>
      </c>
      <c r="D62" s="421" t="str">
        <f ca="1">IF(D$47=0,"",D18+(0.0000001)*COLUMNS($C$47:D$47))</f>
        <v/>
      </c>
      <c r="E62" s="421" t="str">
        <f ca="1">IF(E$47=0,"",E18+(0.0000001)*COLUMNS($C$47:E$47))</f>
        <v/>
      </c>
      <c r="F62" s="421" t="str">
        <f ca="1">IF(F$47=0,"",F18+(0.0000001)*COLUMNS($C$47:F$47))</f>
        <v/>
      </c>
      <c r="G62" s="421" t="str">
        <f ca="1">IF(G$47=0,"",G18+(0.0000001)*COLUMNS($C$47:G$47))</f>
        <v/>
      </c>
      <c r="H62" s="421" t="str">
        <f ca="1">IF(H$47=0,"",H18+(0.0000001)*COLUMNS($C$47:H$47))</f>
        <v/>
      </c>
      <c r="J62" s="420" t="s">
        <v>636</v>
      </c>
      <c r="K62" s="420">
        <f t="shared" ca="1" si="10"/>
        <v>10.4000001</v>
      </c>
      <c r="L62" s="420" t="str">
        <f t="shared" ca="1" si="11"/>
        <v/>
      </c>
      <c r="M62" s="420" t="str">
        <f t="shared" ca="1" si="12"/>
        <v/>
      </c>
      <c r="N62" s="420" t="str">
        <f t="shared" ca="1" si="13"/>
        <v/>
      </c>
      <c r="O62" s="420" t="str">
        <f t="shared" ca="1" si="14"/>
        <v/>
      </c>
      <c r="P62" s="420" t="str">
        <f t="shared" ca="1" si="15"/>
        <v/>
      </c>
    </row>
    <row r="63" spans="2:16">
      <c r="B63" s="420" t="str">
        <f t="shared" si="16"/>
        <v xml:space="preserve">Payout Ratio(TTM) </v>
      </c>
      <c r="C63" s="421">
        <f ca="1">C19+(0.0000001)*COLUMNS($C$47:C$47)</f>
        <v>54.4000001</v>
      </c>
      <c r="D63" s="421" t="str">
        <f ca="1">IF(D$47=0,"",D19+(0.0000001)*COLUMNS($C$47:D$47))</f>
        <v/>
      </c>
      <c r="E63" s="421" t="str">
        <f ca="1">IF(E$47=0,"",E19+(0.0000001)*COLUMNS($C$47:E$47))</f>
        <v/>
      </c>
      <c r="F63" s="421" t="str">
        <f ca="1">IF(F$47=0,"",F19+(0.0000001)*COLUMNS($C$47:F$47))</f>
        <v/>
      </c>
      <c r="G63" s="421" t="str">
        <f ca="1">IF(G$47=0,"",G19+(0.0000001)*COLUMNS($C$47:G$47))</f>
        <v/>
      </c>
      <c r="H63" s="421" t="str">
        <f ca="1">IF(H$47=0,"",H19+(0.0000001)*COLUMNS($C$47:H$47))</f>
        <v/>
      </c>
      <c r="J63" s="420" t="s">
        <v>637</v>
      </c>
      <c r="K63" s="420">
        <f t="shared" ca="1" si="10"/>
        <v>54.4000001</v>
      </c>
      <c r="L63" s="420" t="str">
        <f t="shared" ca="1" si="11"/>
        <v/>
      </c>
      <c r="M63" s="420" t="str">
        <f t="shared" ca="1" si="12"/>
        <v/>
      </c>
      <c r="N63" s="420" t="str">
        <f t="shared" ca="1" si="13"/>
        <v/>
      </c>
      <c r="O63" s="420" t="str">
        <f t="shared" ca="1" si="14"/>
        <v/>
      </c>
      <c r="P63" s="420" t="str">
        <f t="shared" ca="1" si="15"/>
        <v/>
      </c>
    </row>
    <row r="64" spans="2:16">
      <c r="B64" s="420" t="str">
        <f t="shared" si="16"/>
        <v xml:space="preserve">Sales(MRQ) v 1yr ago </v>
      </c>
      <c r="C64" s="421">
        <f ca="1">C20+(0.0000001)*COLUMNS($C$47:C$47)</f>
        <v>4.9700001</v>
      </c>
      <c r="D64" s="421" t="str">
        <f ca="1">IF(D$47=0,"",D20+(0.0000001)*COLUMNS($C$47:D$47))</f>
        <v/>
      </c>
      <c r="E64" s="421" t="str">
        <f ca="1">IF(E$47=0,"",E20+(0.0000001)*COLUMNS($C$47:E$47))</f>
        <v/>
      </c>
      <c r="F64" s="421" t="str">
        <f ca="1">IF(F$47=0,"",F20+(0.0000001)*COLUMNS($C$47:F$47))</f>
        <v/>
      </c>
      <c r="G64" s="421" t="str">
        <f ca="1">IF(G$47=0,"",G20+(0.0000001)*COLUMNS($C$47:G$47))</f>
        <v/>
      </c>
      <c r="H64" s="421" t="str">
        <f ca="1">IF(H$47=0,"",H20+(0.0000001)*COLUMNS($C$47:H$47))</f>
        <v/>
      </c>
      <c r="J64" s="420" t="s">
        <v>638</v>
      </c>
      <c r="K64" s="420">
        <f t="shared" ca="1" si="10"/>
        <v>4.9700001</v>
      </c>
      <c r="L64" s="420" t="str">
        <f t="shared" ca="1" si="11"/>
        <v/>
      </c>
      <c r="M64" s="420" t="str">
        <f t="shared" ca="1" si="12"/>
        <v/>
      </c>
      <c r="N64" s="420" t="str">
        <f t="shared" ca="1" si="13"/>
        <v/>
      </c>
      <c r="O64" s="420" t="str">
        <f t="shared" ca="1" si="14"/>
        <v/>
      </c>
      <c r="P64" s="420" t="str">
        <f t="shared" ca="1" si="15"/>
        <v/>
      </c>
    </row>
    <row r="65" spans="2:16">
      <c r="B65" s="420" t="str">
        <f t="shared" si="16"/>
        <v>Sales(TTM) v 1yr ago</v>
      </c>
      <c r="C65" s="421">
        <f ca="1">C21+(0.0000001)*COLUMNS($C$47:C$47)</f>
        <v>3.8500000999999999</v>
      </c>
      <c r="D65" s="421" t="str">
        <f ca="1">IF(D$47=0,"",D21+(0.0000001)*COLUMNS($C$47:D$47))</f>
        <v/>
      </c>
      <c r="E65" s="421" t="str">
        <f ca="1">IF(E$47=0,"",E21+(0.0000001)*COLUMNS($C$47:E$47))</f>
        <v/>
      </c>
      <c r="F65" s="421" t="str">
        <f ca="1">IF(F$47=0,"",F21+(0.0000001)*COLUMNS($C$47:F$47))</f>
        <v/>
      </c>
      <c r="G65" s="421" t="str">
        <f ca="1">IF(G$47=0,"",G21+(0.0000001)*COLUMNS($C$47:G$47))</f>
        <v/>
      </c>
      <c r="H65" s="421" t="str">
        <f ca="1">IF(H$47=0,"",H21+(0.0000001)*COLUMNS($C$47:H$47))</f>
        <v/>
      </c>
      <c r="J65" s="420" t="s">
        <v>639</v>
      </c>
      <c r="K65" s="420">
        <f t="shared" ca="1" si="10"/>
        <v>3.8500000999999999</v>
      </c>
      <c r="L65" s="420" t="str">
        <f t="shared" ca="1" si="11"/>
        <v/>
      </c>
      <c r="M65" s="420" t="str">
        <f t="shared" ca="1" si="12"/>
        <v/>
      </c>
      <c r="N65" s="420" t="str">
        <f t="shared" ca="1" si="13"/>
        <v/>
      </c>
      <c r="O65" s="420" t="str">
        <f t="shared" ca="1" si="14"/>
        <v/>
      </c>
      <c r="P65" s="420" t="str">
        <f t="shared" ca="1" si="15"/>
        <v/>
      </c>
    </row>
    <row r="66" spans="2:16">
      <c r="B66" s="420" t="str">
        <f t="shared" si="16"/>
        <v>Sales 5yr Grth</v>
      </c>
      <c r="C66" s="421">
        <f ca="1">C22+(0.0000001)*COLUMNS($C$47:C$47)</f>
        <v>7.3500000999999999</v>
      </c>
      <c r="D66" s="421" t="str">
        <f ca="1">IF(D$47=0,"",D22+(0.0000001)*COLUMNS($C$47:D$47))</f>
        <v/>
      </c>
      <c r="E66" s="421" t="str">
        <f ca="1">IF(E$47=0,"",E22+(0.0000001)*COLUMNS($C$47:E$47))</f>
        <v/>
      </c>
      <c r="F66" s="421" t="str">
        <f ca="1">IF(F$47=0,"",F22+(0.0000001)*COLUMNS($C$47:F$47))</f>
        <v/>
      </c>
      <c r="G66" s="421" t="str">
        <f ca="1">IF(G$47=0,"",G22+(0.0000001)*COLUMNS($C$47:G$47))</f>
        <v/>
      </c>
      <c r="H66" s="421" t="str">
        <f ca="1">IF(H$47=0,"",H22+(0.0000001)*COLUMNS($C$47:H$47))</f>
        <v/>
      </c>
      <c r="J66" s="420" t="s">
        <v>640</v>
      </c>
      <c r="K66" s="420">
        <f t="shared" ca="1" si="10"/>
        <v>7.3500000999999999</v>
      </c>
      <c r="L66" s="420" t="str">
        <f t="shared" ca="1" si="11"/>
        <v/>
      </c>
      <c r="M66" s="420" t="str">
        <f t="shared" ca="1" si="12"/>
        <v/>
      </c>
      <c r="N66" s="420" t="str">
        <f t="shared" ca="1" si="13"/>
        <v/>
      </c>
      <c r="O66" s="420" t="str">
        <f t="shared" ca="1" si="14"/>
        <v/>
      </c>
      <c r="P66" s="420" t="str">
        <f t="shared" ca="1" si="15"/>
        <v/>
      </c>
    </row>
    <row r="67" spans="2:16">
      <c r="B67" s="420" t="str">
        <f t="shared" si="16"/>
        <v>EPS(MRQ) v 1yr ago</v>
      </c>
      <c r="C67" s="421">
        <f ca="1">C23+(0.0000001)*COLUMNS($C$47:C$47)</f>
        <v>19.320000100000001</v>
      </c>
      <c r="D67" s="421" t="str">
        <f ca="1">IF(D$47=0,"",D23+(0.0000001)*COLUMNS($C$47:D$47))</f>
        <v/>
      </c>
      <c r="E67" s="421" t="str">
        <f ca="1">IF(E$47=0,"",E23+(0.0000001)*COLUMNS($C$47:E$47))</f>
        <v/>
      </c>
      <c r="F67" s="421" t="str">
        <f ca="1">IF(F$47=0,"",F23+(0.0000001)*COLUMNS($C$47:F$47))</f>
        <v/>
      </c>
      <c r="G67" s="421" t="str">
        <f ca="1">IF(G$47=0,"",G23+(0.0000001)*COLUMNS($C$47:G$47))</f>
        <v/>
      </c>
      <c r="H67" s="421" t="str">
        <f ca="1">IF(H$47=0,"",H23+(0.0000001)*COLUMNS($C$47:H$47))</f>
        <v/>
      </c>
      <c r="J67" s="420" t="s">
        <v>641</v>
      </c>
      <c r="K67" s="420">
        <f t="shared" ca="1" si="10"/>
        <v>19.320000100000001</v>
      </c>
      <c r="L67" s="420" t="str">
        <f t="shared" ca="1" si="11"/>
        <v/>
      </c>
      <c r="M67" s="420" t="str">
        <f t="shared" ca="1" si="12"/>
        <v/>
      </c>
      <c r="N67" s="420" t="str">
        <f t="shared" ca="1" si="13"/>
        <v/>
      </c>
      <c r="O67" s="420" t="str">
        <f t="shared" ca="1" si="14"/>
        <v/>
      </c>
      <c r="P67" s="420" t="str">
        <f t="shared" ca="1" si="15"/>
        <v/>
      </c>
    </row>
    <row r="68" spans="2:16">
      <c r="B68" s="420" t="str">
        <f t="shared" si="16"/>
        <v xml:space="preserve">EPS(TTM) v 1yr ago </v>
      </c>
      <c r="C68" s="421">
        <f ca="1">C24+(0.0000001)*COLUMNS($C$47:C$47)</f>
        <v>25.280000100000002</v>
      </c>
      <c r="D68" s="421" t="str">
        <f ca="1">IF(D$47=0,"",D24+(0.0000001)*COLUMNS($C$47:D$47))</f>
        <v/>
      </c>
      <c r="E68" s="421" t="str">
        <f ca="1">IF(E$47=0,"",E24+(0.0000001)*COLUMNS($C$47:E$47))</f>
        <v/>
      </c>
      <c r="F68" s="421" t="str">
        <f ca="1">IF(F$47=0,"",F24+(0.0000001)*COLUMNS($C$47:F$47))</f>
        <v/>
      </c>
      <c r="G68" s="421" t="str">
        <f ca="1">IF(G$47=0,"",G24+(0.0000001)*COLUMNS($C$47:G$47))</f>
        <v/>
      </c>
      <c r="H68" s="421" t="str">
        <f ca="1">IF(H$47=0,"",H24+(0.0000001)*COLUMNS($C$47:H$47))</f>
        <v/>
      </c>
      <c r="J68" s="420" t="s">
        <v>642</v>
      </c>
      <c r="K68" s="420">
        <f t="shared" ca="1" si="10"/>
        <v>25.280000100000002</v>
      </c>
      <c r="L68" s="420" t="str">
        <f t="shared" ca="1" si="11"/>
        <v/>
      </c>
      <c r="M68" s="420" t="str">
        <f t="shared" ca="1" si="12"/>
        <v/>
      </c>
      <c r="N68" s="420" t="str">
        <f t="shared" ca="1" si="13"/>
        <v/>
      </c>
      <c r="O68" s="420" t="str">
        <f t="shared" ca="1" si="14"/>
        <v/>
      </c>
      <c r="P68" s="420" t="str">
        <f t="shared" ca="1" si="15"/>
        <v/>
      </c>
    </row>
    <row r="69" spans="2:16">
      <c r="B69" s="420" t="str">
        <f t="shared" si="16"/>
        <v>EPS 5yr Grth</v>
      </c>
      <c r="C69" s="421">
        <f ca="1">C25+(0.0000001)*COLUMNS($C$47:C$47)</f>
        <v>7.9900001000000005</v>
      </c>
      <c r="D69" s="421" t="str">
        <f ca="1">IF(D$47=0,"",D25+(0.0000001)*COLUMNS($C$47:D$47))</f>
        <v/>
      </c>
      <c r="E69" s="421" t="str">
        <f ca="1">IF(E$47=0,"",E25+(0.0000001)*COLUMNS($C$47:E$47))</f>
        <v/>
      </c>
      <c r="F69" s="421" t="str">
        <f ca="1">IF(F$47=0,"",F25+(0.0000001)*COLUMNS($C$47:F$47))</f>
        <v/>
      </c>
      <c r="G69" s="421" t="str">
        <f ca="1">IF(G$47=0,"",G25+(0.0000001)*COLUMNS($C$47:G$47))</f>
        <v/>
      </c>
      <c r="H69" s="421" t="str">
        <f ca="1">IF(H$47=0,"",H25+(0.0000001)*COLUMNS($C$47:H$47))</f>
        <v/>
      </c>
      <c r="J69" s="420" t="s">
        <v>660</v>
      </c>
      <c r="K69" s="420">
        <f t="shared" ca="1" si="10"/>
        <v>7.9900001000000005</v>
      </c>
      <c r="L69" s="420" t="str">
        <f t="shared" ca="1" si="11"/>
        <v/>
      </c>
      <c r="M69" s="420" t="str">
        <f t="shared" ca="1" si="12"/>
        <v/>
      </c>
      <c r="N69" s="420" t="str">
        <f t="shared" ca="1" si="13"/>
        <v/>
      </c>
      <c r="O69" s="420" t="str">
        <f t="shared" ca="1" si="14"/>
        <v/>
      </c>
      <c r="P69" s="420" t="str">
        <f t="shared" ca="1" si="15"/>
        <v/>
      </c>
    </row>
    <row r="70" spans="2:16">
      <c r="B70" s="420" t="str">
        <f t="shared" si="16"/>
        <v>Quick Ratio(MRQ)</v>
      </c>
      <c r="C70" s="421">
        <f ca="1">C26+(0.0000001)*COLUMNS($C$47:C$47)</f>
        <v>1.1000001000000001</v>
      </c>
      <c r="D70" s="421" t="str">
        <f ca="1">IF(D$47=0,"",D26+(0.0000001)*COLUMNS($C$47:D$47))</f>
        <v/>
      </c>
      <c r="E70" s="421" t="str">
        <f ca="1">IF(E$47=0,"",E26+(0.0000001)*COLUMNS($C$47:E$47))</f>
        <v/>
      </c>
      <c r="F70" s="421" t="str">
        <f ca="1">IF(F$47=0,"",F26+(0.0000001)*COLUMNS($C$47:F$47))</f>
        <v/>
      </c>
      <c r="G70" s="421" t="str">
        <f ca="1">IF(G$47=0,"",G26+(0.0000001)*COLUMNS($C$47:G$47))</f>
        <v/>
      </c>
      <c r="H70" s="421" t="str">
        <f ca="1">IF(H$47=0,"",H26+(0.0000001)*COLUMNS($C$47:H$47))</f>
        <v/>
      </c>
      <c r="J70" s="420" t="s">
        <v>643</v>
      </c>
      <c r="K70" s="420">
        <f t="shared" ca="1" si="10"/>
        <v>1.1000001000000001</v>
      </c>
      <c r="L70" s="420" t="str">
        <f t="shared" ca="1" si="11"/>
        <v/>
      </c>
      <c r="M70" s="420" t="str">
        <f t="shared" ca="1" si="12"/>
        <v/>
      </c>
      <c r="N70" s="420" t="str">
        <f t="shared" ca="1" si="13"/>
        <v/>
      </c>
      <c r="O70" s="420" t="str">
        <f t="shared" ca="1" si="14"/>
        <v/>
      </c>
      <c r="P70" s="420" t="str">
        <f t="shared" ca="1" si="15"/>
        <v/>
      </c>
    </row>
    <row r="71" spans="2:16">
      <c r="B71" s="420" t="str">
        <f t="shared" si="16"/>
        <v>Current Ratio(MRQ)</v>
      </c>
      <c r="C71" s="421">
        <f ca="1">C27+(0.0000001)*COLUMNS($C$47:C$47)</f>
        <v>1.2700001000000001</v>
      </c>
      <c r="D71" s="421" t="str">
        <f ca="1">IF(D$47=0,"",D27+(0.0000001)*COLUMNS($C$47:D$47))</f>
        <v/>
      </c>
      <c r="E71" s="421" t="str">
        <f ca="1">IF(E$47=0,"",E27+(0.0000001)*COLUMNS($C$47:E$47))</f>
        <v/>
      </c>
      <c r="F71" s="421" t="str">
        <f ca="1">IF(F$47=0,"",F27+(0.0000001)*COLUMNS($C$47:F$47))</f>
        <v/>
      </c>
      <c r="G71" s="421" t="str">
        <f ca="1">IF(G$47=0,"",G27+(0.0000001)*COLUMNS($C$47:G$47))</f>
        <v/>
      </c>
      <c r="H71" s="421" t="str">
        <f ca="1">IF(H$47=0,"",H27+(0.0000001)*COLUMNS($C$47:H$47))</f>
        <v/>
      </c>
      <c r="J71" s="420" t="s">
        <v>644</v>
      </c>
      <c r="K71" s="420">
        <f t="shared" ca="1" si="10"/>
        <v>1.2700001000000001</v>
      </c>
      <c r="L71" s="420" t="str">
        <f t="shared" ca="1" si="11"/>
        <v/>
      </c>
      <c r="M71" s="420" t="str">
        <f t="shared" ca="1" si="12"/>
        <v/>
      </c>
      <c r="N71" s="420" t="str">
        <f t="shared" ca="1" si="13"/>
        <v/>
      </c>
      <c r="O71" s="420" t="str">
        <f t="shared" ca="1" si="14"/>
        <v/>
      </c>
      <c r="P71" s="420" t="str">
        <f t="shared" ca="1" si="15"/>
        <v/>
      </c>
    </row>
    <row r="72" spans="2:16">
      <c r="B72" s="420" t="str">
        <f t="shared" si="16"/>
        <v xml:space="preserve">LTD/Eq(MRQ) </v>
      </c>
      <c r="C72" s="421">
        <f ca="1">C28+(0.0000001)*COLUMNS($C$47:C$47)</f>
        <v>17.770000100000001</v>
      </c>
      <c r="D72" s="421" t="str">
        <f ca="1">IF(D$47=0,"",D28+(0.0000001)*COLUMNS($C$47:D$47))</f>
        <v/>
      </c>
      <c r="E72" s="421" t="str">
        <f ca="1">IF(E$47=0,"",E28+(0.0000001)*COLUMNS($C$47:E$47))</f>
        <v/>
      </c>
      <c r="F72" s="421" t="str">
        <f ca="1">IF(F$47=0,"",F28+(0.0000001)*COLUMNS($C$47:F$47))</f>
        <v/>
      </c>
      <c r="G72" s="421" t="str">
        <f ca="1">IF(G$47=0,"",G28+(0.0000001)*COLUMNS($C$47:G$47))</f>
        <v/>
      </c>
      <c r="H72" s="421" t="str">
        <f ca="1">IF(H$47=0,"",H28+(0.0000001)*COLUMNS($C$47:H$47))</f>
        <v/>
      </c>
      <c r="J72" s="420" t="s">
        <v>645</v>
      </c>
      <c r="K72" s="420">
        <f t="shared" ca="1" si="10"/>
        <v>17.770000100000001</v>
      </c>
      <c r="L72" s="420" t="str">
        <f t="shared" ca="1" si="11"/>
        <v/>
      </c>
      <c r="M72" s="420" t="str">
        <f t="shared" ca="1" si="12"/>
        <v/>
      </c>
      <c r="N72" s="420" t="str">
        <f t="shared" ca="1" si="13"/>
        <v/>
      </c>
      <c r="O72" s="420" t="str">
        <f t="shared" ca="1" si="14"/>
        <v/>
      </c>
      <c r="P72" s="420" t="str">
        <f t="shared" ca="1" si="15"/>
        <v/>
      </c>
    </row>
    <row r="73" spans="2:16">
      <c r="B73" s="420" t="str">
        <f t="shared" si="16"/>
        <v xml:space="preserve">Tot D/Eq(MRQ) </v>
      </c>
      <c r="C73" s="421">
        <f ca="1">C29+(0.0000001)*COLUMNS($C$47:C$47)</f>
        <v>46.780000100000002</v>
      </c>
      <c r="D73" s="421" t="str">
        <f ca="1">IF(D$47=0,"",D29+(0.0000001)*COLUMNS($C$47:D$47))</f>
        <v/>
      </c>
      <c r="E73" s="421" t="str">
        <f ca="1">IF(E$47=0,"",E29+(0.0000001)*COLUMNS($C$47:E$47))</f>
        <v/>
      </c>
      <c r="F73" s="421" t="str">
        <f ca="1">IF(F$47=0,"",F29+(0.0000001)*COLUMNS($C$47:F$47))</f>
        <v/>
      </c>
      <c r="G73" s="421" t="str">
        <f ca="1">IF(G$47=0,"",G29+(0.0000001)*COLUMNS($C$47:G$47))</f>
        <v/>
      </c>
      <c r="H73" s="421" t="str">
        <f ca="1">IF(H$47=0,"",H29+(0.0000001)*COLUMNS($C$47:H$47))</f>
        <v/>
      </c>
      <c r="J73" s="420" t="s">
        <v>646</v>
      </c>
      <c r="K73" s="420">
        <f t="shared" ca="1" si="10"/>
        <v>46.780000100000002</v>
      </c>
      <c r="L73" s="420" t="str">
        <f t="shared" ca="1" si="11"/>
        <v/>
      </c>
      <c r="M73" s="420" t="str">
        <f t="shared" ca="1" si="12"/>
        <v/>
      </c>
      <c r="N73" s="420" t="str">
        <f t="shared" ca="1" si="13"/>
        <v/>
      </c>
      <c r="O73" s="420" t="str">
        <f t="shared" ca="1" si="14"/>
        <v/>
      </c>
      <c r="P73" s="420" t="str">
        <f t="shared" ca="1" si="15"/>
        <v/>
      </c>
    </row>
    <row r="74" spans="2:16">
      <c r="B74" s="420" t="str">
        <f t="shared" si="16"/>
        <v>Gross %(TTM)</v>
      </c>
      <c r="C74" s="421">
        <f ca="1">C30+(0.0000001)*COLUMNS($C$47:C$47)</f>
        <v>64.780000099999995</v>
      </c>
      <c r="D74" s="421" t="str">
        <f ca="1">IF(D$47=0,"",D30+(0.0000001)*COLUMNS($C$47:D$47))</f>
        <v/>
      </c>
      <c r="E74" s="421" t="str">
        <f ca="1">IF(E$47=0,"",E30+(0.0000001)*COLUMNS($C$47:E$47))</f>
        <v/>
      </c>
      <c r="F74" s="421" t="str">
        <f ca="1">IF(F$47=0,"",F30+(0.0000001)*COLUMNS($C$47:F$47))</f>
        <v/>
      </c>
      <c r="G74" s="421" t="str">
        <f ca="1">IF(G$47=0,"",G30+(0.0000001)*COLUMNS($C$47:G$47))</f>
        <v/>
      </c>
      <c r="H74" s="421" t="str">
        <f ca="1">IF(H$47=0,"",H30+(0.0000001)*COLUMNS($C$47:H$47))</f>
        <v/>
      </c>
      <c r="J74" s="420" t="s">
        <v>647</v>
      </c>
      <c r="K74" s="420">
        <f t="shared" ca="1" si="10"/>
        <v>64.780000099999995</v>
      </c>
      <c r="L74" s="420" t="str">
        <f t="shared" ca="1" si="11"/>
        <v/>
      </c>
      <c r="M74" s="420" t="str">
        <f t="shared" ca="1" si="12"/>
        <v/>
      </c>
      <c r="N74" s="420" t="str">
        <f t="shared" ca="1" si="13"/>
        <v/>
      </c>
      <c r="O74" s="420" t="str">
        <f t="shared" ca="1" si="14"/>
        <v/>
      </c>
      <c r="P74" s="420" t="str">
        <f t="shared" ca="1" si="15"/>
        <v/>
      </c>
    </row>
    <row r="75" spans="2:16">
      <c r="B75" s="420" t="str">
        <f t="shared" si="16"/>
        <v>Gross % 5yr</v>
      </c>
      <c r="C75" s="421">
        <f ca="1">C31+(0.0000001)*COLUMNS($C$47:C$47)</f>
        <v>64.580000099999992</v>
      </c>
      <c r="D75" s="421" t="str">
        <f ca="1">IF(D$47=0,"",D31+(0.0000001)*COLUMNS($C$47:D$47))</f>
        <v/>
      </c>
      <c r="E75" s="421" t="str">
        <f ca="1">IF(E$47=0,"",E31+(0.0000001)*COLUMNS($C$47:E$47))</f>
        <v/>
      </c>
      <c r="F75" s="421" t="str">
        <f ca="1">IF(F$47=0,"",F31+(0.0000001)*COLUMNS($C$47:F$47))</f>
        <v/>
      </c>
      <c r="G75" s="421" t="str">
        <f ca="1">IF(G$47=0,"",G31+(0.0000001)*COLUMNS($C$47:G$47))</f>
        <v/>
      </c>
      <c r="H75" s="421" t="str">
        <f ca="1">IF(H$47=0,"",H31+(0.0000001)*COLUMNS($C$47:H$47))</f>
        <v/>
      </c>
      <c r="J75" s="420" t="s">
        <v>648</v>
      </c>
      <c r="K75" s="420">
        <f t="shared" ca="1" si="10"/>
        <v>64.580000099999992</v>
      </c>
      <c r="L75" s="420" t="str">
        <f t="shared" ca="1" si="11"/>
        <v/>
      </c>
      <c r="M75" s="420" t="str">
        <f t="shared" ca="1" si="12"/>
        <v/>
      </c>
      <c r="N75" s="420" t="str">
        <f t="shared" ca="1" si="13"/>
        <v/>
      </c>
      <c r="O75" s="420" t="str">
        <f t="shared" ca="1" si="14"/>
        <v/>
      </c>
      <c r="P75" s="420" t="str">
        <f t="shared" ca="1" si="15"/>
        <v/>
      </c>
    </row>
    <row r="76" spans="2:16">
      <c r="B76" s="420" t="str">
        <f t="shared" si="16"/>
        <v xml:space="preserve">Op %(TTM) </v>
      </c>
      <c r="C76" s="421">
        <f ca="1">C32+(0.0000001)*COLUMNS($C$47:C$47)</f>
        <v>27.280000100000002</v>
      </c>
      <c r="D76" s="421" t="str">
        <f ca="1">IF(D$47=0,"",D32+(0.0000001)*COLUMNS($C$47:D$47))</f>
        <v/>
      </c>
      <c r="E76" s="421" t="str">
        <f ca="1">IF(E$47=0,"",E32+(0.0000001)*COLUMNS($C$47:E$47))</f>
        <v/>
      </c>
      <c r="F76" s="421" t="str">
        <f ca="1">IF(F$47=0,"",F32+(0.0000001)*COLUMNS($C$47:F$47))</f>
        <v/>
      </c>
      <c r="G76" s="421" t="str">
        <f ca="1">IF(G$47=0,"",G32+(0.0000001)*COLUMNS($C$47:G$47))</f>
        <v/>
      </c>
      <c r="H76" s="421" t="str">
        <f ca="1">IF(H$47=0,"",H32+(0.0000001)*COLUMNS($C$47:H$47))</f>
        <v/>
      </c>
      <c r="J76" s="420" t="s">
        <v>649</v>
      </c>
      <c r="K76" s="420">
        <f t="shared" ca="1" si="10"/>
        <v>27.280000100000002</v>
      </c>
      <c r="L76" s="420" t="str">
        <f t="shared" ca="1" si="11"/>
        <v/>
      </c>
      <c r="M76" s="420" t="str">
        <f t="shared" ca="1" si="12"/>
        <v/>
      </c>
      <c r="N76" s="420" t="str">
        <f t="shared" ca="1" si="13"/>
        <v/>
      </c>
      <c r="O76" s="420" t="str">
        <f t="shared" ca="1" si="14"/>
        <v/>
      </c>
      <c r="P76" s="420" t="str">
        <f t="shared" ca="1" si="15"/>
        <v/>
      </c>
    </row>
    <row r="77" spans="2:16">
      <c r="B77" s="420" t="str">
        <f t="shared" si="16"/>
        <v>Op % 5yr avg</v>
      </c>
      <c r="C77" s="421">
        <f ca="1">C33+(0.0000001)*COLUMNS($C$47:C$47)</f>
        <v>26.1300001</v>
      </c>
      <c r="D77" s="421" t="str">
        <f ca="1">IF(D$47=0,"",D33+(0.0000001)*COLUMNS($C$47:D$47))</f>
        <v/>
      </c>
      <c r="E77" s="421" t="str">
        <f ca="1">IF(E$47=0,"",E33+(0.0000001)*COLUMNS($C$47:E$47))</f>
        <v/>
      </c>
      <c r="F77" s="421" t="str">
        <f ca="1">IF(F$47=0,"",F33+(0.0000001)*COLUMNS($C$47:F$47))</f>
        <v/>
      </c>
      <c r="G77" s="421" t="str">
        <f ca="1">IF(G$47=0,"",G33+(0.0000001)*COLUMNS($C$47:G$47))</f>
        <v/>
      </c>
      <c r="H77" s="421" t="str">
        <f ca="1">IF(H$47=0,"",H33+(0.0000001)*COLUMNS($C$47:H$47))</f>
        <v/>
      </c>
      <c r="J77" s="420" t="s">
        <v>650</v>
      </c>
      <c r="K77" s="420">
        <f t="shared" ca="1" si="10"/>
        <v>26.1300001</v>
      </c>
      <c r="L77" s="420" t="str">
        <f t="shared" ca="1" si="11"/>
        <v/>
      </c>
      <c r="M77" s="420" t="str">
        <f t="shared" ca="1" si="12"/>
        <v/>
      </c>
      <c r="N77" s="420" t="str">
        <f t="shared" ca="1" si="13"/>
        <v/>
      </c>
      <c r="O77" s="420" t="str">
        <f t="shared" ca="1" si="14"/>
        <v/>
      </c>
      <c r="P77" s="420" t="str">
        <f t="shared" ca="1" si="15"/>
        <v/>
      </c>
    </row>
    <row r="78" spans="2:16">
      <c r="B78" s="420" t="str">
        <f t="shared" si="16"/>
        <v xml:space="preserve">Net %(TTM) </v>
      </c>
      <c r="C78" s="421">
        <f ca="1">C34+(0.0000001)*COLUMNS($C$47:C$47)</f>
        <v>22.8800001</v>
      </c>
      <c r="D78" s="421" t="str">
        <f ca="1">IF(D$47=0,"",D34+(0.0000001)*COLUMNS($C$47:D$47))</f>
        <v/>
      </c>
      <c r="E78" s="421" t="str">
        <f ca="1">IF(E$47=0,"",E34+(0.0000001)*COLUMNS($C$47:E$47))</f>
        <v/>
      </c>
      <c r="F78" s="421" t="str">
        <f ca="1">IF(F$47=0,"",F34+(0.0000001)*COLUMNS($C$47:F$47))</f>
        <v/>
      </c>
      <c r="G78" s="421" t="str">
        <f ca="1">IF(G$47=0,"",G34+(0.0000001)*COLUMNS($C$47:G$47))</f>
        <v/>
      </c>
      <c r="H78" s="421" t="str">
        <f ca="1">IF(H$47=0,"",H34+(0.0000001)*COLUMNS($C$47:H$47))</f>
        <v/>
      </c>
      <c r="J78" s="420" t="s">
        <v>651</v>
      </c>
      <c r="K78" s="420">
        <f t="shared" ca="1" si="10"/>
        <v>22.8800001</v>
      </c>
      <c r="L78" s="420" t="str">
        <f t="shared" ca="1" si="11"/>
        <v/>
      </c>
      <c r="M78" s="420" t="str">
        <f t="shared" ca="1" si="12"/>
        <v/>
      </c>
      <c r="N78" s="420" t="str">
        <f t="shared" ca="1" si="13"/>
        <v/>
      </c>
      <c r="O78" s="420" t="str">
        <f t="shared" ca="1" si="14"/>
        <v/>
      </c>
      <c r="P78" s="420" t="str">
        <f t="shared" ca="1" si="15"/>
        <v/>
      </c>
    </row>
    <row r="79" spans="2:16">
      <c r="B79" s="420" t="str">
        <f t="shared" si="16"/>
        <v>Net % 5yr avg</v>
      </c>
      <c r="C79" s="421">
        <f ca="1">C35+(0.0000001)*COLUMNS($C$47:C$47)</f>
        <v>20.690000100000002</v>
      </c>
      <c r="D79" s="421" t="str">
        <f ca="1">IF(D$47=0,"",D35+(0.0000001)*COLUMNS($C$47:D$47))</f>
        <v/>
      </c>
      <c r="E79" s="421" t="str">
        <f ca="1">IF(E$47=0,"",E35+(0.0000001)*COLUMNS($C$47:E$47))</f>
        <v/>
      </c>
      <c r="F79" s="421" t="str">
        <f ca="1">IF(F$47=0,"",F35+(0.0000001)*COLUMNS($C$47:F$47))</f>
        <v/>
      </c>
      <c r="G79" s="421" t="str">
        <f ca="1">IF(G$47=0,"",G35+(0.0000001)*COLUMNS($C$47:G$47))</f>
        <v/>
      </c>
      <c r="H79" s="421" t="str">
        <f ca="1">IF(H$47=0,"",H35+(0.0000001)*COLUMNS($C$47:H$47))</f>
        <v/>
      </c>
      <c r="J79" s="420" t="s">
        <v>652</v>
      </c>
      <c r="K79" s="420">
        <f t="shared" ca="1" si="10"/>
        <v>20.690000100000002</v>
      </c>
      <c r="L79" s="420" t="str">
        <f t="shared" ca="1" si="11"/>
        <v/>
      </c>
      <c r="M79" s="420" t="str">
        <f t="shared" ca="1" si="12"/>
        <v/>
      </c>
      <c r="N79" s="420" t="str">
        <f t="shared" ca="1" si="13"/>
        <v/>
      </c>
      <c r="O79" s="420" t="str">
        <f t="shared" ca="1" si="14"/>
        <v/>
      </c>
      <c r="P79" s="420" t="str">
        <f t="shared" ca="1" si="15"/>
        <v/>
      </c>
    </row>
    <row r="80" spans="2:16">
      <c r="B80" s="420" t="str">
        <f t="shared" si="16"/>
        <v xml:space="preserve">ROA(TTM) </v>
      </c>
      <c r="C80" s="421">
        <f ca="1">C36+(0.0000001)*COLUMNS($C$47:C$47)</f>
        <v>15.850000099999999</v>
      </c>
      <c r="D80" s="421" t="str">
        <f ca="1">IF(D$47=0,"",D36+(0.0000001)*COLUMNS($C$47:D$47))</f>
        <v/>
      </c>
      <c r="E80" s="421" t="str">
        <f ca="1">IF(E$47=0,"",E36+(0.0000001)*COLUMNS($C$47:E$47))</f>
        <v/>
      </c>
      <c r="F80" s="421" t="str">
        <f ca="1">IF(F$47=0,"",F36+(0.0000001)*COLUMNS($C$47:F$47))</f>
        <v/>
      </c>
      <c r="G80" s="421" t="str">
        <f ca="1">IF(G$47=0,"",G36+(0.0000001)*COLUMNS($C$47:G$47))</f>
        <v/>
      </c>
      <c r="H80" s="421" t="str">
        <f ca="1">IF(H$47=0,"",H36+(0.0000001)*COLUMNS($C$47:H$47))</f>
        <v/>
      </c>
      <c r="J80" s="420" t="s">
        <v>653</v>
      </c>
      <c r="K80" s="420">
        <f t="shared" ca="1" si="10"/>
        <v>15.850000099999999</v>
      </c>
      <c r="L80" s="420" t="str">
        <f t="shared" ca="1" si="11"/>
        <v/>
      </c>
      <c r="M80" s="420" t="str">
        <f t="shared" ca="1" si="12"/>
        <v/>
      </c>
      <c r="N80" s="420" t="str">
        <f t="shared" ca="1" si="13"/>
        <v/>
      </c>
      <c r="O80" s="420" t="str">
        <f t="shared" ca="1" si="14"/>
        <v/>
      </c>
      <c r="P80" s="420" t="str">
        <f t="shared" ca="1" si="15"/>
        <v/>
      </c>
    </row>
    <row r="81" spans="2:16">
      <c r="B81" s="420" t="str">
        <f t="shared" si="16"/>
        <v>ROA 5yr avg</v>
      </c>
      <c r="C81" s="421">
        <f ca="1">C37+(0.0000001)*COLUMNS($C$47:C$47)</f>
        <v>15.700000099999999</v>
      </c>
      <c r="D81" s="421" t="str">
        <f ca="1">IF(D$47=0,"",D37+(0.0000001)*COLUMNS($C$47:D$47))</f>
        <v/>
      </c>
      <c r="E81" s="421" t="str">
        <f ca="1">IF(E$47=0,"",E37+(0.0000001)*COLUMNS($C$47:E$47))</f>
        <v/>
      </c>
      <c r="F81" s="421" t="str">
        <f ca="1">IF(F$47=0,"",F37+(0.0000001)*COLUMNS($C$47:F$47))</f>
        <v/>
      </c>
      <c r="G81" s="421" t="str">
        <f ca="1">IF(G$47=0,"",G37+(0.0000001)*COLUMNS($C$47:G$47))</f>
        <v/>
      </c>
      <c r="H81" s="421" t="str">
        <f ca="1">IF(H$47=0,"",H37+(0.0000001)*COLUMNS($C$47:H$47))</f>
        <v/>
      </c>
      <c r="J81" s="420" t="s">
        <v>654</v>
      </c>
      <c r="K81" s="420">
        <f t="shared" ca="1" si="10"/>
        <v>15.700000099999999</v>
      </c>
      <c r="L81" s="420" t="str">
        <f t="shared" ca="1" si="11"/>
        <v/>
      </c>
      <c r="M81" s="420" t="str">
        <f t="shared" ca="1" si="12"/>
        <v/>
      </c>
      <c r="N81" s="420" t="str">
        <f t="shared" ca="1" si="13"/>
        <v/>
      </c>
      <c r="O81" s="420" t="str">
        <f t="shared" ca="1" si="14"/>
        <v/>
      </c>
      <c r="P81" s="420" t="str">
        <f t="shared" ca="1" si="15"/>
        <v/>
      </c>
    </row>
    <row r="82" spans="2:16">
      <c r="B82" s="420" t="str">
        <f t="shared" si="16"/>
        <v xml:space="preserve">ROE(TTM) </v>
      </c>
      <c r="C82" s="421">
        <f ca="1">C38+(0.0000001)*COLUMNS($C$47:C$47)</f>
        <v>31.110000100000001</v>
      </c>
      <c r="D82" s="421" t="str">
        <f ca="1">IF(D$47=0,"",D38+(0.0000001)*COLUMNS($C$47:D$47))</f>
        <v/>
      </c>
      <c r="E82" s="421" t="str">
        <f ca="1">IF(E$47=0,"",E38+(0.0000001)*COLUMNS($C$47:E$47))</f>
        <v/>
      </c>
      <c r="F82" s="421" t="str">
        <f ca="1">IF(F$47=0,"",F38+(0.0000001)*COLUMNS($C$47:F$47))</f>
        <v/>
      </c>
      <c r="G82" s="421" t="str">
        <f ca="1">IF(G$47=0,"",G38+(0.0000001)*COLUMNS($C$47:G$47))</f>
        <v/>
      </c>
      <c r="H82" s="421" t="str">
        <f ca="1">IF(H$47=0,"",H38+(0.0000001)*COLUMNS($C$47:H$47))</f>
        <v/>
      </c>
      <c r="J82" s="420" t="s">
        <v>655</v>
      </c>
      <c r="K82" s="420">
        <f t="shared" ca="1" si="10"/>
        <v>31.110000100000001</v>
      </c>
      <c r="L82" s="420" t="str">
        <f t="shared" ca="1" si="11"/>
        <v/>
      </c>
      <c r="M82" s="420" t="str">
        <f t="shared" ca="1" si="12"/>
        <v/>
      </c>
      <c r="N82" s="420" t="str">
        <f t="shared" ca="1" si="13"/>
        <v/>
      </c>
      <c r="O82" s="420" t="str">
        <f t="shared" ca="1" si="14"/>
        <v/>
      </c>
      <c r="P82" s="420" t="str">
        <f t="shared" ca="1" si="15"/>
        <v/>
      </c>
    </row>
    <row r="83" spans="2:16">
      <c r="B83" s="420" t="str">
        <f t="shared" si="16"/>
        <v>ROE 5yr avg</v>
      </c>
      <c r="C83" s="421">
        <f ca="1">C39+(0.0000001)*COLUMNS($C$47:C$47)</f>
        <v>29.800000100000002</v>
      </c>
      <c r="D83" s="421" t="str">
        <f ca="1">IF(D$47=0,"",D39+(0.0000001)*COLUMNS($C$47:D$47))</f>
        <v/>
      </c>
      <c r="E83" s="421" t="str">
        <f ca="1">IF(E$47=0,"",E39+(0.0000001)*COLUMNS($C$47:E$47))</f>
        <v/>
      </c>
      <c r="F83" s="421" t="str">
        <f ca="1">IF(F$47=0,"",F39+(0.0000001)*COLUMNS($C$47:F$47))</f>
        <v/>
      </c>
      <c r="G83" s="421" t="str">
        <f ca="1">IF(G$47=0,"",G39+(0.0000001)*COLUMNS($C$47:G$47))</f>
        <v/>
      </c>
      <c r="H83" s="421" t="str">
        <f ca="1">IF(H$47=0,"",H39+(0.0000001)*COLUMNS($C$47:H$47))</f>
        <v/>
      </c>
      <c r="J83" s="420" t="s">
        <v>656</v>
      </c>
      <c r="K83" s="420">
        <f t="shared" ca="1" si="10"/>
        <v>29.800000100000002</v>
      </c>
      <c r="L83" s="420" t="str">
        <f t="shared" ca="1" si="11"/>
        <v/>
      </c>
      <c r="M83" s="420" t="str">
        <f t="shared" ca="1" si="12"/>
        <v/>
      </c>
      <c r="N83" s="420" t="str">
        <f t="shared" ca="1" si="13"/>
        <v/>
      </c>
      <c r="O83" s="420" t="str">
        <f t="shared" ca="1" si="14"/>
        <v/>
      </c>
      <c r="P83" s="420" t="str">
        <f t="shared" ca="1" si="15"/>
        <v/>
      </c>
    </row>
    <row r="84" spans="2:16">
      <c r="B84" s="420" t="str">
        <f t="shared" si="16"/>
        <v>Rec Turnover(TTM)</v>
      </c>
      <c r="C84" s="421">
        <f ca="1">C40+(0.0000001)*COLUMNS($C$47:C$47)</f>
        <v>9.1600000999999995</v>
      </c>
      <c r="D84" s="421" t="str">
        <f ca="1">IF(D$47=0,"",D40+(0.0000001)*COLUMNS($C$47:D$47))</f>
        <v/>
      </c>
      <c r="E84" s="421" t="str">
        <f ca="1">IF(E$47=0,"",E40+(0.0000001)*COLUMNS($C$47:E$47))</f>
        <v/>
      </c>
      <c r="F84" s="421" t="str">
        <f ca="1">IF(F$47=0,"",F40+(0.0000001)*COLUMNS($C$47:F$47))</f>
        <v/>
      </c>
      <c r="G84" s="421" t="str">
        <f ca="1">IF(G$47=0,"",G40+(0.0000001)*COLUMNS($C$47:G$47))</f>
        <v/>
      </c>
      <c r="H84" s="421" t="str">
        <f ca="1">IF(H$47=0,"",H40+(0.0000001)*COLUMNS($C$47:H$47))</f>
        <v/>
      </c>
      <c r="J84" s="420" t="s">
        <v>657</v>
      </c>
      <c r="K84" s="420">
        <f t="shared" ca="1" si="10"/>
        <v>9.1600000999999995</v>
      </c>
      <c r="L84" s="420" t="str">
        <f t="shared" ca="1" si="11"/>
        <v/>
      </c>
      <c r="M84" s="420" t="str">
        <f t="shared" ca="1" si="12"/>
        <v/>
      </c>
      <c r="N84" s="420" t="str">
        <f t="shared" ca="1" si="13"/>
        <v/>
      </c>
      <c r="O84" s="420" t="str">
        <f t="shared" ca="1" si="14"/>
        <v/>
      </c>
      <c r="P84" s="420" t="str">
        <f t="shared" ca="1" si="15"/>
        <v/>
      </c>
    </row>
    <row r="85" spans="2:16">
      <c r="B85" s="420" t="str">
        <f t="shared" si="16"/>
        <v>Inv Turnover(TTM)</v>
      </c>
      <c r="C85" s="421">
        <f ca="1">C41+(0.0000001)*COLUMNS($C$47:C$47)</f>
        <v>4.7700000999999999</v>
      </c>
      <c r="D85" s="421" t="str">
        <f ca="1">IF(D$47=0,"",D41+(0.0000001)*COLUMNS($C$47:D$47))</f>
        <v/>
      </c>
      <c r="E85" s="421" t="str">
        <f ca="1">IF(E$47=0,"",E41+(0.0000001)*COLUMNS($C$47:E$47))</f>
        <v/>
      </c>
      <c r="F85" s="421" t="str">
        <f ca="1">IF(F$47=0,"",F41+(0.0000001)*COLUMNS($C$47:F$47))</f>
        <v/>
      </c>
      <c r="G85" s="421" t="str">
        <f ca="1">IF(G$47=0,"",G41+(0.0000001)*COLUMNS($C$47:G$47))</f>
        <v/>
      </c>
      <c r="H85" s="421" t="str">
        <f ca="1">IF(H$47=0,"",H41+(0.0000001)*COLUMNS($C$47:H$47))</f>
        <v/>
      </c>
      <c r="J85" s="420" t="s">
        <v>658</v>
      </c>
      <c r="K85" s="420">
        <f t="shared" ca="1" si="10"/>
        <v>4.7700000999999999</v>
      </c>
      <c r="L85" s="420" t="str">
        <f t="shared" ca="1" si="11"/>
        <v/>
      </c>
      <c r="M85" s="420" t="str">
        <f t="shared" ca="1" si="12"/>
        <v/>
      </c>
      <c r="N85" s="420" t="str">
        <f t="shared" ca="1" si="13"/>
        <v/>
      </c>
      <c r="O85" s="420" t="str">
        <f t="shared" ca="1" si="14"/>
        <v/>
      </c>
      <c r="P85" s="420" t="str">
        <f t="shared" ca="1" si="15"/>
        <v/>
      </c>
    </row>
    <row r="86" spans="2:16">
      <c r="B86" s="420" t="str">
        <f t="shared" si="16"/>
        <v>Asset Turnover(TTM)</v>
      </c>
      <c r="C86" s="421">
        <f ca="1">C42+(0.0000001)*COLUMNS($C$47:C$47)</f>
        <v>0.69000009999999989</v>
      </c>
      <c r="D86" s="421" t="str">
        <f ca="1">IF(D$47=0,"",D42+(0.0000001)*COLUMNS($C$47:D$47))</f>
        <v/>
      </c>
      <c r="E86" s="421" t="str">
        <f ca="1">IF(E$47=0,"",E42+(0.0000001)*COLUMNS($C$47:E$47))</f>
        <v/>
      </c>
      <c r="F86" s="421" t="str">
        <f ca="1">IF(F$47=0,"",F42+(0.0000001)*COLUMNS($C$47:F$47))</f>
        <v/>
      </c>
      <c r="G86" s="421" t="str">
        <f ca="1">IF(G$47=0,"",G42+(0.0000001)*COLUMNS($C$47:G$47))</f>
        <v/>
      </c>
      <c r="H86" s="421" t="str">
        <f ca="1">IF(H$47=0,"",H42+(0.0000001)*COLUMNS($C$47:H$47))</f>
        <v/>
      </c>
      <c r="J86" s="420" t="s">
        <v>659</v>
      </c>
      <c r="K86" s="420">
        <f t="shared" ca="1" si="10"/>
        <v>0.69000009999999989</v>
      </c>
      <c r="L86" s="420" t="str">
        <f t="shared" ca="1" si="11"/>
        <v/>
      </c>
      <c r="M86" s="420" t="str">
        <f t="shared" ca="1" si="12"/>
        <v/>
      </c>
      <c r="N86" s="420" t="str">
        <f t="shared" ca="1" si="13"/>
        <v/>
      </c>
      <c r="O86" s="420" t="str">
        <f t="shared" ca="1" si="14"/>
        <v/>
      </c>
      <c r="P86" s="420" t="str">
        <f t="shared" ca="1" si="15"/>
        <v/>
      </c>
    </row>
    <row r="88" spans="2:16">
      <c r="B88" s="570" t="s">
        <v>662</v>
      </c>
      <c r="C88" s="569"/>
      <c r="D88" s="569"/>
      <c r="E88" s="569"/>
      <c r="F88" s="569"/>
      <c r="G88" s="569"/>
      <c r="H88" s="569"/>
    </row>
    <row r="89" spans="2:16">
      <c r="B89" s="422" t="s">
        <v>559</v>
      </c>
      <c r="C89" s="420">
        <f ca="1">MATCH(Competitors!B7,list_compdata,0)</f>
        <v>10</v>
      </c>
    </row>
    <row r="90" spans="2:16">
      <c r="B90" s="420" t="s">
        <v>558</v>
      </c>
      <c r="C90" s="420">
        <f ca="1">MATCH(LARGE(OFFSET($K$48,$C$89-1,0,1,6),COLUMNS($C$90:C$90)),OFFSET($K$48,$C$89-1,0,1,6),0)</f>
        <v>1</v>
      </c>
      <c r="D90" s="420" t="e">
        <f ca="1">MATCH(LARGE(OFFSET($K$48,$C$89-1,0,1,6),COLUMNS($C$90:D$90)),OFFSET($K$48,$C$89-1,0,1,6),0)</f>
        <v>#NUM!</v>
      </c>
      <c r="E90" s="420" t="e">
        <f ca="1">MATCH(LARGE(OFFSET($K$48,$C$89-1,0,1,6),COLUMNS($C$90:E$90)),OFFSET($K$48,$C$89-1,0,1,6),0)</f>
        <v>#NUM!</v>
      </c>
      <c r="F90" s="420" t="e">
        <f ca="1">MATCH(LARGE(OFFSET($K$48,$C$89-1,0,1,6),COLUMNS($C$90:F$90)),OFFSET($K$48,$C$89-1,0,1,6),0)</f>
        <v>#NUM!</v>
      </c>
      <c r="G90" s="420" t="e">
        <f ca="1">MATCH(LARGE(OFFSET($K$48,$C$89-1,0,1,6),COLUMNS($C$90:G$90)),OFFSET($K$48,$C$89-1,0,1,6),0)</f>
        <v>#NUM!</v>
      </c>
      <c r="H90" s="420" t="e">
        <f ca="1">MATCH(LARGE(OFFSET($K$48,$C$89-1,0,1,6),COLUMNS($C$90:H$90)),OFFSET($K$48,$C$89-1,0,1,6),0)</f>
        <v>#NUM!</v>
      </c>
    </row>
    <row r="92" spans="2:16">
      <c r="B92" s="570" t="s">
        <v>667</v>
      </c>
      <c r="C92" s="570"/>
      <c r="D92" s="570"/>
      <c r="E92" s="570"/>
      <c r="F92" s="570"/>
      <c r="G92" s="570"/>
      <c r="H92" s="570"/>
      <c r="J92" s="570" t="s">
        <v>669</v>
      </c>
      <c r="K92" s="570"/>
      <c r="L92" s="570"/>
      <c r="M92" s="570"/>
      <c r="N92" s="570"/>
      <c r="O92" s="570"/>
      <c r="P92" s="570"/>
    </row>
    <row r="93" spans="2:16">
      <c r="C93" s="420" t="str">
        <f t="shared" ref="C93:H93" ca="1" si="17">INDEX($C47:$H47,C$90)</f>
        <v>KO</v>
      </c>
      <c r="D93" s="420" t="e">
        <f t="shared" ca="1" si="17"/>
        <v>#NUM!</v>
      </c>
      <c r="E93" s="420" t="e">
        <f t="shared" ca="1" si="17"/>
        <v>#NUM!</v>
      </c>
      <c r="F93" s="420" t="e">
        <f t="shared" ca="1" si="17"/>
        <v>#NUM!</v>
      </c>
      <c r="G93" s="420" t="e">
        <f t="shared" ca="1" si="17"/>
        <v>#NUM!</v>
      </c>
      <c r="H93" s="420" t="e">
        <f t="shared" ca="1" si="17"/>
        <v>#NUM!</v>
      </c>
      <c r="K93" s="420" t="str">
        <f t="shared" ref="K93:P93" ca="1" si="18">INDEX($C47:$H47,C90)</f>
        <v>KO</v>
      </c>
      <c r="L93" s="420" t="e">
        <f t="shared" ca="1" si="18"/>
        <v>#NUM!</v>
      </c>
      <c r="M93" s="420" t="e">
        <f t="shared" ca="1" si="18"/>
        <v>#NUM!</v>
      </c>
      <c r="N93" s="420" t="e">
        <f t="shared" ca="1" si="18"/>
        <v>#NUM!</v>
      </c>
      <c r="O93" s="420" t="e">
        <f t="shared" ca="1" si="18"/>
        <v>#NUM!</v>
      </c>
      <c r="P93" s="420" t="e">
        <f t="shared" ca="1" si="18"/>
        <v>#NUM!</v>
      </c>
    </row>
    <row r="94" spans="2:16">
      <c r="B94" s="420" t="str">
        <f>B4</f>
        <v>Stock Price</v>
      </c>
      <c r="C94" s="420">
        <f t="shared" ref="C94:C105" ca="1" si="19">INDEX($K48:$P48,C$90)</f>
        <v>52.4000001</v>
      </c>
      <c r="D94" s="420" t="e">
        <f t="shared" ref="D94:H105" ca="1" si="20">(INDEX($K48:$P48,D$90))</f>
        <v>#NUM!</v>
      </c>
      <c r="E94" s="420" t="e">
        <f t="shared" ca="1" si="20"/>
        <v>#NUM!</v>
      </c>
      <c r="F94" s="420" t="e">
        <f t="shared" ca="1" si="20"/>
        <v>#NUM!</v>
      </c>
      <c r="G94" s="420" t="e">
        <f t="shared" ca="1" si="20"/>
        <v>#NUM!</v>
      </c>
      <c r="H94" s="420" t="e">
        <f t="shared" ca="1" si="20"/>
        <v>#NUM!</v>
      </c>
      <c r="J94" s="420" t="str">
        <f>B94</f>
        <v>Stock Price</v>
      </c>
      <c r="K94" s="420">
        <f t="shared" ref="K94:P98" ca="1" si="21">INT(INDEX($K48:$P48,C$90))</f>
        <v>52</v>
      </c>
      <c r="L94" s="420" t="e">
        <f t="shared" ca="1" si="21"/>
        <v>#NUM!</v>
      </c>
      <c r="M94" s="420" t="e">
        <f t="shared" ca="1" si="21"/>
        <v>#NUM!</v>
      </c>
      <c r="N94" s="420" t="e">
        <f t="shared" ca="1" si="21"/>
        <v>#NUM!</v>
      </c>
      <c r="O94" s="420" t="e">
        <f t="shared" ca="1" si="21"/>
        <v>#NUM!</v>
      </c>
      <c r="P94" s="420" t="e">
        <f t="shared" ca="1" si="21"/>
        <v>#NUM!</v>
      </c>
    </row>
    <row r="95" spans="2:16">
      <c r="B95" s="420" t="str">
        <f>B5</f>
        <v>Mkt Cap ($M)</v>
      </c>
      <c r="C95" s="420">
        <f t="shared" ca="1" si="19"/>
        <v>120830.0000001</v>
      </c>
      <c r="D95" s="420" t="e">
        <f t="shared" ca="1" si="20"/>
        <v>#NUM!</v>
      </c>
      <c r="E95" s="420" t="e">
        <f t="shared" ca="1" si="20"/>
        <v>#NUM!</v>
      </c>
      <c r="F95" s="420" t="e">
        <f t="shared" ca="1" si="20"/>
        <v>#NUM!</v>
      </c>
      <c r="G95" s="420" t="e">
        <f t="shared" ca="1" si="20"/>
        <v>#NUM!</v>
      </c>
      <c r="H95" s="420" t="e">
        <f t="shared" ca="1" si="20"/>
        <v>#NUM!</v>
      </c>
      <c r="J95" s="420" t="str">
        <f t="shared" ref="J95:J132" si="22">B95</f>
        <v>Mkt Cap ($M)</v>
      </c>
      <c r="K95" s="420">
        <f t="shared" ca="1" si="21"/>
        <v>120830</v>
      </c>
      <c r="L95" s="420" t="e">
        <f t="shared" ca="1" si="21"/>
        <v>#NUM!</v>
      </c>
      <c r="M95" s="420" t="e">
        <f t="shared" ca="1" si="21"/>
        <v>#NUM!</v>
      </c>
      <c r="N95" s="420" t="e">
        <f t="shared" ca="1" si="21"/>
        <v>#NUM!</v>
      </c>
      <c r="O95" s="420" t="e">
        <f t="shared" ca="1" si="21"/>
        <v>#NUM!</v>
      </c>
      <c r="P95" s="420" t="e">
        <f t="shared" ca="1" si="21"/>
        <v>#NUM!</v>
      </c>
    </row>
    <row r="96" spans="2:16">
      <c r="B96" s="420" t="str">
        <f>B6</f>
        <v>EV</v>
      </c>
      <c r="C96" s="420">
        <f t="shared" ca="1" si="19"/>
        <v>123730.0000001</v>
      </c>
      <c r="D96" s="420" t="e">
        <f t="shared" ca="1" si="20"/>
        <v>#NUM!</v>
      </c>
      <c r="E96" s="420" t="e">
        <f t="shared" ca="1" si="20"/>
        <v>#NUM!</v>
      </c>
      <c r="F96" s="420" t="e">
        <f t="shared" ca="1" si="20"/>
        <v>#NUM!</v>
      </c>
      <c r="G96" s="420" t="e">
        <f t="shared" ca="1" si="20"/>
        <v>#NUM!</v>
      </c>
      <c r="H96" s="420" t="e">
        <f t="shared" ca="1" si="20"/>
        <v>#NUM!</v>
      </c>
      <c r="J96" s="420" t="str">
        <f t="shared" si="22"/>
        <v>EV</v>
      </c>
      <c r="K96" s="420">
        <f t="shared" ca="1" si="21"/>
        <v>123730</v>
      </c>
      <c r="L96" s="420" t="e">
        <f t="shared" ca="1" si="21"/>
        <v>#NUM!</v>
      </c>
      <c r="M96" s="420" t="e">
        <f t="shared" ca="1" si="21"/>
        <v>#NUM!</v>
      </c>
      <c r="N96" s="420" t="e">
        <f t="shared" ca="1" si="21"/>
        <v>#NUM!</v>
      </c>
      <c r="O96" s="420" t="e">
        <f t="shared" ca="1" si="21"/>
        <v>#NUM!</v>
      </c>
      <c r="P96" s="420" t="e">
        <f t="shared" ca="1" si="21"/>
        <v>#NUM!</v>
      </c>
    </row>
    <row r="97" spans="2:16">
      <c r="B97" s="420" t="str">
        <f t="shared" ref="B97:B104" si="23">B7</f>
        <v>52 Wk High</v>
      </c>
      <c r="C97" s="420">
        <f t="shared" ca="1" si="19"/>
        <v>59.450000100000004</v>
      </c>
      <c r="D97" s="420" t="e">
        <f t="shared" ca="1" si="20"/>
        <v>#NUM!</v>
      </c>
      <c r="E97" s="420" t="e">
        <f t="shared" ca="1" si="20"/>
        <v>#NUM!</v>
      </c>
      <c r="F97" s="420" t="e">
        <f t="shared" ca="1" si="20"/>
        <v>#NUM!</v>
      </c>
      <c r="G97" s="420" t="e">
        <f t="shared" ca="1" si="20"/>
        <v>#NUM!</v>
      </c>
      <c r="H97" s="420" t="e">
        <f t="shared" ca="1" si="20"/>
        <v>#NUM!</v>
      </c>
      <c r="J97" s="420" t="str">
        <f t="shared" si="22"/>
        <v>52 Wk High</v>
      </c>
      <c r="K97" s="420">
        <f t="shared" ca="1" si="21"/>
        <v>59</v>
      </c>
      <c r="L97" s="420" t="e">
        <f t="shared" ca="1" si="21"/>
        <v>#NUM!</v>
      </c>
      <c r="M97" s="420" t="e">
        <f t="shared" ca="1" si="21"/>
        <v>#NUM!</v>
      </c>
      <c r="N97" s="420" t="e">
        <f t="shared" ca="1" si="21"/>
        <v>#NUM!</v>
      </c>
      <c r="O97" s="420" t="e">
        <f t="shared" ca="1" si="21"/>
        <v>#NUM!</v>
      </c>
      <c r="P97" s="420" t="e">
        <f t="shared" ca="1" si="21"/>
        <v>#NUM!</v>
      </c>
    </row>
    <row r="98" spans="2:16">
      <c r="B98" s="420" t="str">
        <f t="shared" si="23"/>
        <v>52 Wk Low</v>
      </c>
      <c r="C98" s="420">
        <f t="shared" ca="1" si="19"/>
        <v>47.420000100000003</v>
      </c>
      <c r="D98" s="420" t="e">
        <f t="shared" ca="1" si="20"/>
        <v>#NUM!</v>
      </c>
      <c r="E98" s="420" t="e">
        <f t="shared" ca="1" si="20"/>
        <v>#NUM!</v>
      </c>
      <c r="F98" s="420" t="e">
        <f t="shared" ca="1" si="20"/>
        <v>#NUM!</v>
      </c>
      <c r="G98" s="420" t="e">
        <f t="shared" ca="1" si="20"/>
        <v>#NUM!</v>
      </c>
      <c r="H98" s="420" t="e">
        <f t="shared" ca="1" si="20"/>
        <v>#NUM!</v>
      </c>
      <c r="J98" s="420" t="str">
        <f t="shared" si="22"/>
        <v>52 Wk Low</v>
      </c>
      <c r="K98" s="420">
        <f t="shared" ca="1" si="21"/>
        <v>47</v>
      </c>
      <c r="L98" s="420" t="e">
        <f t="shared" ca="1" si="21"/>
        <v>#NUM!</v>
      </c>
      <c r="M98" s="420" t="e">
        <f t="shared" ca="1" si="21"/>
        <v>#NUM!</v>
      </c>
      <c r="N98" s="420" t="e">
        <f t="shared" ca="1" si="21"/>
        <v>#NUM!</v>
      </c>
      <c r="O98" s="420" t="e">
        <f t="shared" ca="1" si="21"/>
        <v>#NUM!</v>
      </c>
      <c r="P98" s="420" t="e">
        <f t="shared" ca="1" si="21"/>
        <v>#NUM!</v>
      </c>
    </row>
    <row r="99" spans="2:16">
      <c r="B99" s="420" t="str">
        <f t="shared" si="23"/>
        <v>% off 52Wk Low</v>
      </c>
      <c r="C99" s="420">
        <f t="shared" ca="1" si="19"/>
        <v>0.10501907933361444</v>
      </c>
      <c r="D99" s="420" t="e">
        <f t="shared" ca="1" si="20"/>
        <v>#NUM!</v>
      </c>
      <c r="E99" s="420" t="e">
        <f t="shared" ca="1" si="20"/>
        <v>#NUM!</v>
      </c>
      <c r="F99" s="420" t="e">
        <f t="shared" ca="1" si="20"/>
        <v>#NUM!</v>
      </c>
      <c r="G99" s="420" t="e">
        <f t="shared" ca="1" si="20"/>
        <v>#NUM!</v>
      </c>
      <c r="H99" s="420" t="e">
        <f t="shared" ca="1" si="20"/>
        <v>#NUM!</v>
      </c>
      <c r="J99" s="420" t="str">
        <f t="shared" si="22"/>
        <v>% off 52Wk Low</v>
      </c>
      <c r="K99" s="597">
        <f t="shared" ref="K99:P99" ca="1" si="24">INT(INDEX($K53:$P53,C$90)*100)</f>
        <v>10</v>
      </c>
      <c r="L99" s="597" t="e">
        <f t="shared" ca="1" si="24"/>
        <v>#NUM!</v>
      </c>
      <c r="M99" s="597" t="e">
        <f t="shared" ca="1" si="24"/>
        <v>#NUM!</v>
      </c>
      <c r="N99" s="597" t="e">
        <f t="shared" ca="1" si="24"/>
        <v>#NUM!</v>
      </c>
      <c r="O99" s="597" t="e">
        <f t="shared" ca="1" si="24"/>
        <v>#NUM!</v>
      </c>
      <c r="P99" s="597" t="e">
        <f t="shared" ca="1" si="24"/>
        <v>#NUM!</v>
      </c>
    </row>
    <row r="100" spans="2:16">
      <c r="B100" s="420" t="str">
        <f t="shared" si="23"/>
        <v xml:space="preserve">P/E(TTM) </v>
      </c>
      <c r="C100" s="420">
        <f t="shared" ca="1" si="19"/>
        <v>17.2200001</v>
      </c>
      <c r="D100" s="420" t="e">
        <f t="shared" ca="1" si="20"/>
        <v>#NUM!</v>
      </c>
      <c r="E100" s="420" t="e">
        <f t="shared" ca="1" si="20"/>
        <v>#NUM!</v>
      </c>
      <c r="F100" s="420" t="e">
        <f t="shared" ca="1" si="20"/>
        <v>#NUM!</v>
      </c>
      <c r="G100" s="420" t="e">
        <f t="shared" ca="1" si="20"/>
        <v>#NUM!</v>
      </c>
      <c r="H100" s="420" t="e">
        <f t="shared" ca="1" si="20"/>
        <v>#NUM!</v>
      </c>
      <c r="J100" s="420" t="str">
        <f t="shared" si="22"/>
        <v xml:space="preserve">P/E(TTM) </v>
      </c>
      <c r="K100" s="420">
        <f t="shared" ref="K100:K132" ca="1" si="25">INT(INDEX($K54:$P54,C$90))</f>
        <v>17</v>
      </c>
      <c r="L100" s="420" t="e">
        <f t="shared" ref="L100:L132" ca="1" si="26">INT(INDEX($K54:$P54,D$90))</f>
        <v>#NUM!</v>
      </c>
      <c r="M100" s="420" t="e">
        <f t="shared" ref="M100:M132" ca="1" si="27">INT(INDEX($K54:$P54,E$90))</f>
        <v>#NUM!</v>
      </c>
      <c r="N100" s="420" t="e">
        <f t="shared" ref="N100:N132" ca="1" si="28">INT(INDEX($K54:$P54,F$90))</f>
        <v>#NUM!</v>
      </c>
      <c r="O100" s="420" t="e">
        <f t="shared" ref="O100:O132" ca="1" si="29">INT(INDEX($K54:$P54,G$90))</f>
        <v>#NUM!</v>
      </c>
      <c r="P100" s="420" t="e">
        <f t="shared" ref="P100:P132" ca="1" si="30">INT(INDEX($K54:$P54,H$90))</f>
        <v>#NUM!</v>
      </c>
    </row>
    <row r="101" spans="2:16">
      <c r="B101" s="420" t="str">
        <f t="shared" si="23"/>
        <v xml:space="preserve">P/S(TTM) </v>
      </c>
      <c r="C101" s="420">
        <f t="shared" ca="1" si="19"/>
        <v>3.8500000999999999</v>
      </c>
      <c r="D101" s="420" t="e">
        <f t="shared" ca="1" si="20"/>
        <v>#NUM!</v>
      </c>
      <c r="E101" s="420" t="e">
        <f t="shared" ca="1" si="20"/>
        <v>#NUM!</v>
      </c>
      <c r="F101" s="420" t="e">
        <f t="shared" ca="1" si="20"/>
        <v>#NUM!</v>
      </c>
      <c r="G101" s="420" t="e">
        <f t="shared" ca="1" si="20"/>
        <v>#NUM!</v>
      </c>
      <c r="H101" s="420" t="e">
        <f t="shared" ca="1" si="20"/>
        <v>#NUM!</v>
      </c>
      <c r="J101" s="420" t="str">
        <f t="shared" si="22"/>
        <v xml:space="preserve">P/S(TTM) </v>
      </c>
      <c r="K101" s="420">
        <f t="shared" ca="1" si="25"/>
        <v>3</v>
      </c>
      <c r="L101" s="420" t="e">
        <f t="shared" ca="1" si="26"/>
        <v>#NUM!</v>
      </c>
      <c r="M101" s="420" t="e">
        <f t="shared" ca="1" si="27"/>
        <v>#NUM!</v>
      </c>
      <c r="N101" s="420" t="e">
        <f t="shared" ca="1" si="28"/>
        <v>#NUM!</v>
      </c>
      <c r="O101" s="420" t="e">
        <f t="shared" ca="1" si="29"/>
        <v>#NUM!</v>
      </c>
      <c r="P101" s="420" t="e">
        <f t="shared" ca="1" si="30"/>
        <v>#NUM!</v>
      </c>
    </row>
    <row r="102" spans="2:16">
      <c r="B102" s="420" t="str">
        <f t="shared" si="23"/>
        <v xml:space="preserve">P/Tang BV(MRQ) </v>
      </c>
      <c r="C102" s="420">
        <f t="shared" ca="1" si="19"/>
        <v>9.6200000999999986</v>
      </c>
      <c r="D102" s="420" t="e">
        <f t="shared" ca="1" si="20"/>
        <v>#NUM!</v>
      </c>
      <c r="E102" s="420" t="e">
        <f t="shared" ca="1" si="20"/>
        <v>#NUM!</v>
      </c>
      <c r="F102" s="420" t="e">
        <f t="shared" ca="1" si="20"/>
        <v>#NUM!</v>
      </c>
      <c r="G102" s="420" t="e">
        <f t="shared" ca="1" si="20"/>
        <v>#NUM!</v>
      </c>
      <c r="H102" s="420" t="e">
        <f t="shared" ca="1" si="20"/>
        <v>#NUM!</v>
      </c>
      <c r="J102" s="420" t="str">
        <f t="shared" si="22"/>
        <v xml:space="preserve">P/Tang BV(MRQ) </v>
      </c>
      <c r="K102" s="420">
        <f t="shared" ca="1" si="25"/>
        <v>9</v>
      </c>
      <c r="L102" s="420" t="e">
        <f t="shared" ca="1" si="26"/>
        <v>#NUM!</v>
      </c>
      <c r="M102" s="420" t="e">
        <f t="shared" ca="1" si="27"/>
        <v>#NUM!</v>
      </c>
      <c r="N102" s="420" t="e">
        <f t="shared" ca="1" si="28"/>
        <v>#NUM!</v>
      </c>
      <c r="O102" s="420" t="e">
        <f t="shared" ca="1" si="29"/>
        <v>#NUM!</v>
      </c>
      <c r="P102" s="420" t="e">
        <f t="shared" ca="1" si="30"/>
        <v>#NUM!</v>
      </c>
    </row>
    <row r="103" spans="2:16">
      <c r="B103" s="420" t="str">
        <f t="shared" si="23"/>
        <v>P/CF</v>
      </c>
      <c r="C103" s="420">
        <f t="shared" ca="1" si="19"/>
        <v>14.350000099999999</v>
      </c>
      <c r="D103" s="420" t="e">
        <f t="shared" ca="1" si="20"/>
        <v>#NUM!</v>
      </c>
      <c r="E103" s="420" t="e">
        <f t="shared" ca="1" si="20"/>
        <v>#NUM!</v>
      </c>
      <c r="F103" s="420" t="e">
        <f t="shared" ca="1" si="20"/>
        <v>#NUM!</v>
      </c>
      <c r="G103" s="420" t="e">
        <f t="shared" ca="1" si="20"/>
        <v>#NUM!</v>
      </c>
      <c r="H103" s="420" t="e">
        <f t="shared" ca="1" si="20"/>
        <v>#NUM!</v>
      </c>
      <c r="J103" s="420" t="str">
        <f t="shared" si="22"/>
        <v>P/CF</v>
      </c>
      <c r="K103" s="420">
        <f t="shared" ca="1" si="25"/>
        <v>14</v>
      </c>
      <c r="L103" s="420" t="e">
        <f t="shared" ca="1" si="26"/>
        <v>#NUM!</v>
      </c>
      <c r="M103" s="420" t="e">
        <f t="shared" ca="1" si="27"/>
        <v>#NUM!</v>
      </c>
      <c r="N103" s="420" t="e">
        <f t="shared" ca="1" si="28"/>
        <v>#NUM!</v>
      </c>
      <c r="O103" s="420" t="e">
        <f t="shared" ca="1" si="29"/>
        <v>#NUM!</v>
      </c>
      <c r="P103" s="420" t="e">
        <f t="shared" ca="1" si="30"/>
        <v>#NUM!</v>
      </c>
    </row>
    <row r="104" spans="2:16">
      <c r="B104" s="420" t="str">
        <f t="shared" si="23"/>
        <v xml:space="preserve">P/FCF(TTM) </v>
      </c>
      <c r="C104" s="420">
        <f t="shared" ca="1" si="19"/>
        <v>42.320000100000001</v>
      </c>
      <c r="D104" s="420" t="e">
        <f t="shared" ca="1" si="20"/>
        <v>#NUM!</v>
      </c>
      <c r="E104" s="420" t="e">
        <f t="shared" ca="1" si="20"/>
        <v>#NUM!</v>
      </c>
      <c r="F104" s="420" t="e">
        <f t="shared" ca="1" si="20"/>
        <v>#NUM!</v>
      </c>
      <c r="G104" s="420" t="e">
        <f t="shared" ca="1" si="20"/>
        <v>#NUM!</v>
      </c>
      <c r="H104" s="420" t="e">
        <f t="shared" ca="1" si="20"/>
        <v>#NUM!</v>
      </c>
      <c r="J104" s="420" t="str">
        <f t="shared" si="22"/>
        <v xml:space="preserve">P/FCF(TTM) </v>
      </c>
      <c r="K104" s="420">
        <f t="shared" ca="1" si="25"/>
        <v>42</v>
      </c>
      <c r="L104" s="420" t="e">
        <f t="shared" ca="1" si="26"/>
        <v>#NUM!</v>
      </c>
      <c r="M104" s="420" t="e">
        <f t="shared" ca="1" si="27"/>
        <v>#NUM!</v>
      </c>
      <c r="N104" s="420" t="e">
        <f t="shared" ca="1" si="28"/>
        <v>#NUM!</v>
      </c>
      <c r="O104" s="420" t="e">
        <f t="shared" ca="1" si="29"/>
        <v>#NUM!</v>
      </c>
      <c r="P104" s="420" t="e">
        <f t="shared" ca="1" si="30"/>
        <v>#NUM!</v>
      </c>
    </row>
    <row r="105" spans="2:16">
      <c r="B105" s="420" t="str">
        <f t="shared" ref="B105:B132" si="31">B15</f>
        <v>EV/EBITDA(TTM)</v>
      </c>
      <c r="C105" s="420">
        <f t="shared" ca="1" si="19"/>
        <v>12.2300001</v>
      </c>
      <c r="D105" s="420" t="e">
        <f t="shared" ca="1" si="20"/>
        <v>#NUM!</v>
      </c>
      <c r="E105" s="420" t="e">
        <f t="shared" ca="1" si="20"/>
        <v>#NUM!</v>
      </c>
      <c r="F105" s="420" t="e">
        <f t="shared" ca="1" si="20"/>
        <v>#NUM!</v>
      </c>
      <c r="G105" s="420" t="e">
        <f t="shared" ca="1" si="20"/>
        <v>#NUM!</v>
      </c>
      <c r="H105" s="420" t="e">
        <f t="shared" ca="1" si="20"/>
        <v>#NUM!</v>
      </c>
      <c r="J105" s="420" t="str">
        <f t="shared" si="22"/>
        <v>EV/EBITDA(TTM)</v>
      </c>
      <c r="K105" s="420">
        <f t="shared" ca="1" si="25"/>
        <v>12</v>
      </c>
      <c r="L105" s="420" t="e">
        <f t="shared" ca="1" si="26"/>
        <v>#NUM!</v>
      </c>
      <c r="M105" s="420" t="e">
        <f t="shared" ca="1" si="27"/>
        <v>#NUM!</v>
      </c>
      <c r="N105" s="420" t="e">
        <f t="shared" ca="1" si="28"/>
        <v>#NUM!</v>
      </c>
      <c r="O105" s="420" t="e">
        <f t="shared" ca="1" si="29"/>
        <v>#NUM!</v>
      </c>
      <c r="P105" s="420" t="e">
        <f t="shared" ca="1" si="30"/>
        <v>#NUM!</v>
      </c>
    </row>
    <row r="106" spans="2:16">
      <c r="B106" s="420" t="str">
        <f t="shared" si="31"/>
        <v>Div Yld</v>
      </c>
      <c r="C106" s="420">
        <f t="shared" ref="C106:C115" ca="1" si="32">INDEX($K60:$P60,C$90)/100</f>
        <v>1.7000001000000001E-2</v>
      </c>
      <c r="D106" s="420" t="e">
        <f t="shared" ref="D106:H115" ca="1" si="33">(INDEX($K60:$P60,D$90))/100</f>
        <v>#NUM!</v>
      </c>
      <c r="E106" s="420" t="e">
        <f t="shared" ca="1" si="33"/>
        <v>#NUM!</v>
      </c>
      <c r="F106" s="420" t="e">
        <f t="shared" ca="1" si="33"/>
        <v>#NUM!</v>
      </c>
      <c r="G106" s="420" t="e">
        <f t="shared" ca="1" si="33"/>
        <v>#NUM!</v>
      </c>
      <c r="H106" s="420" t="e">
        <f t="shared" ca="1" si="33"/>
        <v>#NUM!</v>
      </c>
      <c r="J106" s="420" t="str">
        <f t="shared" si="22"/>
        <v>Div Yld</v>
      </c>
      <c r="K106" s="420">
        <f t="shared" ca="1" si="25"/>
        <v>1</v>
      </c>
      <c r="L106" s="420" t="e">
        <f t="shared" ca="1" si="26"/>
        <v>#NUM!</v>
      </c>
      <c r="M106" s="420" t="e">
        <f t="shared" ca="1" si="27"/>
        <v>#NUM!</v>
      </c>
      <c r="N106" s="420" t="e">
        <f t="shared" ca="1" si="28"/>
        <v>#NUM!</v>
      </c>
      <c r="O106" s="420" t="e">
        <f t="shared" ca="1" si="29"/>
        <v>#NUM!</v>
      </c>
      <c r="P106" s="420" t="e">
        <f t="shared" ca="1" si="30"/>
        <v>#NUM!</v>
      </c>
    </row>
    <row r="107" spans="2:16">
      <c r="B107" s="420" t="str">
        <f t="shared" si="31"/>
        <v>Div Yld - 5yr avg</v>
      </c>
      <c r="C107" s="420">
        <f t="shared" ca="1" si="32"/>
        <v>2.7300000999999997E-2</v>
      </c>
      <c r="D107" s="420" t="e">
        <f t="shared" ca="1" si="33"/>
        <v>#NUM!</v>
      </c>
      <c r="E107" s="420" t="e">
        <f t="shared" ca="1" si="33"/>
        <v>#NUM!</v>
      </c>
      <c r="F107" s="420" t="e">
        <f t="shared" ca="1" si="33"/>
        <v>#NUM!</v>
      </c>
      <c r="G107" s="420" t="e">
        <f t="shared" ca="1" si="33"/>
        <v>#NUM!</v>
      </c>
      <c r="H107" s="420" t="e">
        <f t="shared" ca="1" si="33"/>
        <v>#NUM!</v>
      </c>
      <c r="J107" s="420" t="str">
        <f t="shared" si="22"/>
        <v>Div Yld - 5yr avg</v>
      </c>
      <c r="K107" s="420">
        <f t="shared" ca="1" si="25"/>
        <v>2</v>
      </c>
      <c r="L107" s="420" t="e">
        <f t="shared" ca="1" si="26"/>
        <v>#NUM!</v>
      </c>
      <c r="M107" s="420" t="e">
        <f t="shared" ca="1" si="27"/>
        <v>#NUM!</v>
      </c>
      <c r="N107" s="420" t="e">
        <f t="shared" ca="1" si="28"/>
        <v>#NUM!</v>
      </c>
      <c r="O107" s="420" t="e">
        <f t="shared" ca="1" si="29"/>
        <v>#NUM!</v>
      </c>
      <c r="P107" s="420" t="e">
        <f t="shared" ca="1" si="30"/>
        <v>#NUM!</v>
      </c>
    </row>
    <row r="108" spans="2:16">
      <c r="B108" s="420" t="str">
        <f t="shared" si="31"/>
        <v>Div 5yr Grth</v>
      </c>
      <c r="C108" s="420">
        <f t="shared" ca="1" si="32"/>
        <v>0.10400000099999999</v>
      </c>
      <c r="D108" s="420" t="e">
        <f t="shared" ca="1" si="33"/>
        <v>#NUM!</v>
      </c>
      <c r="E108" s="420" t="e">
        <f t="shared" ca="1" si="33"/>
        <v>#NUM!</v>
      </c>
      <c r="F108" s="420" t="e">
        <f t="shared" ca="1" si="33"/>
        <v>#NUM!</v>
      </c>
      <c r="G108" s="420" t="e">
        <f t="shared" ca="1" si="33"/>
        <v>#NUM!</v>
      </c>
      <c r="H108" s="420" t="e">
        <f t="shared" ca="1" si="33"/>
        <v>#NUM!</v>
      </c>
      <c r="J108" s="420" t="str">
        <f t="shared" si="22"/>
        <v>Div 5yr Grth</v>
      </c>
      <c r="K108" s="420">
        <f t="shared" ca="1" si="25"/>
        <v>10</v>
      </c>
      <c r="L108" s="420" t="e">
        <f t="shared" ca="1" si="26"/>
        <v>#NUM!</v>
      </c>
      <c r="M108" s="420" t="e">
        <f t="shared" ca="1" si="27"/>
        <v>#NUM!</v>
      </c>
      <c r="N108" s="420" t="e">
        <f t="shared" ca="1" si="28"/>
        <v>#NUM!</v>
      </c>
      <c r="O108" s="420" t="e">
        <f t="shared" ca="1" si="29"/>
        <v>#NUM!</v>
      </c>
      <c r="P108" s="420" t="e">
        <f t="shared" ca="1" si="30"/>
        <v>#NUM!</v>
      </c>
    </row>
    <row r="109" spans="2:16">
      <c r="B109" s="420" t="str">
        <f t="shared" si="31"/>
        <v xml:space="preserve">Payout Ratio(TTM) </v>
      </c>
      <c r="C109" s="420">
        <f t="shared" ca="1" si="32"/>
        <v>0.54400000100000001</v>
      </c>
      <c r="D109" s="420" t="e">
        <f t="shared" ca="1" si="33"/>
        <v>#NUM!</v>
      </c>
      <c r="E109" s="420" t="e">
        <f t="shared" ca="1" si="33"/>
        <v>#NUM!</v>
      </c>
      <c r="F109" s="420" t="e">
        <f t="shared" ca="1" si="33"/>
        <v>#NUM!</v>
      </c>
      <c r="G109" s="420" t="e">
        <f t="shared" ca="1" si="33"/>
        <v>#NUM!</v>
      </c>
      <c r="H109" s="420" t="e">
        <f t="shared" ca="1" si="33"/>
        <v>#NUM!</v>
      </c>
      <c r="J109" s="420" t="str">
        <f t="shared" si="22"/>
        <v xml:space="preserve">Payout Ratio(TTM) </v>
      </c>
      <c r="K109" s="420">
        <f t="shared" ca="1" si="25"/>
        <v>54</v>
      </c>
      <c r="L109" s="420" t="e">
        <f t="shared" ca="1" si="26"/>
        <v>#NUM!</v>
      </c>
      <c r="M109" s="420" t="e">
        <f t="shared" ca="1" si="27"/>
        <v>#NUM!</v>
      </c>
      <c r="N109" s="420" t="e">
        <f t="shared" ca="1" si="28"/>
        <v>#NUM!</v>
      </c>
      <c r="O109" s="420" t="e">
        <f t="shared" ca="1" si="29"/>
        <v>#NUM!</v>
      </c>
      <c r="P109" s="420" t="e">
        <f t="shared" ca="1" si="30"/>
        <v>#NUM!</v>
      </c>
    </row>
    <row r="110" spans="2:16">
      <c r="B110" s="420" t="str">
        <f t="shared" si="31"/>
        <v xml:space="preserve">Sales(MRQ) v 1yr ago </v>
      </c>
      <c r="C110" s="420">
        <f t="shared" ca="1" si="32"/>
        <v>4.9700001000000001E-2</v>
      </c>
      <c r="D110" s="420" t="e">
        <f t="shared" ca="1" si="33"/>
        <v>#NUM!</v>
      </c>
      <c r="E110" s="420" t="e">
        <f t="shared" ca="1" si="33"/>
        <v>#NUM!</v>
      </c>
      <c r="F110" s="420" t="e">
        <f t="shared" ca="1" si="33"/>
        <v>#NUM!</v>
      </c>
      <c r="G110" s="420" t="e">
        <f t="shared" ca="1" si="33"/>
        <v>#NUM!</v>
      </c>
      <c r="H110" s="420" t="e">
        <f t="shared" ca="1" si="33"/>
        <v>#NUM!</v>
      </c>
      <c r="J110" s="420" t="str">
        <f t="shared" si="22"/>
        <v xml:space="preserve">Sales(MRQ) v 1yr ago </v>
      </c>
      <c r="K110" s="420">
        <f t="shared" ca="1" si="25"/>
        <v>4</v>
      </c>
      <c r="L110" s="420" t="e">
        <f t="shared" ca="1" si="26"/>
        <v>#NUM!</v>
      </c>
      <c r="M110" s="420" t="e">
        <f t="shared" ca="1" si="27"/>
        <v>#NUM!</v>
      </c>
      <c r="N110" s="420" t="e">
        <f t="shared" ca="1" si="28"/>
        <v>#NUM!</v>
      </c>
      <c r="O110" s="420" t="e">
        <f t="shared" ca="1" si="29"/>
        <v>#NUM!</v>
      </c>
      <c r="P110" s="420" t="e">
        <f t="shared" ca="1" si="30"/>
        <v>#NUM!</v>
      </c>
    </row>
    <row r="111" spans="2:16">
      <c r="B111" s="420" t="str">
        <f t="shared" si="31"/>
        <v>Sales(TTM) v 1yr ago</v>
      </c>
      <c r="C111" s="420">
        <f t="shared" ca="1" si="32"/>
        <v>3.8500000999999999E-2</v>
      </c>
      <c r="D111" s="420" t="e">
        <f t="shared" ca="1" si="33"/>
        <v>#NUM!</v>
      </c>
      <c r="E111" s="420" t="e">
        <f t="shared" ca="1" si="33"/>
        <v>#NUM!</v>
      </c>
      <c r="F111" s="420" t="e">
        <f t="shared" ca="1" si="33"/>
        <v>#NUM!</v>
      </c>
      <c r="G111" s="420" t="e">
        <f t="shared" ca="1" si="33"/>
        <v>#NUM!</v>
      </c>
      <c r="H111" s="420" t="e">
        <f t="shared" ca="1" si="33"/>
        <v>#NUM!</v>
      </c>
      <c r="J111" s="420" t="str">
        <f t="shared" si="22"/>
        <v>Sales(TTM) v 1yr ago</v>
      </c>
      <c r="K111" s="420">
        <f t="shared" ca="1" si="25"/>
        <v>3</v>
      </c>
      <c r="L111" s="420" t="e">
        <f t="shared" ca="1" si="26"/>
        <v>#NUM!</v>
      </c>
      <c r="M111" s="420" t="e">
        <f t="shared" ca="1" si="27"/>
        <v>#NUM!</v>
      </c>
      <c r="N111" s="420" t="e">
        <f t="shared" ca="1" si="28"/>
        <v>#NUM!</v>
      </c>
      <c r="O111" s="420" t="e">
        <f t="shared" ca="1" si="29"/>
        <v>#NUM!</v>
      </c>
      <c r="P111" s="420" t="e">
        <f t="shared" ca="1" si="30"/>
        <v>#NUM!</v>
      </c>
    </row>
    <row r="112" spans="2:16">
      <c r="B112" s="420" t="str">
        <f t="shared" si="31"/>
        <v>Sales 5yr Grth</v>
      </c>
      <c r="C112" s="420">
        <f t="shared" ca="1" si="32"/>
        <v>7.3500000999999995E-2</v>
      </c>
      <c r="D112" s="420" t="e">
        <f t="shared" ca="1" si="33"/>
        <v>#NUM!</v>
      </c>
      <c r="E112" s="420" t="e">
        <f t="shared" ca="1" si="33"/>
        <v>#NUM!</v>
      </c>
      <c r="F112" s="420" t="e">
        <f t="shared" ca="1" si="33"/>
        <v>#NUM!</v>
      </c>
      <c r="G112" s="420" t="e">
        <f t="shared" ca="1" si="33"/>
        <v>#NUM!</v>
      </c>
      <c r="H112" s="420" t="e">
        <f t="shared" ca="1" si="33"/>
        <v>#NUM!</v>
      </c>
      <c r="J112" s="420" t="str">
        <f t="shared" si="22"/>
        <v>Sales 5yr Grth</v>
      </c>
      <c r="K112" s="420">
        <f t="shared" ca="1" si="25"/>
        <v>7</v>
      </c>
      <c r="L112" s="420" t="e">
        <f t="shared" ca="1" si="26"/>
        <v>#NUM!</v>
      </c>
      <c r="M112" s="420" t="e">
        <f t="shared" ca="1" si="27"/>
        <v>#NUM!</v>
      </c>
      <c r="N112" s="420" t="e">
        <f t="shared" ca="1" si="28"/>
        <v>#NUM!</v>
      </c>
      <c r="O112" s="420" t="e">
        <f t="shared" ca="1" si="29"/>
        <v>#NUM!</v>
      </c>
      <c r="P112" s="420" t="e">
        <f t="shared" ca="1" si="30"/>
        <v>#NUM!</v>
      </c>
    </row>
    <row r="113" spans="2:16">
      <c r="B113" s="420" t="str">
        <f t="shared" si="31"/>
        <v>EPS(MRQ) v 1yr ago</v>
      </c>
      <c r="C113" s="420">
        <f t="shared" ca="1" si="32"/>
        <v>0.19320000100000001</v>
      </c>
      <c r="D113" s="420" t="e">
        <f t="shared" ca="1" si="33"/>
        <v>#NUM!</v>
      </c>
      <c r="E113" s="420" t="e">
        <f t="shared" ca="1" si="33"/>
        <v>#NUM!</v>
      </c>
      <c r="F113" s="420" t="e">
        <f t="shared" ca="1" si="33"/>
        <v>#NUM!</v>
      </c>
      <c r="G113" s="420" t="e">
        <f t="shared" ca="1" si="33"/>
        <v>#NUM!</v>
      </c>
      <c r="H113" s="420" t="e">
        <f t="shared" ca="1" si="33"/>
        <v>#NUM!</v>
      </c>
      <c r="J113" s="420" t="str">
        <f t="shared" si="22"/>
        <v>EPS(MRQ) v 1yr ago</v>
      </c>
      <c r="K113" s="420">
        <f t="shared" ca="1" si="25"/>
        <v>19</v>
      </c>
      <c r="L113" s="420" t="e">
        <f t="shared" ca="1" si="26"/>
        <v>#NUM!</v>
      </c>
      <c r="M113" s="420" t="e">
        <f t="shared" ca="1" si="27"/>
        <v>#NUM!</v>
      </c>
      <c r="N113" s="420" t="e">
        <f t="shared" ca="1" si="28"/>
        <v>#NUM!</v>
      </c>
      <c r="O113" s="420" t="e">
        <f t="shared" ca="1" si="29"/>
        <v>#NUM!</v>
      </c>
      <c r="P113" s="420" t="e">
        <f t="shared" ca="1" si="30"/>
        <v>#NUM!</v>
      </c>
    </row>
    <row r="114" spans="2:16">
      <c r="B114" s="420" t="str">
        <f t="shared" si="31"/>
        <v xml:space="preserve">EPS(TTM) v 1yr ago </v>
      </c>
      <c r="C114" s="420">
        <f t="shared" ca="1" si="32"/>
        <v>0.252800001</v>
      </c>
      <c r="D114" s="420" t="e">
        <f t="shared" ca="1" si="33"/>
        <v>#NUM!</v>
      </c>
      <c r="E114" s="420" t="e">
        <f t="shared" ca="1" si="33"/>
        <v>#NUM!</v>
      </c>
      <c r="F114" s="420" t="e">
        <f t="shared" ca="1" si="33"/>
        <v>#NUM!</v>
      </c>
      <c r="G114" s="420" t="e">
        <f t="shared" ca="1" si="33"/>
        <v>#NUM!</v>
      </c>
      <c r="H114" s="420" t="e">
        <f t="shared" ca="1" si="33"/>
        <v>#NUM!</v>
      </c>
      <c r="J114" s="420" t="str">
        <f t="shared" si="22"/>
        <v xml:space="preserve">EPS(TTM) v 1yr ago </v>
      </c>
      <c r="K114" s="420">
        <f t="shared" ca="1" si="25"/>
        <v>25</v>
      </c>
      <c r="L114" s="420" t="e">
        <f t="shared" ca="1" si="26"/>
        <v>#NUM!</v>
      </c>
      <c r="M114" s="420" t="e">
        <f t="shared" ca="1" si="27"/>
        <v>#NUM!</v>
      </c>
      <c r="N114" s="420" t="e">
        <f t="shared" ca="1" si="28"/>
        <v>#NUM!</v>
      </c>
      <c r="O114" s="420" t="e">
        <f t="shared" ca="1" si="29"/>
        <v>#NUM!</v>
      </c>
      <c r="P114" s="420" t="e">
        <f t="shared" ca="1" si="30"/>
        <v>#NUM!</v>
      </c>
    </row>
    <row r="115" spans="2:16">
      <c r="B115" s="420" t="str">
        <f t="shared" si="31"/>
        <v>EPS 5yr Grth</v>
      </c>
      <c r="C115" s="420">
        <f t="shared" ca="1" si="32"/>
        <v>7.9900000999999998E-2</v>
      </c>
      <c r="D115" s="420" t="e">
        <f t="shared" ca="1" si="33"/>
        <v>#NUM!</v>
      </c>
      <c r="E115" s="420" t="e">
        <f t="shared" ca="1" si="33"/>
        <v>#NUM!</v>
      </c>
      <c r="F115" s="420" t="e">
        <f t="shared" ca="1" si="33"/>
        <v>#NUM!</v>
      </c>
      <c r="G115" s="420" t="e">
        <f t="shared" ca="1" si="33"/>
        <v>#NUM!</v>
      </c>
      <c r="H115" s="420" t="e">
        <f t="shared" ca="1" si="33"/>
        <v>#NUM!</v>
      </c>
      <c r="J115" s="420" t="str">
        <f t="shared" si="22"/>
        <v>EPS 5yr Grth</v>
      </c>
      <c r="K115" s="420">
        <f t="shared" ca="1" si="25"/>
        <v>7</v>
      </c>
      <c r="L115" s="420" t="e">
        <f t="shared" ca="1" si="26"/>
        <v>#NUM!</v>
      </c>
      <c r="M115" s="420" t="e">
        <f t="shared" ca="1" si="27"/>
        <v>#NUM!</v>
      </c>
      <c r="N115" s="420" t="e">
        <f t="shared" ca="1" si="28"/>
        <v>#NUM!</v>
      </c>
      <c r="O115" s="420" t="e">
        <f t="shared" ca="1" si="29"/>
        <v>#NUM!</v>
      </c>
      <c r="P115" s="420" t="e">
        <f t="shared" ca="1" si="30"/>
        <v>#NUM!</v>
      </c>
    </row>
    <row r="116" spans="2:16">
      <c r="B116" s="420" t="str">
        <f t="shared" si="31"/>
        <v>Quick Ratio(MRQ)</v>
      </c>
      <c r="C116" s="420">
        <f ca="1">INDEX($K70:$P70,C$90)</f>
        <v>1.1000001000000001</v>
      </c>
      <c r="D116" s="420" t="e">
        <f t="shared" ref="D116:H119" ca="1" si="34">(INDEX($K70:$P70,D$90))</f>
        <v>#NUM!</v>
      </c>
      <c r="E116" s="420" t="e">
        <f t="shared" ca="1" si="34"/>
        <v>#NUM!</v>
      </c>
      <c r="F116" s="420" t="e">
        <f t="shared" ca="1" si="34"/>
        <v>#NUM!</v>
      </c>
      <c r="G116" s="420" t="e">
        <f t="shared" ca="1" si="34"/>
        <v>#NUM!</v>
      </c>
      <c r="H116" s="420" t="e">
        <f t="shared" ca="1" si="34"/>
        <v>#NUM!</v>
      </c>
      <c r="J116" s="420" t="str">
        <f t="shared" si="22"/>
        <v>Quick Ratio(MRQ)</v>
      </c>
      <c r="K116" s="420">
        <f t="shared" ca="1" si="25"/>
        <v>1</v>
      </c>
      <c r="L116" s="420" t="e">
        <f t="shared" ca="1" si="26"/>
        <v>#NUM!</v>
      </c>
      <c r="M116" s="420" t="e">
        <f t="shared" ca="1" si="27"/>
        <v>#NUM!</v>
      </c>
      <c r="N116" s="420" t="e">
        <f t="shared" ca="1" si="28"/>
        <v>#NUM!</v>
      </c>
      <c r="O116" s="420" t="e">
        <f t="shared" ca="1" si="29"/>
        <v>#NUM!</v>
      </c>
      <c r="P116" s="420" t="e">
        <f t="shared" ca="1" si="30"/>
        <v>#NUM!</v>
      </c>
    </row>
    <row r="117" spans="2:16">
      <c r="B117" s="420" t="str">
        <f t="shared" si="31"/>
        <v>Current Ratio(MRQ)</v>
      </c>
      <c r="C117" s="420">
        <f ca="1">INDEX($K71:$P71,C$90)</f>
        <v>1.2700001000000001</v>
      </c>
      <c r="D117" s="420" t="e">
        <f t="shared" ca="1" si="34"/>
        <v>#NUM!</v>
      </c>
      <c r="E117" s="420" t="e">
        <f t="shared" ca="1" si="34"/>
        <v>#NUM!</v>
      </c>
      <c r="F117" s="420" t="e">
        <f t="shared" ca="1" si="34"/>
        <v>#NUM!</v>
      </c>
      <c r="G117" s="420" t="e">
        <f t="shared" ca="1" si="34"/>
        <v>#NUM!</v>
      </c>
      <c r="H117" s="420" t="e">
        <f t="shared" ca="1" si="34"/>
        <v>#NUM!</v>
      </c>
      <c r="J117" s="420" t="str">
        <f t="shared" si="22"/>
        <v>Current Ratio(MRQ)</v>
      </c>
      <c r="K117" s="420">
        <f t="shared" ca="1" si="25"/>
        <v>1</v>
      </c>
      <c r="L117" s="420" t="e">
        <f t="shared" ca="1" si="26"/>
        <v>#NUM!</v>
      </c>
      <c r="M117" s="420" t="e">
        <f t="shared" ca="1" si="27"/>
        <v>#NUM!</v>
      </c>
      <c r="N117" s="420" t="e">
        <f t="shared" ca="1" si="28"/>
        <v>#NUM!</v>
      </c>
      <c r="O117" s="420" t="e">
        <f t="shared" ca="1" si="29"/>
        <v>#NUM!</v>
      </c>
      <c r="P117" s="420" t="e">
        <f t="shared" ca="1" si="30"/>
        <v>#NUM!</v>
      </c>
    </row>
    <row r="118" spans="2:16">
      <c r="B118" s="420" t="str">
        <f t="shared" si="31"/>
        <v xml:space="preserve">LTD/Eq(MRQ) </v>
      </c>
      <c r="C118" s="420">
        <f ca="1">INDEX($K72:$P72,C$90)</f>
        <v>17.770000100000001</v>
      </c>
      <c r="D118" s="420" t="e">
        <f t="shared" ca="1" si="34"/>
        <v>#NUM!</v>
      </c>
      <c r="E118" s="420" t="e">
        <f t="shared" ca="1" si="34"/>
        <v>#NUM!</v>
      </c>
      <c r="F118" s="420" t="e">
        <f t="shared" ca="1" si="34"/>
        <v>#NUM!</v>
      </c>
      <c r="G118" s="420" t="e">
        <f t="shared" ca="1" si="34"/>
        <v>#NUM!</v>
      </c>
      <c r="H118" s="420" t="e">
        <f t="shared" ca="1" si="34"/>
        <v>#NUM!</v>
      </c>
      <c r="J118" s="420" t="str">
        <f t="shared" si="22"/>
        <v xml:space="preserve">LTD/Eq(MRQ) </v>
      </c>
      <c r="K118" s="420">
        <f t="shared" ca="1" si="25"/>
        <v>17</v>
      </c>
      <c r="L118" s="420" t="e">
        <f t="shared" ca="1" si="26"/>
        <v>#NUM!</v>
      </c>
      <c r="M118" s="420" t="e">
        <f t="shared" ca="1" si="27"/>
        <v>#NUM!</v>
      </c>
      <c r="N118" s="420" t="e">
        <f t="shared" ca="1" si="28"/>
        <v>#NUM!</v>
      </c>
      <c r="O118" s="420" t="e">
        <f t="shared" ca="1" si="29"/>
        <v>#NUM!</v>
      </c>
      <c r="P118" s="420" t="e">
        <f t="shared" ca="1" si="30"/>
        <v>#NUM!</v>
      </c>
    </row>
    <row r="119" spans="2:16">
      <c r="B119" s="420" t="str">
        <f t="shared" si="31"/>
        <v xml:space="preserve">Tot D/Eq(MRQ) </v>
      </c>
      <c r="C119" s="420">
        <f ca="1">INDEX($K73:$P73,C$90)</f>
        <v>46.780000100000002</v>
      </c>
      <c r="D119" s="420" t="e">
        <f t="shared" ca="1" si="34"/>
        <v>#NUM!</v>
      </c>
      <c r="E119" s="420" t="e">
        <f t="shared" ca="1" si="34"/>
        <v>#NUM!</v>
      </c>
      <c r="F119" s="420" t="e">
        <f t="shared" ca="1" si="34"/>
        <v>#NUM!</v>
      </c>
      <c r="G119" s="420" t="e">
        <f t="shared" ca="1" si="34"/>
        <v>#NUM!</v>
      </c>
      <c r="H119" s="420" t="e">
        <f t="shared" ca="1" si="34"/>
        <v>#NUM!</v>
      </c>
      <c r="J119" s="420" t="str">
        <f t="shared" si="22"/>
        <v xml:space="preserve">Tot D/Eq(MRQ) </v>
      </c>
      <c r="K119" s="420">
        <f t="shared" ca="1" si="25"/>
        <v>46</v>
      </c>
      <c r="L119" s="420" t="e">
        <f t="shared" ca="1" si="26"/>
        <v>#NUM!</v>
      </c>
      <c r="M119" s="420" t="e">
        <f t="shared" ca="1" si="27"/>
        <v>#NUM!</v>
      </c>
      <c r="N119" s="420" t="e">
        <f t="shared" ca="1" si="28"/>
        <v>#NUM!</v>
      </c>
      <c r="O119" s="420" t="e">
        <f t="shared" ca="1" si="29"/>
        <v>#NUM!</v>
      </c>
      <c r="P119" s="420" t="e">
        <f t="shared" ca="1" si="30"/>
        <v>#NUM!</v>
      </c>
    </row>
    <row r="120" spans="2:16">
      <c r="B120" s="420" t="str">
        <f t="shared" si="31"/>
        <v>Gross %(TTM)</v>
      </c>
      <c r="C120" s="420">
        <f t="shared" ref="C120:C129" ca="1" si="35">INDEX($K74:$P74,C$90)/100</f>
        <v>0.6478000009999999</v>
      </c>
      <c r="D120" s="420" t="e">
        <f t="shared" ref="D120:H129" ca="1" si="36">(INDEX($K74:$P74,D$90))/100</f>
        <v>#NUM!</v>
      </c>
      <c r="E120" s="420" t="e">
        <f t="shared" ca="1" si="36"/>
        <v>#NUM!</v>
      </c>
      <c r="F120" s="420" t="e">
        <f t="shared" ca="1" si="36"/>
        <v>#NUM!</v>
      </c>
      <c r="G120" s="420" t="e">
        <f t="shared" ca="1" si="36"/>
        <v>#NUM!</v>
      </c>
      <c r="H120" s="420" t="e">
        <f t="shared" ca="1" si="36"/>
        <v>#NUM!</v>
      </c>
      <c r="J120" s="420" t="str">
        <f t="shared" si="22"/>
        <v>Gross %(TTM)</v>
      </c>
      <c r="K120" s="420">
        <f t="shared" ca="1" si="25"/>
        <v>64</v>
      </c>
      <c r="L120" s="420" t="e">
        <f t="shared" ca="1" si="26"/>
        <v>#NUM!</v>
      </c>
      <c r="M120" s="420" t="e">
        <f t="shared" ca="1" si="27"/>
        <v>#NUM!</v>
      </c>
      <c r="N120" s="420" t="e">
        <f t="shared" ca="1" si="28"/>
        <v>#NUM!</v>
      </c>
      <c r="O120" s="420" t="e">
        <f t="shared" ca="1" si="29"/>
        <v>#NUM!</v>
      </c>
      <c r="P120" s="420" t="e">
        <f t="shared" ca="1" si="30"/>
        <v>#NUM!</v>
      </c>
    </row>
    <row r="121" spans="2:16">
      <c r="B121" s="420" t="str">
        <f t="shared" si="31"/>
        <v>Gross % 5yr</v>
      </c>
      <c r="C121" s="420">
        <f t="shared" ca="1" si="35"/>
        <v>0.6458000009999999</v>
      </c>
      <c r="D121" s="420" t="e">
        <f t="shared" ca="1" si="36"/>
        <v>#NUM!</v>
      </c>
      <c r="E121" s="420" t="e">
        <f t="shared" ca="1" si="36"/>
        <v>#NUM!</v>
      </c>
      <c r="F121" s="420" t="e">
        <f t="shared" ca="1" si="36"/>
        <v>#NUM!</v>
      </c>
      <c r="G121" s="420" t="e">
        <f t="shared" ca="1" si="36"/>
        <v>#NUM!</v>
      </c>
      <c r="H121" s="420" t="e">
        <f t="shared" ca="1" si="36"/>
        <v>#NUM!</v>
      </c>
      <c r="J121" s="420" t="str">
        <f t="shared" si="22"/>
        <v>Gross % 5yr</v>
      </c>
      <c r="K121" s="420">
        <f t="shared" ca="1" si="25"/>
        <v>64</v>
      </c>
      <c r="L121" s="420" t="e">
        <f t="shared" ca="1" si="26"/>
        <v>#NUM!</v>
      </c>
      <c r="M121" s="420" t="e">
        <f t="shared" ca="1" si="27"/>
        <v>#NUM!</v>
      </c>
      <c r="N121" s="420" t="e">
        <f t="shared" ca="1" si="28"/>
        <v>#NUM!</v>
      </c>
      <c r="O121" s="420" t="e">
        <f t="shared" ca="1" si="29"/>
        <v>#NUM!</v>
      </c>
      <c r="P121" s="420" t="e">
        <f t="shared" ca="1" si="30"/>
        <v>#NUM!</v>
      </c>
    </row>
    <row r="122" spans="2:16">
      <c r="B122" s="420" t="str">
        <f t="shared" si="31"/>
        <v xml:space="preserve">Op %(TTM) </v>
      </c>
      <c r="C122" s="420">
        <f t="shared" ca="1" si="35"/>
        <v>0.27280000100000001</v>
      </c>
      <c r="D122" s="420" t="e">
        <f t="shared" ca="1" si="36"/>
        <v>#NUM!</v>
      </c>
      <c r="E122" s="420" t="e">
        <f t="shared" ca="1" si="36"/>
        <v>#NUM!</v>
      </c>
      <c r="F122" s="420" t="e">
        <f t="shared" ca="1" si="36"/>
        <v>#NUM!</v>
      </c>
      <c r="G122" s="420" t="e">
        <f t="shared" ca="1" si="36"/>
        <v>#NUM!</v>
      </c>
      <c r="H122" s="420" t="e">
        <f t="shared" ca="1" si="36"/>
        <v>#NUM!</v>
      </c>
      <c r="J122" s="420" t="str">
        <f t="shared" si="22"/>
        <v xml:space="preserve">Op %(TTM) </v>
      </c>
      <c r="K122" s="420">
        <f t="shared" ca="1" si="25"/>
        <v>27</v>
      </c>
      <c r="L122" s="420" t="e">
        <f t="shared" ca="1" si="26"/>
        <v>#NUM!</v>
      </c>
      <c r="M122" s="420" t="e">
        <f t="shared" ca="1" si="27"/>
        <v>#NUM!</v>
      </c>
      <c r="N122" s="420" t="e">
        <f t="shared" ca="1" si="28"/>
        <v>#NUM!</v>
      </c>
      <c r="O122" s="420" t="e">
        <f t="shared" ca="1" si="29"/>
        <v>#NUM!</v>
      </c>
      <c r="P122" s="420" t="e">
        <f t="shared" ca="1" si="30"/>
        <v>#NUM!</v>
      </c>
    </row>
    <row r="123" spans="2:16">
      <c r="B123" s="420" t="str">
        <f t="shared" si="31"/>
        <v>Op % 5yr avg</v>
      </c>
      <c r="C123" s="420">
        <f t="shared" ca="1" si="35"/>
        <v>0.261300001</v>
      </c>
      <c r="D123" s="420" t="e">
        <f t="shared" ca="1" si="36"/>
        <v>#NUM!</v>
      </c>
      <c r="E123" s="420" t="e">
        <f t="shared" ca="1" si="36"/>
        <v>#NUM!</v>
      </c>
      <c r="F123" s="420" t="e">
        <f t="shared" ca="1" si="36"/>
        <v>#NUM!</v>
      </c>
      <c r="G123" s="420" t="e">
        <f t="shared" ca="1" si="36"/>
        <v>#NUM!</v>
      </c>
      <c r="H123" s="420" t="e">
        <f t="shared" ca="1" si="36"/>
        <v>#NUM!</v>
      </c>
      <c r="J123" s="420" t="str">
        <f t="shared" si="22"/>
        <v>Op % 5yr avg</v>
      </c>
      <c r="K123" s="420">
        <f t="shared" ca="1" si="25"/>
        <v>26</v>
      </c>
      <c r="L123" s="420" t="e">
        <f t="shared" ca="1" si="26"/>
        <v>#NUM!</v>
      </c>
      <c r="M123" s="420" t="e">
        <f t="shared" ca="1" si="27"/>
        <v>#NUM!</v>
      </c>
      <c r="N123" s="420" t="e">
        <f t="shared" ca="1" si="28"/>
        <v>#NUM!</v>
      </c>
      <c r="O123" s="420" t="e">
        <f t="shared" ca="1" si="29"/>
        <v>#NUM!</v>
      </c>
      <c r="P123" s="420" t="e">
        <f t="shared" ca="1" si="30"/>
        <v>#NUM!</v>
      </c>
    </row>
    <row r="124" spans="2:16">
      <c r="B124" s="420" t="str">
        <f t="shared" si="31"/>
        <v xml:space="preserve">Net %(TTM) </v>
      </c>
      <c r="C124" s="420">
        <f t="shared" ca="1" si="35"/>
        <v>0.228800001</v>
      </c>
      <c r="D124" s="420" t="e">
        <f t="shared" ca="1" si="36"/>
        <v>#NUM!</v>
      </c>
      <c r="E124" s="420" t="e">
        <f t="shared" ca="1" si="36"/>
        <v>#NUM!</v>
      </c>
      <c r="F124" s="420" t="e">
        <f t="shared" ca="1" si="36"/>
        <v>#NUM!</v>
      </c>
      <c r="G124" s="420" t="e">
        <f t="shared" ca="1" si="36"/>
        <v>#NUM!</v>
      </c>
      <c r="H124" s="420" t="e">
        <f t="shared" ca="1" si="36"/>
        <v>#NUM!</v>
      </c>
      <c r="J124" s="420" t="str">
        <f t="shared" si="22"/>
        <v xml:space="preserve">Net %(TTM) </v>
      </c>
      <c r="K124" s="420">
        <f t="shared" ca="1" si="25"/>
        <v>22</v>
      </c>
      <c r="L124" s="420" t="e">
        <f t="shared" ca="1" si="26"/>
        <v>#NUM!</v>
      </c>
      <c r="M124" s="420" t="e">
        <f t="shared" ca="1" si="27"/>
        <v>#NUM!</v>
      </c>
      <c r="N124" s="420" t="e">
        <f t="shared" ca="1" si="28"/>
        <v>#NUM!</v>
      </c>
      <c r="O124" s="420" t="e">
        <f t="shared" ca="1" si="29"/>
        <v>#NUM!</v>
      </c>
      <c r="P124" s="420" t="e">
        <f t="shared" ca="1" si="30"/>
        <v>#NUM!</v>
      </c>
    </row>
    <row r="125" spans="2:16">
      <c r="B125" s="420" t="str">
        <f t="shared" si="31"/>
        <v>Net % 5yr avg</v>
      </c>
      <c r="C125" s="420">
        <f t="shared" ca="1" si="35"/>
        <v>0.20690000100000003</v>
      </c>
      <c r="D125" s="420" t="e">
        <f t="shared" ca="1" si="36"/>
        <v>#NUM!</v>
      </c>
      <c r="E125" s="420" t="e">
        <f t="shared" ca="1" si="36"/>
        <v>#NUM!</v>
      </c>
      <c r="F125" s="420" t="e">
        <f t="shared" ca="1" si="36"/>
        <v>#NUM!</v>
      </c>
      <c r="G125" s="420" t="e">
        <f t="shared" ca="1" si="36"/>
        <v>#NUM!</v>
      </c>
      <c r="H125" s="420" t="e">
        <f t="shared" ca="1" si="36"/>
        <v>#NUM!</v>
      </c>
      <c r="J125" s="420" t="str">
        <f t="shared" si="22"/>
        <v>Net % 5yr avg</v>
      </c>
      <c r="K125" s="420">
        <f t="shared" ca="1" si="25"/>
        <v>20</v>
      </c>
      <c r="L125" s="420" t="e">
        <f t="shared" ca="1" si="26"/>
        <v>#NUM!</v>
      </c>
      <c r="M125" s="420" t="e">
        <f t="shared" ca="1" si="27"/>
        <v>#NUM!</v>
      </c>
      <c r="N125" s="420" t="e">
        <f t="shared" ca="1" si="28"/>
        <v>#NUM!</v>
      </c>
      <c r="O125" s="420" t="e">
        <f t="shared" ca="1" si="29"/>
        <v>#NUM!</v>
      </c>
      <c r="P125" s="420" t="e">
        <f t="shared" ca="1" si="30"/>
        <v>#NUM!</v>
      </c>
    </row>
    <row r="126" spans="2:16">
      <c r="B126" s="420" t="str">
        <f t="shared" si="31"/>
        <v xml:space="preserve">ROA(TTM) </v>
      </c>
      <c r="C126" s="420">
        <f t="shared" ca="1" si="35"/>
        <v>0.158500001</v>
      </c>
      <c r="D126" s="420" t="e">
        <f t="shared" ca="1" si="36"/>
        <v>#NUM!</v>
      </c>
      <c r="E126" s="420" t="e">
        <f t="shared" ca="1" si="36"/>
        <v>#NUM!</v>
      </c>
      <c r="F126" s="420" t="e">
        <f t="shared" ca="1" si="36"/>
        <v>#NUM!</v>
      </c>
      <c r="G126" s="420" t="e">
        <f t="shared" ca="1" si="36"/>
        <v>#NUM!</v>
      </c>
      <c r="H126" s="420" t="e">
        <f t="shared" ca="1" si="36"/>
        <v>#NUM!</v>
      </c>
      <c r="J126" s="420" t="str">
        <f t="shared" si="22"/>
        <v xml:space="preserve">ROA(TTM) </v>
      </c>
      <c r="K126" s="420">
        <f t="shared" ca="1" si="25"/>
        <v>15</v>
      </c>
      <c r="L126" s="420" t="e">
        <f t="shared" ca="1" si="26"/>
        <v>#NUM!</v>
      </c>
      <c r="M126" s="420" t="e">
        <f t="shared" ca="1" si="27"/>
        <v>#NUM!</v>
      </c>
      <c r="N126" s="420" t="e">
        <f t="shared" ca="1" si="28"/>
        <v>#NUM!</v>
      </c>
      <c r="O126" s="420" t="e">
        <f t="shared" ca="1" si="29"/>
        <v>#NUM!</v>
      </c>
      <c r="P126" s="420" t="e">
        <f t="shared" ca="1" si="30"/>
        <v>#NUM!</v>
      </c>
    </row>
    <row r="127" spans="2:16">
      <c r="B127" s="420" t="str">
        <f t="shared" si="31"/>
        <v>ROA 5yr avg</v>
      </c>
      <c r="C127" s="420">
        <f t="shared" ca="1" si="35"/>
        <v>0.157000001</v>
      </c>
      <c r="D127" s="420" t="e">
        <f t="shared" ca="1" si="36"/>
        <v>#NUM!</v>
      </c>
      <c r="E127" s="420" t="e">
        <f t="shared" ca="1" si="36"/>
        <v>#NUM!</v>
      </c>
      <c r="F127" s="420" t="e">
        <f t="shared" ca="1" si="36"/>
        <v>#NUM!</v>
      </c>
      <c r="G127" s="420" t="e">
        <f t="shared" ca="1" si="36"/>
        <v>#NUM!</v>
      </c>
      <c r="H127" s="420" t="e">
        <f t="shared" ca="1" si="36"/>
        <v>#NUM!</v>
      </c>
      <c r="J127" s="420" t="str">
        <f t="shared" si="22"/>
        <v>ROA 5yr avg</v>
      </c>
      <c r="K127" s="420">
        <f t="shared" ca="1" si="25"/>
        <v>15</v>
      </c>
      <c r="L127" s="420" t="e">
        <f t="shared" ca="1" si="26"/>
        <v>#NUM!</v>
      </c>
      <c r="M127" s="420" t="e">
        <f t="shared" ca="1" si="27"/>
        <v>#NUM!</v>
      </c>
      <c r="N127" s="420" t="e">
        <f t="shared" ca="1" si="28"/>
        <v>#NUM!</v>
      </c>
      <c r="O127" s="420" t="e">
        <f t="shared" ca="1" si="29"/>
        <v>#NUM!</v>
      </c>
      <c r="P127" s="420" t="e">
        <f t="shared" ca="1" si="30"/>
        <v>#NUM!</v>
      </c>
    </row>
    <row r="128" spans="2:16">
      <c r="B128" s="420" t="str">
        <f t="shared" si="31"/>
        <v xml:space="preserve">ROE(TTM) </v>
      </c>
      <c r="C128" s="420">
        <f t="shared" ca="1" si="35"/>
        <v>0.31110000100000001</v>
      </c>
      <c r="D128" s="420" t="e">
        <f t="shared" ca="1" si="36"/>
        <v>#NUM!</v>
      </c>
      <c r="E128" s="420" t="e">
        <f t="shared" ca="1" si="36"/>
        <v>#NUM!</v>
      </c>
      <c r="F128" s="420" t="e">
        <f t="shared" ca="1" si="36"/>
        <v>#NUM!</v>
      </c>
      <c r="G128" s="420" t="e">
        <f t="shared" ca="1" si="36"/>
        <v>#NUM!</v>
      </c>
      <c r="H128" s="420" t="e">
        <f t="shared" ca="1" si="36"/>
        <v>#NUM!</v>
      </c>
      <c r="J128" s="420" t="str">
        <f t="shared" si="22"/>
        <v xml:space="preserve">ROE(TTM) </v>
      </c>
      <c r="K128" s="420">
        <f t="shared" ca="1" si="25"/>
        <v>31</v>
      </c>
      <c r="L128" s="420" t="e">
        <f t="shared" ca="1" si="26"/>
        <v>#NUM!</v>
      </c>
      <c r="M128" s="420" t="e">
        <f t="shared" ca="1" si="27"/>
        <v>#NUM!</v>
      </c>
      <c r="N128" s="420" t="e">
        <f t="shared" ca="1" si="28"/>
        <v>#NUM!</v>
      </c>
      <c r="O128" s="420" t="e">
        <f t="shared" ca="1" si="29"/>
        <v>#NUM!</v>
      </c>
      <c r="P128" s="420" t="e">
        <f t="shared" ca="1" si="30"/>
        <v>#NUM!</v>
      </c>
    </row>
    <row r="129" spans="2:16">
      <c r="B129" s="420" t="str">
        <f t="shared" si="31"/>
        <v>ROE 5yr avg</v>
      </c>
      <c r="C129" s="420">
        <f t="shared" ca="1" si="35"/>
        <v>0.29800000100000001</v>
      </c>
      <c r="D129" s="420" t="e">
        <f t="shared" ca="1" si="36"/>
        <v>#NUM!</v>
      </c>
      <c r="E129" s="420" t="e">
        <f t="shared" ca="1" si="36"/>
        <v>#NUM!</v>
      </c>
      <c r="F129" s="420" t="e">
        <f t="shared" ca="1" si="36"/>
        <v>#NUM!</v>
      </c>
      <c r="G129" s="420" t="e">
        <f t="shared" ca="1" si="36"/>
        <v>#NUM!</v>
      </c>
      <c r="H129" s="420" t="e">
        <f t="shared" ca="1" si="36"/>
        <v>#NUM!</v>
      </c>
      <c r="J129" s="420" t="str">
        <f t="shared" si="22"/>
        <v>ROE 5yr avg</v>
      </c>
      <c r="K129" s="420">
        <f t="shared" ca="1" si="25"/>
        <v>29</v>
      </c>
      <c r="L129" s="420" t="e">
        <f t="shared" ca="1" si="26"/>
        <v>#NUM!</v>
      </c>
      <c r="M129" s="420" t="e">
        <f t="shared" ca="1" si="27"/>
        <v>#NUM!</v>
      </c>
      <c r="N129" s="420" t="e">
        <f t="shared" ca="1" si="28"/>
        <v>#NUM!</v>
      </c>
      <c r="O129" s="420" t="e">
        <f t="shared" ca="1" si="29"/>
        <v>#NUM!</v>
      </c>
      <c r="P129" s="420" t="e">
        <f t="shared" ca="1" si="30"/>
        <v>#NUM!</v>
      </c>
    </row>
    <row r="130" spans="2:16">
      <c r="B130" s="420" t="str">
        <f t="shared" si="31"/>
        <v>Rec Turnover(TTM)</v>
      </c>
      <c r="C130" s="420">
        <f ca="1">INDEX($K84:$P84,C$90)</f>
        <v>9.1600000999999995</v>
      </c>
      <c r="D130" s="420" t="e">
        <f t="shared" ref="D130:H132" ca="1" si="37">(INDEX($K84:$P84,D$90))</f>
        <v>#NUM!</v>
      </c>
      <c r="E130" s="420" t="e">
        <f t="shared" ca="1" si="37"/>
        <v>#NUM!</v>
      </c>
      <c r="F130" s="420" t="e">
        <f t="shared" ca="1" si="37"/>
        <v>#NUM!</v>
      </c>
      <c r="G130" s="420" t="e">
        <f t="shared" ca="1" si="37"/>
        <v>#NUM!</v>
      </c>
      <c r="H130" s="420" t="e">
        <f t="shared" ca="1" si="37"/>
        <v>#NUM!</v>
      </c>
      <c r="J130" s="420" t="str">
        <f t="shared" si="22"/>
        <v>Rec Turnover(TTM)</v>
      </c>
      <c r="K130" s="420">
        <f t="shared" ca="1" si="25"/>
        <v>9</v>
      </c>
      <c r="L130" s="420" t="e">
        <f t="shared" ca="1" si="26"/>
        <v>#NUM!</v>
      </c>
      <c r="M130" s="420" t="e">
        <f t="shared" ca="1" si="27"/>
        <v>#NUM!</v>
      </c>
      <c r="N130" s="420" t="e">
        <f t="shared" ca="1" si="28"/>
        <v>#NUM!</v>
      </c>
      <c r="O130" s="420" t="e">
        <f t="shared" ca="1" si="29"/>
        <v>#NUM!</v>
      </c>
      <c r="P130" s="420" t="e">
        <f t="shared" ca="1" si="30"/>
        <v>#NUM!</v>
      </c>
    </row>
    <row r="131" spans="2:16">
      <c r="B131" s="420" t="str">
        <f t="shared" si="31"/>
        <v>Inv Turnover(TTM)</v>
      </c>
      <c r="C131" s="420">
        <f ca="1">INDEX($K85:$P85,C$90)</f>
        <v>4.7700000999999999</v>
      </c>
      <c r="D131" s="420" t="e">
        <f t="shared" ca="1" si="37"/>
        <v>#NUM!</v>
      </c>
      <c r="E131" s="420" t="e">
        <f t="shared" ca="1" si="37"/>
        <v>#NUM!</v>
      </c>
      <c r="F131" s="420" t="e">
        <f t="shared" ca="1" si="37"/>
        <v>#NUM!</v>
      </c>
      <c r="G131" s="420" t="e">
        <f t="shared" ca="1" si="37"/>
        <v>#NUM!</v>
      </c>
      <c r="H131" s="420" t="e">
        <f t="shared" ca="1" si="37"/>
        <v>#NUM!</v>
      </c>
      <c r="J131" s="420" t="str">
        <f t="shared" si="22"/>
        <v>Inv Turnover(TTM)</v>
      </c>
      <c r="K131" s="420">
        <f t="shared" ca="1" si="25"/>
        <v>4</v>
      </c>
      <c r="L131" s="420" t="e">
        <f t="shared" ca="1" si="26"/>
        <v>#NUM!</v>
      </c>
      <c r="M131" s="420" t="e">
        <f t="shared" ca="1" si="27"/>
        <v>#NUM!</v>
      </c>
      <c r="N131" s="420" t="e">
        <f t="shared" ca="1" si="28"/>
        <v>#NUM!</v>
      </c>
      <c r="O131" s="420" t="e">
        <f t="shared" ca="1" si="29"/>
        <v>#NUM!</v>
      </c>
      <c r="P131" s="420" t="e">
        <f t="shared" ca="1" si="30"/>
        <v>#NUM!</v>
      </c>
    </row>
    <row r="132" spans="2:16">
      <c r="B132" s="420" t="str">
        <f t="shared" si="31"/>
        <v>Asset Turnover(TTM)</v>
      </c>
      <c r="C132" s="420">
        <f ca="1">INDEX($K86:$P86,C$90)</f>
        <v>0.69000009999999989</v>
      </c>
      <c r="D132" s="420" t="e">
        <f t="shared" ca="1" si="37"/>
        <v>#NUM!</v>
      </c>
      <c r="E132" s="420" t="e">
        <f t="shared" ca="1" si="37"/>
        <v>#NUM!</v>
      </c>
      <c r="F132" s="420" t="e">
        <f t="shared" ca="1" si="37"/>
        <v>#NUM!</v>
      </c>
      <c r="G132" s="420" t="e">
        <f t="shared" ca="1" si="37"/>
        <v>#NUM!</v>
      </c>
      <c r="H132" s="420" t="e">
        <f t="shared" ca="1" si="37"/>
        <v>#NUM!</v>
      </c>
      <c r="J132" s="420" t="str">
        <f t="shared" si="22"/>
        <v>Asset Turnover(TTM)</v>
      </c>
      <c r="K132" s="420">
        <f t="shared" ca="1" si="25"/>
        <v>0</v>
      </c>
      <c r="L132" s="420" t="e">
        <f t="shared" ca="1" si="26"/>
        <v>#NUM!</v>
      </c>
      <c r="M132" s="420" t="e">
        <f t="shared" ca="1" si="27"/>
        <v>#NUM!</v>
      </c>
      <c r="N132" s="420" t="e">
        <f t="shared" ca="1" si="28"/>
        <v>#NUM!</v>
      </c>
      <c r="O132" s="420" t="e">
        <f t="shared" ca="1" si="29"/>
        <v>#NUM!</v>
      </c>
      <c r="P132" s="420" t="e">
        <f t="shared" ca="1" si="30"/>
        <v>#NUM!</v>
      </c>
    </row>
    <row r="134" spans="2:16">
      <c r="B134" s="570" t="s">
        <v>666</v>
      </c>
      <c r="C134" s="570"/>
      <c r="D134" s="570"/>
      <c r="E134" s="570"/>
      <c r="F134" s="570"/>
      <c r="G134" s="570"/>
      <c r="H134" s="570"/>
    </row>
    <row r="135" spans="2:16">
      <c r="C135" s="420" t="str">
        <f ca="1">IF(OR(ISBLANK($C$93),ISERROR(C93)),"",C93)</f>
        <v>KO</v>
      </c>
      <c r="D135" s="420" t="str">
        <f ca="1">IF(OR(ISBLANK($D$93),ISERROR(D93)),"",D93)</f>
        <v/>
      </c>
      <c r="E135" s="420" t="str">
        <f ca="1">IF(OR(ISBLANK($E$93),ISERROR(E93)),"",E93)</f>
        <v/>
      </c>
      <c r="F135" s="420" t="str">
        <f ca="1">IF(OR(ISBLANK($F$93),ISERROR(F93)),"",F93)</f>
        <v/>
      </c>
      <c r="G135" s="420" t="str">
        <f ca="1">IF(OR(ISBLANK($G$93),ISERROR(G93)),"",G93)</f>
        <v/>
      </c>
      <c r="H135" s="420" t="str">
        <f ca="1">IF(OR(ISBLANK($H$93),ISERROR(H93)),"",H93)</f>
        <v/>
      </c>
    </row>
    <row r="136" spans="2:16">
      <c r="B136" s="420" t="str">
        <f t="shared" ref="B136:B149" si="38">B4</f>
        <v>Stock Price</v>
      </c>
      <c r="C136" s="420">
        <f t="shared" ref="C136:C174" ca="1" si="39">IF(OR(ISBLANK($C$93),ISERROR(C94)),0.000001,C94)</f>
        <v>52.4000001</v>
      </c>
      <c r="D136" s="420">
        <f t="shared" ref="D136:D174" ca="1" si="40">IF(OR(ISBLANK($D$93),ISERROR(D94)),0.000001,D94)</f>
        <v>9.9999999999999995E-7</v>
      </c>
      <c r="E136" s="420">
        <f t="shared" ref="E136:E174" ca="1" si="41">IF(OR(ISBLANK($E$93),ISERROR(E94)),0.000001,E94)</f>
        <v>9.9999999999999995E-7</v>
      </c>
      <c r="F136" s="420">
        <f t="shared" ref="F136:F174" ca="1" si="42">IF(OR(ISBLANK($F$93),ISERROR(F94)),0.000001,F94)</f>
        <v>9.9999999999999995E-7</v>
      </c>
      <c r="G136" s="420">
        <f t="shared" ref="G136:G174" ca="1" si="43">IF(OR(ISBLANK($G$93),ISERROR(G94)),0.000001,G94)</f>
        <v>9.9999999999999995E-7</v>
      </c>
      <c r="H136" s="420">
        <f t="shared" ref="H136:H174" ca="1" si="44">IF(OR(ISBLANK($H$93),ISERROR(H94)),0.000001,H94)</f>
        <v>9.9999999999999995E-7</v>
      </c>
    </row>
    <row r="137" spans="2:16">
      <c r="B137" s="420" t="str">
        <f t="shared" si="38"/>
        <v>Mkt Cap ($M)</v>
      </c>
      <c r="C137" s="420">
        <f t="shared" ca="1" si="39"/>
        <v>120830.0000001</v>
      </c>
      <c r="D137" s="420">
        <f t="shared" ca="1" si="40"/>
        <v>9.9999999999999995E-7</v>
      </c>
      <c r="E137" s="420">
        <f t="shared" ca="1" si="41"/>
        <v>9.9999999999999995E-7</v>
      </c>
      <c r="F137" s="420">
        <f t="shared" ca="1" si="42"/>
        <v>9.9999999999999995E-7</v>
      </c>
      <c r="G137" s="420">
        <f t="shared" ca="1" si="43"/>
        <v>9.9999999999999995E-7</v>
      </c>
      <c r="H137" s="420">
        <f t="shared" ca="1" si="44"/>
        <v>9.9999999999999995E-7</v>
      </c>
    </row>
    <row r="138" spans="2:16">
      <c r="B138" s="420" t="str">
        <f t="shared" si="38"/>
        <v>EV</v>
      </c>
      <c r="C138" s="420">
        <f t="shared" ca="1" si="39"/>
        <v>123730.0000001</v>
      </c>
      <c r="D138" s="420">
        <f t="shared" ca="1" si="40"/>
        <v>9.9999999999999995E-7</v>
      </c>
      <c r="E138" s="420">
        <f t="shared" ca="1" si="41"/>
        <v>9.9999999999999995E-7</v>
      </c>
      <c r="F138" s="420">
        <f t="shared" ca="1" si="42"/>
        <v>9.9999999999999995E-7</v>
      </c>
      <c r="G138" s="420">
        <f t="shared" ca="1" si="43"/>
        <v>9.9999999999999995E-7</v>
      </c>
      <c r="H138" s="420">
        <f t="shared" ca="1" si="44"/>
        <v>9.9999999999999995E-7</v>
      </c>
    </row>
    <row r="139" spans="2:16">
      <c r="B139" s="420" t="str">
        <f t="shared" si="38"/>
        <v>52 Wk High</v>
      </c>
      <c r="C139" s="420">
        <f t="shared" ca="1" si="39"/>
        <v>59.450000100000004</v>
      </c>
      <c r="D139" s="420">
        <f t="shared" ca="1" si="40"/>
        <v>9.9999999999999995E-7</v>
      </c>
      <c r="E139" s="420">
        <f t="shared" ca="1" si="41"/>
        <v>9.9999999999999995E-7</v>
      </c>
      <c r="F139" s="420">
        <f t="shared" ca="1" si="42"/>
        <v>9.9999999999999995E-7</v>
      </c>
      <c r="G139" s="420">
        <f t="shared" ca="1" si="43"/>
        <v>9.9999999999999995E-7</v>
      </c>
      <c r="H139" s="420">
        <f t="shared" ca="1" si="44"/>
        <v>9.9999999999999995E-7</v>
      </c>
    </row>
    <row r="140" spans="2:16">
      <c r="B140" s="420" t="str">
        <f t="shared" si="38"/>
        <v>52 Wk Low</v>
      </c>
      <c r="C140" s="420">
        <f t="shared" ca="1" si="39"/>
        <v>47.420000100000003</v>
      </c>
      <c r="D140" s="420">
        <f t="shared" ca="1" si="40"/>
        <v>9.9999999999999995E-7</v>
      </c>
      <c r="E140" s="420">
        <f t="shared" ca="1" si="41"/>
        <v>9.9999999999999995E-7</v>
      </c>
      <c r="F140" s="420">
        <f t="shared" ca="1" si="42"/>
        <v>9.9999999999999995E-7</v>
      </c>
      <c r="G140" s="420">
        <f t="shared" ca="1" si="43"/>
        <v>9.9999999999999995E-7</v>
      </c>
      <c r="H140" s="420">
        <f t="shared" ca="1" si="44"/>
        <v>9.9999999999999995E-7</v>
      </c>
    </row>
    <row r="141" spans="2:16">
      <c r="B141" s="420" t="str">
        <f t="shared" si="38"/>
        <v>% off 52Wk Low</v>
      </c>
      <c r="C141" s="420">
        <f t="shared" ca="1" si="39"/>
        <v>0.10501907933361444</v>
      </c>
      <c r="D141" s="420">
        <f t="shared" ca="1" si="40"/>
        <v>9.9999999999999995E-7</v>
      </c>
      <c r="E141" s="420">
        <f t="shared" ca="1" si="41"/>
        <v>9.9999999999999995E-7</v>
      </c>
      <c r="F141" s="420">
        <f t="shared" ca="1" si="42"/>
        <v>9.9999999999999995E-7</v>
      </c>
      <c r="G141" s="420">
        <f t="shared" ca="1" si="43"/>
        <v>9.9999999999999995E-7</v>
      </c>
      <c r="H141" s="420">
        <f t="shared" ca="1" si="44"/>
        <v>9.9999999999999995E-7</v>
      </c>
    </row>
    <row r="142" spans="2:16">
      <c r="B142" s="420" t="str">
        <f t="shared" si="38"/>
        <v xml:space="preserve">P/E(TTM) </v>
      </c>
      <c r="C142" s="420">
        <f t="shared" ca="1" si="39"/>
        <v>17.2200001</v>
      </c>
      <c r="D142" s="420">
        <f t="shared" ca="1" si="40"/>
        <v>9.9999999999999995E-7</v>
      </c>
      <c r="E142" s="420">
        <f t="shared" ca="1" si="41"/>
        <v>9.9999999999999995E-7</v>
      </c>
      <c r="F142" s="420">
        <f t="shared" ca="1" si="42"/>
        <v>9.9999999999999995E-7</v>
      </c>
      <c r="G142" s="420">
        <f t="shared" ca="1" si="43"/>
        <v>9.9999999999999995E-7</v>
      </c>
      <c r="H142" s="420">
        <f t="shared" ca="1" si="44"/>
        <v>9.9999999999999995E-7</v>
      </c>
    </row>
    <row r="143" spans="2:16">
      <c r="B143" s="420" t="str">
        <f t="shared" si="38"/>
        <v xml:space="preserve">P/S(TTM) </v>
      </c>
      <c r="C143" s="420">
        <f t="shared" ca="1" si="39"/>
        <v>3.8500000999999999</v>
      </c>
      <c r="D143" s="420">
        <f t="shared" ca="1" si="40"/>
        <v>9.9999999999999995E-7</v>
      </c>
      <c r="E143" s="420">
        <f t="shared" ca="1" si="41"/>
        <v>9.9999999999999995E-7</v>
      </c>
      <c r="F143" s="420">
        <f t="shared" ca="1" si="42"/>
        <v>9.9999999999999995E-7</v>
      </c>
      <c r="G143" s="420">
        <f t="shared" ca="1" si="43"/>
        <v>9.9999999999999995E-7</v>
      </c>
      <c r="H143" s="420">
        <f t="shared" ca="1" si="44"/>
        <v>9.9999999999999995E-7</v>
      </c>
    </row>
    <row r="144" spans="2:16">
      <c r="B144" s="420" t="str">
        <f t="shared" si="38"/>
        <v xml:space="preserve">P/Tang BV(MRQ) </v>
      </c>
      <c r="C144" s="420">
        <f t="shared" ca="1" si="39"/>
        <v>9.6200000999999986</v>
      </c>
      <c r="D144" s="420">
        <f t="shared" ca="1" si="40"/>
        <v>9.9999999999999995E-7</v>
      </c>
      <c r="E144" s="420">
        <f t="shared" ca="1" si="41"/>
        <v>9.9999999999999995E-7</v>
      </c>
      <c r="F144" s="420">
        <f t="shared" ca="1" si="42"/>
        <v>9.9999999999999995E-7</v>
      </c>
      <c r="G144" s="420">
        <f t="shared" ca="1" si="43"/>
        <v>9.9999999999999995E-7</v>
      </c>
      <c r="H144" s="420">
        <f t="shared" ca="1" si="44"/>
        <v>9.9999999999999995E-7</v>
      </c>
    </row>
    <row r="145" spans="2:8">
      <c r="B145" s="420" t="str">
        <f t="shared" si="38"/>
        <v>P/CF</v>
      </c>
      <c r="C145" s="420">
        <f t="shared" ca="1" si="39"/>
        <v>14.350000099999999</v>
      </c>
      <c r="D145" s="420">
        <f t="shared" ca="1" si="40"/>
        <v>9.9999999999999995E-7</v>
      </c>
      <c r="E145" s="420">
        <f t="shared" ca="1" si="41"/>
        <v>9.9999999999999995E-7</v>
      </c>
      <c r="F145" s="420">
        <f t="shared" ca="1" si="42"/>
        <v>9.9999999999999995E-7</v>
      </c>
      <c r="G145" s="420">
        <f t="shared" ca="1" si="43"/>
        <v>9.9999999999999995E-7</v>
      </c>
      <c r="H145" s="420">
        <f t="shared" ca="1" si="44"/>
        <v>9.9999999999999995E-7</v>
      </c>
    </row>
    <row r="146" spans="2:8">
      <c r="B146" s="420" t="str">
        <f t="shared" si="38"/>
        <v xml:space="preserve">P/FCF(TTM) </v>
      </c>
      <c r="C146" s="420">
        <f t="shared" ca="1" si="39"/>
        <v>42.320000100000001</v>
      </c>
      <c r="D146" s="420">
        <f t="shared" ca="1" si="40"/>
        <v>9.9999999999999995E-7</v>
      </c>
      <c r="E146" s="420">
        <f t="shared" ca="1" si="41"/>
        <v>9.9999999999999995E-7</v>
      </c>
      <c r="F146" s="420">
        <f t="shared" ca="1" si="42"/>
        <v>9.9999999999999995E-7</v>
      </c>
      <c r="G146" s="420">
        <f t="shared" ca="1" si="43"/>
        <v>9.9999999999999995E-7</v>
      </c>
      <c r="H146" s="420">
        <f t="shared" ca="1" si="44"/>
        <v>9.9999999999999995E-7</v>
      </c>
    </row>
    <row r="147" spans="2:8">
      <c r="B147" s="420" t="str">
        <f t="shared" si="38"/>
        <v>EV/EBITDA(TTM)</v>
      </c>
      <c r="C147" s="420">
        <f t="shared" ca="1" si="39"/>
        <v>12.2300001</v>
      </c>
      <c r="D147" s="420">
        <f t="shared" ca="1" si="40"/>
        <v>9.9999999999999995E-7</v>
      </c>
      <c r="E147" s="420">
        <f t="shared" ca="1" si="41"/>
        <v>9.9999999999999995E-7</v>
      </c>
      <c r="F147" s="420">
        <f t="shared" ca="1" si="42"/>
        <v>9.9999999999999995E-7</v>
      </c>
      <c r="G147" s="420">
        <f t="shared" ca="1" si="43"/>
        <v>9.9999999999999995E-7</v>
      </c>
      <c r="H147" s="420">
        <f t="shared" ca="1" si="44"/>
        <v>9.9999999999999995E-7</v>
      </c>
    </row>
    <row r="148" spans="2:8">
      <c r="B148" s="420" t="str">
        <f t="shared" si="38"/>
        <v>Div Yld</v>
      </c>
      <c r="C148" s="420">
        <f t="shared" ca="1" si="39"/>
        <v>1.7000001000000001E-2</v>
      </c>
      <c r="D148" s="420">
        <f t="shared" ca="1" si="40"/>
        <v>9.9999999999999995E-7</v>
      </c>
      <c r="E148" s="420">
        <f t="shared" ca="1" si="41"/>
        <v>9.9999999999999995E-7</v>
      </c>
      <c r="F148" s="420">
        <f t="shared" ca="1" si="42"/>
        <v>9.9999999999999995E-7</v>
      </c>
      <c r="G148" s="420">
        <f t="shared" ca="1" si="43"/>
        <v>9.9999999999999995E-7</v>
      </c>
      <c r="H148" s="420">
        <f t="shared" ca="1" si="44"/>
        <v>9.9999999999999995E-7</v>
      </c>
    </row>
    <row r="149" spans="2:8">
      <c r="B149" s="420" t="str">
        <f t="shared" si="38"/>
        <v>Div Yld - 5yr avg</v>
      </c>
      <c r="C149" s="420">
        <f t="shared" ca="1" si="39"/>
        <v>2.7300000999999997E-2</v>
      </c>
      <c r="D149" s="420">
        <f t="shared" ca="1" si="40"/>
        <v>9.9999999999999995E-7</v>
      </c>
      <c r="E149" s="420">
        <f t="shared" ca="1" si="41"/>
        <v>9.9999999999999995E-7</v>
      </c>
      <c r="F149" s="420">
        <f t="shared" ca="1" si="42"/>
        <v>9.9999999999999995E-7</v>
      </c>
      <c r="G149" s="420">
        <f t="shared" ca="1" si="43"/>
        <v>9.9999999999999995E-7</v>
      </c>
      <c r="H149" s="420">
        <f t="shared" ca="1" si="44"/>
        <v>9.9999999999999995E-7</v>
      </c>
    </row>
    <row r="150" spans="2:8">
      <c r="B150" s="420" t="str">
        <f t="shared" ref="B150:B174" si="45">B18</f>
        <v>Div 5yr Grth</v>
      </c>
      <c r="C150" s="420">
        <f t="shared" ca="1" si="39"/>
        <v>0.10400000099999999</v>
      </c>
      <c r="D150" s="420">
        <f t="shared" ca="1" si="40"/>
        <v>9.9999999999999995E-7</v>
      </c>
      <c r="E150" s="420">
        <f t="shared" ca="1" si="41"/>
        <v>9.9999999999999995E-7</v>
      </c>
      <c r="F150" s="420">
        <f t="shared" ca="1" si="42"/>
        <v>9.9999999999999995E-7</v>
      </c>
      <c r="G150" s="420">
        <f t="shared" ca="1" si="43"/>
        <v>9.9999999999999995E-7</v>
      </c>
      <c r="H150" s="420">
        <f t="shared" ca="1" si="44"/>
        <v>9.9999999999999995E-7</v>
      </c>
    </row>
    <row r="151" spans="2:8">
      <c r="B151" s="420" t="str">
        <f t="shared" si="45"/>
        <v xml:space="preserve">Payout Ratio(TTM) </v>
      </c>
      <c r="C151" s="420">
        <f t="shared" ca="1" si="39"/>
        <v>0.54400000100000001</v>
      </c>
      <c r="D151" s="420">
        <f t="shared" ca="1" si="40"/>
        <v>9.9999999999999995E-7</v>
      </c>
      <c r="E151" s="420">
        <f t="shared" ca="1" si="41"/>
        <v>9.9999999999999995E-7</v>
      </c>
      <c r="F151" s="420">
        <f t="shared" ca="1" si="42"/>
        <v>9.9999999999999995E-7</v>
      </c>
      <c r="G151" s="420">
        <f t="shared" ca="1" si="43"/>
        <v>9.9999999999999995E-7</v>
      </c>
      <c r="H151" s="420">
        <f t="shared" ca="1" si="44"/>
        <v>9.9999999999999995E-7</v>
      </c>
    </row>
    <row r="152" spans="2:8">
      <c r="B152" s="420" t="str">
        <f t="shared" si="45"/>
        <v xml:space="preserve">Sales(MRQ) v 1yr ago </v>
      </c>
      <c r="C152" s="420">
        <f t="shared" ca="1" si="39"/>
        <v>4.9700001000000001E-2</v>
      </c>
      <c r="D152" s="420">
        <f t="shared" ca="1" si="40"/>
        <v>9.9999999999999995E-7</v>
      </c>
      <c r="E152" s="420">
        <f t="shared" ca="1" si="41"/>
        <v>9.9999999999999995E-7</v>
      </c>
      <c r="F152" s="420">
        <f t="shared" ca="1" si="42"/>
        <v>9.9999999999999995E-7</v>
      </c>
      <c r="G152" s="420">
        <f t="shared" ca="1" si="43"/>
        <v>9.9999999999999995E-7</v>
      </c>
      <c r="H152" s="420">
        <f t="shared" ca="1" si="44"/>
        <v>9.9999999999999995E-7</v>
      </c>
    </row>
    <row r="153" spans="2:8">
      <c r="B153" s="420" t="str">
        <f t="shared" si="45"/>
        <v>Sales(TTM) v 1yr ago</v>
      </c>
      <c r="C153" s="420">
        <f t="shared" ca="1" si="39"/>
        <v>3.8500000999999999E-2</v>
      </c>
      <c r="D153" s="420">
        <f t="shared" ca="1" si="40"/>
        <v>9.9999999999999995E-7</v>
      </c>
      <c r="E153" s="420">
        <f t="shared" ca="1" si="41"/>
        <v>9.9999999999999995E-7</v>
      </c>
      <c r="F153" s="420">
        <f t="shared" ca="1" si="42"/>
        <v>9.9999999999999995E-7</v>
      </c>
      <c r="G153" s="420">
        <f t="shared" ca="1" si="43"/>
        <v>9.9999999999999995E-7</v>
      </c>
      <c r="H153" s="420">
        <f t="shared" ca="1" si="44"/>
        <v>9.9999999999999995E-7</v>
      </c>
    </row>
    <row r="154" spans="2:8">
      <c r="B154" s="420" t="str">
        <f t="shared" si="45"/>
        <v>Sales 5yr Grth</v>
      </c>
      <c r="C154" s="420">
        <f t="shared" ca="1" si="39"/>
        <v>7.3500000999999995E-2</v>
      </c>
      <c r="D154" s="420">
        <f t="shared" ca="1" si="40"/>
        <v>9.9999999999999995E-7</v>
      </c>
      <c r="E154" s="420">
        <f t="shared" ca="1" si="41"/>
        <v>9.9999999999999995E-7</v>
      </c>
      <c r="F154" s="420">
        <f t="shared" ca="1" si="42"/>
        <v>9.9999999999999995E-7</v>
      </c>
      <c r="G154" s="420">
        <f t="shared" ca="1" si="43"/>
        <v>9.9999999999999995E-7</v>
      </c>
      <c r="H154" s="420">
        <f t="shared" ca="1" si="44"/>
        <v>9.9999999999999995E-7</v>
      </c>
    </row>
    <row r="155" spans="2:8">
      <c r="B155" s="420" t="str">
        <f t="shared" si="45"/>
        <v>EPS(MRQ) v 1yr ago</v>
      </c>
      <c r="C155" s="420">
        <f t="shared" ca="1" si="39"/>
        <v>0.19320000100000001</v>
      </c>
      <c r="D155" s="420">
        <f t="shared" ca="1" si="40"/>
        <v>9.9999999999999995E-7</v>
      </c>
      <c r="E155" s="420">
        <f t="shared" ca="1" si="41"/>
        <v>9.9999999999999995E-7</v>
      </c>
      <c r="F155" s="420">
        <f t="shared" ca="1" si="42"/>
        <v>9.9999999999999995E-7</v>
      </c>
      <c r="G155" s="420">
        <f t="shared" ca="1" si="43"/>
        <v>9.9999999999999995E-7</v>
      </c>
      <c r="H155" s="420">
        <f t="shared" ca="1" si="44"/>
        <v>9.9999999999999995E-7</v>
      </c>
    </row>
    <row r="156" spans="2:8">
      <c r="B156" s="420" t="str">
        <f t="shared" si="45"/>
        <v xml:space="preserve">EPS(TTM) v 1yr ago </v>
      </c>
      <c r="C156" s="420">
        <f t="shared" ca="1" si="39"/>
        <v>0.252800001</v>
      </c>
      <c r="D156" s="420">
        <f t="shared" ca="1" si="40"/>
        <v>9.9999999999999995E-7</v>
      </c>
      <c r="E156" s="420">
        <f t="shared" ca="1" si="41"/>
        <v>9.9999999999999995E-7</v>
      </c>
      <c r="F156" s="420">
        <f t="shared" ca="1" si="42"/>
        <v>9.9999999999999995E-7</v>
      </c>
      <c r="G156" s="420">
        <f t="shared" ca="1" si="43"/>
        <v>9.9999999999999995E-7</v>
      </c>
      <c r="H156" s="420">
        <f t="shared" ca="1" si="44"/>
        <v>9.9999999999999995E-7</v>
      </c>
    </row>
    <row r="157" spans="2:8">
      <c r="B157" s="420" t="str">
        <f t="shared" si="45"/>
        <v>EPS 5yr Grth</v>
      </c>
      <c r="C157" s="420">
        <f t="shared" ca="1" si="39"/>
        <v>7.9900000999999998E-2</v>
      </c>
      <c r="D157" s="420">
        <f t="shared" ca="1" si="40"/>
        <v>9.9999999999999995E-7</v>
      </c>
      <c r="E157" s="420">
        <f t="shared" ca="1" si="41"/>
        <v>9.9999999999999995E-7</v>
      </c>
      <c r="F157" s="420">
        <f t="shared" ca="1" si="42"/>
        <v>9.9999999999999995E-7</v>
      </c>
      <c r="G157" s="420">
        <f t="shared" ca="1" si="43"/>
        <v>9.9999999999999995E-7</v>
      </c>
      <c r="H157" s="420">
        <f t="shared" ca="1" si="44"/>
        <v>9.9999999999999995E-7</v>
      </c>
    </row>
    <row r="158" spans="2:8">
      <c r="B158" s="420" t="str">
        <f t="shared" si="45"/>
        <v>Quick Ratio(MRQ)</v>
      </c>
      <c r="C158" s="420">
        <f t="shared" ca="1" si="39"/>
        <v>1.1000001000000001</v>
      </c>
      <c r="D158" s="420">
        <f t="shared" ca="1" si="40"/>
        <v>9.9999999999999995E-7</v>
      </c>
      <c r="E158" s="420">
        <f t="shared" ca="1" si="41"/>
        <v>9.9999999999999995E-7</v>
      </c>
      <c r="F158" s="420">
        <f t="shared" ca="1" si="42"/>
        <v>9.9999999999999995E-7</v>
      </c>
      <c r="G158" s="420">
        <f t="shared" ca="1" si="43"/>
        <v>9.9999999999999995E-7</v>
      </c>
      <c r="H158" s="420">
        <f t="shared" ca="1" si="44"/>
        <v>9.9999999999999995E-7</v>
      </c>
    </row>
    <row r="159" spans="2:8">
      <c r="B159" s="420" t="str">
        <f t="shared" si="45"/>
        <v>Current Ratio(MRQ)</v>
      </c>
      <c r="C159" s="420">
        <f t="shared" ca="1" si="39"/>
        <v>1.2700001000000001</v>
      </c>
      <c r="D159" s="420">
        <f t="shared" ca="1" si="40"/>
        <v>9.9999999999999995E-7</v>
      </c>
      <c r="E159" s="420">
        <f t="shared" ca="1" si="41"/>
        <v>9.9999999999999995E-7</v>
      </c>
      <c r="F159" s="420">
        <f t="shared" ca="1" si="42"/>
        <v>9.9999999999999995E-7</v>
      </c>
      <c r="G159" s="420">
        <f t="shared" ca="1" si="43"/>
        <v>9.9999999999999995E-7</v>
      </c>
      <c r="H159" s="420">
        <f t="shared" ca="1" si="44"/>
        <v>9.9999999999999995E-7</v>
      </c>
    </row>
    <row r="160" spans="2:8">
      <c r="B160" s="420" t="str">
        <f t="shared" si="45"/>
        <v xml:space="preserve">LTD/Eq(MRQ) </v>
      </c>
      <c r="C160" s="420">
        <f t="shared" ca="1" si="39"/>
        <v>17.770000100000001</v>
      </c>
      <c r="D160" s="420">
        <f t="shared" ca="1" si="40"/>
        <v>9.9999999999999995E-7</v>
      </c>
      <c r="E160" s="420">
        <f t="shared" ca="1" si="41"/>
        <v>9.9999999999999995E-7</v>
      </c>
      <c r="F160" s="420">
        <f t="shared" ca="1" si="42"/>
        <v>9.9999999999999995E-7</v>
      </c>
      <c r="G160" s="420">
        <f t="shared" ca="1" si="43"/>
        <v>9.9999999999999995E-7</v>
      </c>
      <c r="H160" s="420">
        <f t="shared" ca="1" si="44"/>
        <v>9.9999999999999995E-7</v>
      </c>
    </row>
    <row r="161" spans="2:8">
      <c r="B161" s="420" t="str">
        <f t="shared" si="45"/>
        <v xml:space="preserve">Tot D/Eq(MRQ) </v>
      </c>
      <c r="C161" s="420">
        <f t="shared" ca="1" si="39"/>
        <v>46.780000100000002</v>
      </c>
      <c r="D161" s="420">
        <f t="shared" ca="1" si="40"/>
        <v>9.9999999999999995E-7</v>
      </c>
      <c r="E161" s="420">
        <f t="shared" ca="1" si="41"/>
        <v>9.9999999999999995E-7</v>
      </c>
      <c r="F161" s="420">
        <f t="shared" ca="1" si="42"/>
        <v>9.9999999999999995E-7</v>
      </c>
      <c r="G161" s="420">
        <f t="shared" ca="1" si="43"/>
        <v>9.9999999999999995E-7</v>
      </c>
      <c r="H161" s="420">
        <f t="shared" ca="1" si="44"/>
        <v>9.9999999999999995E-7</v>
      </c>
    </row>
    <row r="162" spans="2:8">
      <c r="B162" s="420" t="str">
        <f t="shared" si="45"/>
        <v>Gross %(TTM)</v>
      </c>
      <c r="C162" s="420">
        <f t="shared" ca="1" si="39"/>
        <v>0.6478000009999999</v>
      </c>
      <c r="D162" s="420">
        <f t="shared" ca="1" si="40"/>
        <v>9.9999999999999995E-7</v>
      </c>
      <c r="E162" s="420">
        <f t="shared" ca="1" si="41"/>
        <v>9.9999999999999995E-7</v>
      </c>
      <c r="F162" s="420">
        <f t="shared" ca="1" si="42"/>
        <v>9.9999999999999995E-7</v>
      </c>
      <c r="G162" s="420">
        <f t="shared" ca="1" si="43"/>
        <v>9.9999999999999995E-7</v>
      </c>
      <c r="H162" s="420">
        <f t="shared" ca="1" si="44"/>
        <v>9.9999999999999995E-7</v>
      </c>
    </row>
    <row r="163" spans="2:8">
      <c r="B163" s="420" t="str">
        <f t="shared" si="45"/>
        <v>Gross % 5yr</v>
      </c>
      <c r="C163" s="420">
        <f t="shared" ca="1" si="39"/>
        <v>0.6458000009999999</v>
      </c>
      <c r="D163" s="420">
        <f t="shared" ca="1" si="40"/>
        <v>9.9999999999999995E-7</v>
      </c>
      <c r="E163" s="420">
        <f t="shared" ca="1" si="41"/>
        <v>9.9999999999999995E-7</v>
      </c>
      <c r="F163" s="420">
        <f t="shared" ca="1" si="42"/>
        <v>9.9999999999999995E-7</v>
      </c>
      <c r="G163" s="420">
        <f t="shared" ca="1" si="43"/>
        <v>9.9999999999999995E-7</v>
      </c>
      <c r="H163" s="420">
        <f t="shared" ca="1" si="44"/>
        <v>9.9999999999999995E-7</v>
      </c>
    </row>
    <row r="164" spans="2:8">
      <c r="B164" s="420" t="str">
        <f t="shared" si="45"/>
        <v xml:space="preserve">Op %(TTM) </v>
      </c>
      <c r="C164" s="420">
        <f t="shared" ca="1" si="39"/>
        <v>0.27280000100000001</v>
      </c>
      <c r="D164" s="420">
        <f t="shared" ca="1" si="40"/>
        <v>9.9999999999999995E-7</v>
      </c>
      <c r="E164" s="420">
        <f t="shared" ca="1" si="41"/>
        <v>9.9999999999999995E-7</v>
      </c>
      <c r="F164" s="420">
        <f t="shared" ca="1" si="42"/>
        <v>9.9999999999999995E-7</v>
      </c>
      <c r="G164" s="420">
        <f t="shared" ca="1" si="43"/>
        <v>9.9999999999999995E-7</v>
      </c>
      <c r="H164" s="420">
        <f t="shared" ca="1" si="44"/>
        <v>9.9999999999999995E-7</v>
      </c>
    </row>
    <row r="165" spans="2:8">
      <c r="B165" s="420" t="str">
        <f t="shared" si="45"/>
        <v>Op % 5yr avg</v>
      </c>
      <c r="C165" s="420">
        <f t="shared" ca="1" si="39"/>
        <v>0.261300001</v>
      </c>
      <c r="D165" s="420">
        <f t="shared" ca="1" si="40"/>
        <v>9.9999999999999995E-7</v>
      </c>
      <c r="E165" s="420">
        <f t="shared" ca="1" si="41"/>
        <v>9.9999999999999995E-7</v>
      </c>
      <c r="F165" s="420">
        <f t="shared" ca="1" si="42"/>
        <v>9.9999999999999995E-7</v>
      </c>
      <c r="G165" s="420">
        <f t="shared" ca="1" si="43"/>
        <v>9.9999999999999995E-7</v>
      </c>
      <c r="H165" s="420">
        <f t="shared" ca="1" si="44"/>
        <v>9.9999999999999995E-7</v>
      </c>
    </row>
    <row r="166" spans="2:8">
      <c r="B166" s="420" t="str">
        <f t="shared" si="45"/>
        <v xml:space="preserve">Net %(TTM) </v>
      </c>
      <c r="C166" s="420">
        <f t="shared" ca="1" si="39"/>
        <v>0.228800001</v>
      </c>
      <c r="D166" s="420">
        <f t="shared" ca="1" si="40"/>
        <v>9.9999999999999995E-7</v>
      </c>
      <c r="E166" s="420">
        <f t="shared" ca="1" si="41"/>
        <v>9.9999999999999995E-7</v>
      </c>
      <c r="F166" s="420">
        <f t="shared" ca="1" si="42"/>
        <v>9.9999999999999995E-7</v>
      </c>
      <c r="G166" s="420">
        <f t="shared" ca="1" si="43"/>
        <v>9.9999999999999995E-7</v>
      </c>
      <c r="H166" s="420">
        <f t="shared" ca="1" si="44"/>
        <v>9.9999999999999995E-7</v>
      </c>
    </row>
    <row r="167" spans="2:8">
      <c r="B167" s="420" t="str">
        <f t="shared" si="45"/>
        <v>Net % 5yr avg</v>
      </c>
      <c r="C167" s="420">
        <f t="shared" ca="1" si="39"/>
        <v>0.20690000100000003</v>
      </c>
      <c r="D167" s="420">
        <f t="shared" ca="1" si="40"/>
        <v>9.9999999999999995E-7</v>
      </c>
      <c r="E167" s="420">
        <f t="shared" ca="1" si="41"/>
        <v>9.9999999999999995E-7</v>
      </c>
      <c r="F167" s="420">
        <f t="shared" ca="1" si="42"/>
        <v>9.9999999999999995E-7</v>
      </c>
      <c r="G167" s="420">
        <f t="shared" ca="1" si="43"/>
        <v>9.9999999999999995E-7</v>
      </c>
      <c r="H167" s="420">
        <f t="shared" ca="1" si="44"/>
        <v>9.9999999999999995E-7</v>
      </c>
    </row>
    <row r="168" spans="2:8">
      <c r="B168" s="420" t="str">
        <f t="shared" si="45"/>
        <v xml:space="preserve">ROA(TTM) </v>
      </c>
      <c r="C168" s="420">
        <f t="shared" ca="1" si="39"/>
        <v>0.158500001</v>
      </c>
      <c r="D168" s="420">
        <f t="shared" ca="1" si="40"/>
        <v>9.9999999999999995E-7</v>
      </c>
      <c r="E168" s="420">
        <f t="shared" ca="1" si="41"/>
        <v>9.9999999999999995E-7</v>
      </c>
      <c r="F168" s="420">
        <f t="shared" ca="1" si="42"/>
        <v>9.9999999999999995E-7</v>
      </c>
      <c r="G168" s="420">
        <f t="shared" ca="1" si="43"/>
        <v>9.9999999999999995E-7</v>
      </c>
      <c r="H168" s="420">
        <f t="shared" ca="1" si="44"/>
        <v>9.9999999999999995E-7</v>
      </c>
    </row>
    <row r="169" spans="2:8">
      <c r="B169" s="420" t="str">
        <f t="shared" si="45"/>
        <v>ROA 5yr avg</v>
      </c>
      <c r="C169" s="420">
        <f t="shared" ca="1" si="39"/>
        <v>0.157000001</v>
      </c>
      <c r="D169" s="420">
        <f t="shared" ca="1" si="40"/>
        <v>9.9999999999999995E-7</v>
      </c>
      <c r="E169" s="420">
        <f t="shared" ca="1" si="41"/>
        <v>9.9999999999999995E-7</v>
      </c>
      <c r="F169" s="420">
        <f t="shared" ca="1" si="42"/>
        <v>9.9999999999999995E-7</v>
      </c>
      <c r="G169" s="420">
        <f t="shared" ca="1" si="43"/>
        <v>9.9999999999999995E-7</v>
      </c>
      <c r="H169" s="420">
        <f t="shared" ca="1" si="44"/>
        <v>9.9999999999999995E-7</v>
      </c>
    </row>
    <row r="170" spans="2:8">
      <c r="B170" s="420" t="str">
        <f t="shared" si="45"/>
        <v xml:space="preserve">ROE(TTM) </v>
      </c>
      <c r="C170" s="420">
        <f t="shared" ca="1" si="39"/>
        <v>0.31110000100000001</v>
      </c>
      <c r="D170" s="420">
        <f t="shared" ca="1" si="40"/>
        <v>9.9999999999999995E-7</v>
      </c>
      <c r="E170" s="420">
        <f t="shared" ca="1" si="41"/>
        <v>9.9999999999999995E-7</v>
      </c>
      <c r="F170" s="420">
        <f t="shared" ca="1" si="42"/>
        <v>9.9999999999999995E-7</v>
      </c>
      <c r="G170" s="420">
        <f t="shared" ca="1" si="43"/>
        <v>9.9999999999999995E-7</v>
      </c>
      <c r="H170" s="420">
        <f t="shared" ca="1" si="44"/>
        <v>9.9999999999999995E-7</v>
      </c>
    </row>
    <row r="171" spans="2:8">
      <c r="B171" s="420" t="str">
        <f t="shared" si="45"/>
        <v>ROE 5yr avg</v>
      </c>
      <c r="C171" s="420">
        <f t="shared" ca="1" si="39"/>
        <v>0.29800000100000001</v>
      </c>
      <c r="D171" s="420">
        <f t="shared" ca="1" si="40"/>
        <v>9.9999999999999995E-7</v>
      </c>
      <c r="E171" s="420">
        <f t="shared" ca="1" si="41"/>
        <v>9.9999999999999995E-7</v>
      </c>
      <c r="F171" s="420">
        <f t="shared" ca="1" si="42"/>
        <v>9.9999999999999995E-7</v>
      </c>
      <c r="G171" s="420">
        <f t="shared" ca="1" si="43"/>
        <v>9.9999999999999995E-7</v>
      </c>
      <c r="H171" s="420">
        <f t="shared" ca="1" si="44"/>
        <v>9.9999999999999995E-7</v>
      </c>
    </row>
    <row r="172" spans="2:8">
      <c r="B172" s="420" t="str">
        <f t="shared" si="45"/>
        <v>Rec Turnover(TTM)</v>
      </c>
      <c r="C172" s="420">
        <f t="shared" ca="1" si="39"/>
        <v>9.1600000999999995</v>
      </c>
      <c r="D172" s="420">
        <f t="shared" ca="1" si="40"/>
        <v>9.9999999999999995E-7</v>
      </c>
      <c r="E172" s="420">
        <f t="shared" ca="1" si="41"/>
        <v>9.9999999999999995E-7</v>
      </c>
      <c r="F172" s="420">
        <f t="shared" ca="1" si="42"/>
        <v>9.9999999999999995E-7</v>
      </c>
      <c r="G172" s="420">
        <f t="shared" ca="1" si="43"/>
        <v>9.9999999999999995E-7</v>
      </c>
      <c r="H172" s="420">
        <f t="shared" ca="1" si="44"/>
        <v>9.9999999999999995E-7</v>
      </c>
    </row>
    <row r="173" spans="2:8">
      <c r="B173" s="420" t="str">
        <f t="shared" si="45"/>
        <v>Inv Turnover(TTM)</v>
      </c>
      <c r="C173" s="420">
        <f t="shared" ca="1" si="39"/>
        <v>4.7700000999999999</v>
      </c>
      <c r="D173" s="420">
        <f t="shared" ca="1" si="40"/>
        <v>9.9999999999999995E-7</v>
      </c>
      <c r="E173" s="420">
        <f t="shared" ca="1" si="41"/>
        <v>9.9999999999999995E-7</v>
      </c>
      <c r="F173" s="420">
        <f t="shared" ca="1" si="42"/>
        <v>9.9999999999999995E-7</v>
      </c>
      <c r="G173" s="420">
        <f t="shared" ca="1" si="43"/>
        <v>9.9999999999999995E-7</v>
      </c>
      <c r="H173" s="420">
        <f t="shared" ca="1" si="44"/>
        <v>9.9999999999999995E-7</v>
      </c>
    </row>
    <row r="174" spans="2:8">
      <c r="B174" s="420" t="str">
        <f t="shared" si="45"/>
        <v>Asset Turnover(TTM)</v>
      </c>
      <c r="C174" s="420">
        <f t="shared" ca="1" si="39"/>
        <v>0.69000009999999989</v>
      </c>
      <c r="D174" s="420">
        <f t="shared" ca="1" si="40"/>
        <v>9.9999999999999995E-7</v>
      </c>
      <c r="E174" s="420">
        <f t="shared" ca="1" si="41"/>
        <v>9.9999999999999995E-7</v>
      </c>
      <c r="F174" s="420">
        <f t="shared" ca="1" si="42"/>
        <v>9.9999999999999995E-7</v>
      </c>
      <c r="G174" s="420">
        <f t="shared" ca="1" si="43"/>
        <v>9.9999999999999995E-7</v>
      </c>
      <c r="H174" s="420">
        <f t="shared" ca="1" si="44"/>
        <v>9.9999999999999995E-7</v>
      </c>
    </row>
  </sheetData>
  <pageMargins left="0.7" right="0.7" top="0.75" bottom="0.75" header="0.3" footer="0.3"/>
  <pageSetup orientation="portrait" horizontalDpi="200" verticalDpi="200" r:id="rId1"/>
  <legacyDrawing r:id="rId2"/>
</worksheet>
</file>

<file path=xl/worksheets/sheet19.xml><?xml version="1.0" encoding="utf-8"?>
<worksheet xmlns="http://schemas.openxmlformats.org/spreadsheetml/2006/main" xmlns:r="http://schemas.openxmlformats.org/officeDocument/2006/relationships">
  <sheetPr codeName="Sheet2">
    <pageSetUpPr fitToPage="1"/>
  </sheetPr>
  <dimension ref="A1:Y153"/>
  <sheetViews>
    <sheetView showGridLines="0" zoomScale="75" zoomScaleNormal="75" zoomScaleSheetLayoutView="80" workbookViewId="0">
      <pane ySplit="4" topLeftCell="A121" activePane="bottomLeft" state="frozen"/>
      <selection pane="bottomLeft" activeCell="M154" sqref="M154"/>
    </sheetView>
  </sheetViews>
  <sheetFormatPr defaultColWidth="0" defaultRowHeight="12.75"/>
  <cols>
    <col min="1" max="1" width="4.42578125" customWidth="1"/>
    <col min="2" max="24" width="9" customWidth="1"/>
    <col min="25" max="25" width="4.85546875" customWidth="1"/>
    <col min="26" max="16384" width="9.140625" hidden="1"/>
  </cols>
  <sheetData>
    <row r="1" spans="2:24" ht="20.25">
      <c r="B1" s="301" t="str">
        <f ca="1">Statements!$A$2</f>
        <v>Coca-Cola Co</v>
      </c>
      <c r="C1" s="301"/>
      <c r="D1" s="301"/>
    </row>
    <row r="2" spans="2:24" ht="20.25">
      <c r="B2" s="1053" t="str">
        <f ca="1">Statements!$A$3</f>
        <v>(KO)</v>
      </c>
      <c r="C2" s="1053"/>
      <c r="D2" s="1053"/>
    </row>
    <row r="3" spans="2:24" ht="16.5">
      <c r="B3" s="1127">
        <f ca="1">Statements!$A$4</f>
        <v>40369</v>
      </c>
      <c r="C3" s="1127"/>
      <c r="D3" s="1127"/>
      <c r="W3" s="3"/>
      <c r="X3" s="3"/>
    </row>
    <row r="4" spans="2:24" ht="30" customHeight="1">
      <c r="C4" s="677"/>
      <c r="D4" s="13"/>
      <c r="X4" s="995" t="s">
        <v>233</v>
      </c>
    </row>
    <row r="6" spans="2:24" ht="17.25" customHeight="1">
      <c r="B6" s="1126" t="s">
        <v>0</v>
      </c>
      <c r="C6" s="1126"/>
      <c r="D6" s="1126"/>
      <c r="E6" s="1126"/>
      <c r="F6" s="1126"/>
      <c r="G6" s="1126"/>
      <c r="H6" s="1126"/>
      <c r="I6" s="1126"/>
      <c r="J6" s="1126"/>
      <c r="K6" s="1126"/>
      <c r="L6" s="1126"/>
      <c r="N6" s="1126" t="s">
        <v>541</v>
      </c>
      <c r="O6" s="1126"/>
      <c r="P6" s="1126"/>
      <c r="Q6" s="1126"/>
      <c r="R6" s="1126"/>
      <c r="S6" s="1126"/>
      <c r="T6" s="1126"/>
      <c r="U6" s="1126"/>
      <c r="V6" s="1126"/>
      <c r="W6" s="1126"/>
      <c r="X6" s="1126"/>
    </row>
    <row r="16" spans="2:24">
      <c r="B16" s="983">
        <f ca="1">ChartsData!$D$2</f>
        <v>2000</v>
      </c>
      <c r="C16" s="983">
        <f ca="1">ChartsData!$E$2</f>
        <v>2001</v>
      </c>
      <c r="D16" s="983">
        <f ca="1">ChartsData!$F$2</f>
        <v>2002</v>
      </c>
      <c r="E16" s="983">
        <f ca="1">ChartsData!$G$2</f>
        <v>2003</v>
      </c>
      <c r="F16" s="983">
        <f ca="1">ChartsData!$H$2</f>
        <v>2004</v>
      </c>
      <c r="G16" s="983">
        <f ca="1">ChartsData!$I$2</f>
        <v>2005</v>
      </c>
      <c r="H16" s="983">
        <f ca="1">ChartsData!$J$2</f>
        <v>2006</v>
      </c>
      <c r="I16" s="983">
        <f ca="1">ChartsData!$K$2</f>
        <v>2007</v>
      </c>
      <c r="J16" s="983">
        <f ca="1">ChartsData!$L$2</f>
        <v>2008</v>
      </c>
      <c r="K16" s="983">
        <f ca="1">ChartsData!$M$2</f>
        <v>2009</v>
      </c>
      <c r="L16" s="983" t="str">
        <f ca="1">ChartsData!$N$2</f>
        <v>TTM</v>
      </c>
      <c r="N16" s="983">
        <f ca="1">ChartsData!$D$2</f>
        <v>2000</v>
      </c>
      <c r="O16" s="983">
        <f ca="1">ChartsData!$E$2</f>
        <v>2001</v>
      </c>
      <c r="P16" s="983">
        <f ca="1">ChartsData!$F$2</f>
        <v>2002</v>
      </c>
      <c r="Q16" s="983">
        <f ca="1">ChartsData!$G$2</f>
        <v>2003</v>
      </c>
      <c r="R16" s="983">
        <f ca="1">ChartsData!$H$2</f>
        <v>2004</v>
      </c>
      <c r="S16" s="983">
        <f ca="1">ChartsData!$I$2</f>
        <v>2005</v>
      </c>
      <c r="T16" s="983">
        <f ca="1">ChartsData!$J$2</f>
        <v>2006</v>
      </c>
      <c r="U16" s="983">
        <f ca="1">ChartsData!$K$2</f>
        <v>2007</v>
      </c>
      <c r="V16" s="983">
        <f ca="1">ChartsData!$L$2</f>
        <v>2008</v>
      </c>
      <c r="W16" s="983">
        <f ca="1">ChartsData!$M$2</f>
        <v>2009</v>
      </c>
      <c r="X16" s="983" t="str">
        <f ca="1">ChartsData!$N$2</f>
        <v>TTM</v>
      </c>
    </row>
    <row r="17" spans="2:24">
      <c r="B17" s="981">
        <f ca="1">OFFSET(ChartsData!$B$2,B19,COLUMNS(ChartsData!$D:$D)+1)</f>
        <v>2852</v>
      </c>
      <c r="C17" s="981">
        <f ca="1">OFFSET(ChartsData!$B$2,C19,COLUMNS(ChartsData!$D:$E)+1)</f>
        <v>3341</v>
      </c>
      <c r="D17" s="981">
        <f ca="1">OFFSET(ChartsData!$B$2,D19,COLUMNS(ChartsData!$D:$F)+1)</f>
        <v>3891</v>
      </c>
      <c r="E17" s="981">
        <f ca="1">OFFSET(ChartsData!$B$2,E19,COLUMNS(ChartsData!$D:$G)+1)</f>
        <v>4644</v>
      </c>
      <c r="F17" s="981">
        <f ca="1">OFFSET(ChartsData!$B$2,F19,COLUMNS(ChartsData!$D:$H)+1)</f>
        <v>5213</v>
      </c>
      <c r="G17" s="981">
        <f ca="1">OFFSET(ChartsData!$B$2,G19,COLUMNS(ChartsData!$D:$I)+1)</f>
        <v>5524</v>
      </c>
      <c r="H17" s="981">
        <f ca="1">OFFSET(ChartsData!$B$2,H19,COLUMNS(ChartsData!$D:$J)+1)</f>
        <v>4550</v>
      </c>
      <c r="I17" s="981">
        <f ca="1">OFFSET(ChartsData!$B$2,I19,COLUMNS(ChartsData!$D:$K)+1)</f>
        <v>5502</v>
      </c>
      <c r="J17" s="981">
        <f ca="1">OFFSET(ChartsData!$B$2,J19,COLUMNS(ChartsData!$D:$L)+1)</f>
        <v>5603</v>
      </c>
      <c r="K17" s="981">
        <f ca="1">OFFSET(ChartsData!$B$2,K19,COLUMNS(ChartsData!$D:$M)+1)</f>
        <v>6193</v>
      </c>
      <c r="L17" s="981">
        <f ca="1">OFFSET(ChartsData!$B$2,L19,COLUMNS(ChartsData!$D:$N)+1)</f>
        <v>6720</v>
      </c>
      <c r="N17" s="981">
        <f ca="1">OFFSET(ChartsData!$B$2,N19,COLUMNS(ChartsData!$D:$D)+1)</f>
        <v>2217</v>
      </c>
      <c r="O17" s="981">
        <f ca="1">OFFSET(ChartsData!$B$2,O19,COLUMNS(ChartsData!$D:$E)+1)</f>
        <v>4003</v>
      </c>
      <c r="P17" s="981">
        <f ca="1">OFFSET(ChartsData!$B$2,P19,COLUMNS(ChartsData!$D:$F)+1)</f>
        <v>3005</v>
      </c>
      <c r="Q17" s="981">
        <f ca="1">OFFSET(ChartsData!$B$2,Q19,COLUMNS(ChartsData!$D:$G)+1)</f>
        <v>4385</v>
      </c>
      <c r="R17" s="981">
        <f ca="1">OFFSET(ChartsData!$B$2,R19,COLUMNS(ChartsData!$D:$H)+1)</f>
        <v>4985</v>
      </c>
      <c r="S17" s="981">
        <f ca="1">OFFSET(ChartsData!$B$2,S19,COLUMNS(ChartsData!$D:$I)+1)</f>
        <v>4905</v>
      </c>
      <c r="T17" s="981">
        <f ca="1">OFFSET(ChartsData!$B$2,T19,COLUMNS(ChartsData!$D:$J)+1)</f>
        <v>4611</v>
      </c>
      <c r="U17" s="981">
        <f ca="1">OFFSET(ChartsData!$B$2,U19,COLUMNS(ChartsData!$D:$K)+1)</f>
        <v>5496</v>
      </c>
      <c r="V17" s="981">
        <f ca="1">OFFSET(ChartsData!$B$2,V19,COLUMNS(ChartsData!$D:$L)+1)</f>
        <v>5067</v>
      </c>
      <c r="W17" s="981">
        <f ca="1">OFFSET(ChartsData!$B$2,W19,COLUMNS(ChartsData!$D:$M)+1)</f>
        <v>6067</v>
      </c>
      <c r="X17" s="981">
        <f ca="1">OFFSET(ChartsData!$B$2,X19,COLUMNS(ChartsData!$D:$N)+1)</f>
        <v>6419</v>
      </c>
    </row>
    <row r="18" spans="2:24">
      <c r="B18" s="994" t="s">
        <v>126</v>
      </c>
      <c r="C18" s="982">
        <f ca="1">(C17-B17)/ABS(B17)</f>
        <v>0.17145862552594671</v>
      </c>
      <c r="D18" s="982">
        <f t="shared" ref="D18:L18" ca="1" si="0">(D17-C17)/ABS(C17)</f>
        <v>0.16462137084705178</v>
      </c>
      <c r="E18" s="982">
        <f t="shared" ca="1" si="0"/>
        <v>0.19352351580570548</v>
      </c>
      <c r="F18" s="982">
        <f t="shared" ca="1" si="0"/>
        <v>0.12252368647717485</v>
      </c>
      <c r="G18" s="982">
        <f t="shared" ca="1" si="0"/>
        <v>5.965854594283522E-2</v>
      </c>
      <c r="H18" s="982">
        <f t="shared" ca="1" si="0"/>
        <v>-0.17632150615496017</v>
      </c>
      <c r="I18" s="982">
        <f t="shared" ca="1" si="0"/>
        <v>0.20923076923076922</v>
      </c>
      <c r="J18" s="982">
        <f t="shared" ca="1" si="0"/>
        <v>1.8356961105052708E-2</v>
      </c>
      <c r="K18" s="982">
        <f t="shared" ca="1" si="0"/>
        <v>0.10530073175084775</v>
      </c>
      <c r="L18" s="982">
        <f t="shared" ca="1" si="0"/>
        <v>8.5096076215081543E-2</v>
      </c>
      <c r="N18" s="994" t="s">
        <v>126</v>
      </c>
      <c r="O18" s="982">
        <f ca="1">(O17-N17)/ABS(N17)</f>
        <v>0.80559314388813708</v>
      </c>
      <c r="P18" s="982">
        <f t="shared" ref="P18:X18" ca="1" si="1">(P17-O17)/ABS(O17)</f>
        <v>-0.24931301523857108</v>
      </c>
      <c r="Q18" s="982">
        <f t="shared" ca="1" si="1"/>
        <v>0.45923460898502494</v>
      </c>
      <c r="R18" s="982">
        <f t="shared" ca="1" si="1"/>
        <v>0.13683010262257697</v>
      </c>
      <c r="S18" s="982">
        <f t="shared" ca="1" si="1"/>
        <v>-1.60481444332999E-2</v>
      </c>
      <c r="T18" s="982">
        <f t="shared" ca="1" si="1"/>
        <v>-5.9938837920489298E-2</v>
      </c>
      <c r="U18" s="982">
        <f t="shared" ca="1" si="1"/>
        <v>0.19193233571893298</v>
      </c>
      <c r="V18" s="982">
        <f t="shared" ca="1" si="1"/>
        <v>-7.8056768558951967E-2</v>
      </c>
      <c r="W18" s="982">
        <f t="shared" ca="1" si="1"/>
        <v>0.19735543714229328</v>
      </c>
      <c r="X18" s="982">
        <f t="shared" ca="1" si="1"/>
        <v>5.8018790176363938E-2</v>
      </c>
    </row>
    <row r="19" spans="2:24">
      <c r="B19" s="37">
        <f ca="1">MATCH(B6,ChartData,0)</f>
        <v>2</v>
      </c>
      <c r="C19" s="36">
        <f t="shared" ref="C19:L19" ca="1" si="2">B19</f>
        <v>2</v>
      </c>
      <c r="D19" s="36">
        <f t="shared" ca="1" si="2"/>
        <v>2</v>
      </c>
      <c r="E19" s="36">
        <f t="shared" ca="1" si="2"/>
        <v>2</v>
      </c>
      <c r="F19" s="36">
        <f t="shared" ca="1" si="2"/>
        <v>2</v>
      </c>
      <c r="G19" s="36">
        <f t="shared" ca="1" si="2"/>
        <v>2</v>
      </c>
      <c r="H19" s="36">
        <f t="shared" ca="1" si="2"/>
        <v>2</v>
      </c>
      <c r="I19" s="36">
        <f t="shared" ca="1" si="2"/>
        <v>2</v>
      </c>
      <c r="J19" s="36">
        <f t="shared" ca="1" si="2"/>
        <v>2</v>
      </c>
      <c r="K19" s="36">
        <f t="shared" ca="1" si="2"/>
        <v>2</v>
      </c>
      <c r="L19" s="36">
        <f t="shared" ca="1" si="2"/>
        <v>2</v>
      </c>
      <c r="N19" s="37">
        <f ca="1">MATCH(N6,ChartData,0)</f>
        <v>3</v>
      </c>
      <c r="O19" s="36">
        <f t="shared" ref="O19:X19" ca="1" si="3">N19</f>
        <v>3</v>
      </c>
      <c r="P19" s="36">
        <f t="shared" ca="1" si="3"/>
        <v>3</v>
      </c>
      <c r="Q19" s="36">
        <f t="shared" ca="1" si="3"/>
        <v>3</v>
      </c>
      <c r="R19" s="36">
        <f t="shared" ca="1" si="3"/>
        <v>3</v>
      </c>
      <c r="S19" s="36">
        <f t="shared" ca="1" si="3"/>
        <v>3</v>
      </c>
      <c r="T19" s="36">
        <f t="shared" ca="1" si="3"/>
        <v>3</v>
      </c>
      <c r="U19" s="36">
        <f t="shared" ca="1" si="3"/>
        <v>3</v>
      </c>
      <c r="V19" s="36">
        <f t="shared" ca="1" si="3"/>
        <v>3</v>
      </c>
      <c r="W19" s="36">
        <f t="shared" ca="1" si="3"/>
        <v>3</v>
      </c>
      <c r="X19" s="36">
        <f t="shared" ca="1" si="3"/>
        <v>3</v>
      </c>
    </row>
    <row r="21" spans="2:24" ht="15">
      <c r="B21" s="1126" t="s">
        <v>112</v>
      </c>
      <c r="C21" s="1126"/>
      <c r="D21" s="1126"/>
      <c r="E21" s="1126"/>
      <c r="F21" s="1126"/>
      <c r="G21" s="1126"/>
      <c r="H21" s="1126"/>
      <c r="I21" s="1126"/>
      <c r="J21" s="1126"/>
      <c r="K21" s="1126"/>
      <c r="L21" s="1126"/>
      <c r="M21" s="131"/>
      <c r="N21" s="1126" t="s">
        <v>539</v>
      </c>
      <c r="O21" s="1126"/>
      <c r="P21" s="1126"/>
      <c r="Q21" s="1126"/>
      <c r="R21" s="1126"/>
      <c r="S21" s="1126"/>
      <c r="T21" s="1126"/>
      <c r="U21" s="1126"/>
      <c r="V21" s="1126"/>
      <c r="W21" s="1126"/>
      <c r="X21" s="1126"/>
    </row>
    <row r="31" spans="2:24">
      <c r="B31" s="983">
        <f ca="1">ChartsData!$D$2</f>
        <v>2000</v>
      </c>
      <c r="C31" s="983">
        <f ca="1">ChartsData!$E$2</f>
        <v>2001</v>
      </c>
      <c r="D31" s="983">
        <f ca="1">ChartsData!$F$2</f>
        <v>2002</v>
      </c>
      <c r="E31" s="983">
        <f ca="1">ChartsData!$G$2</f>
        <v>2003</v>
      </c>
      <c r="F31" s="983">
        <f ca="1">ChartsData!$H$2</f>
        <v>2004</v>
      </c>
      <c r="G31" s="983">
        <f ca="1">ChartsData!$I$2</f>
        <v>2005</v>
      </c>
      <c r="H31" s="983">
        <f ca="1">ChartsData!$J$2</f>
        <v>2006</v>
      </c>
      <c r="I31" s="983">
        <f ca="1">ChartsData!$K$2</f>
        <v>2007</v>
      </c>
      <c r="J31" s="983">
        <f ca="1">ChartsData!$L$2</f>
        <v>2008</v>
      </c>
      <c r="K31" s="983">
        <f ca="1">ChartsData!$M$2</f>
        <v>2009</v>
      </c>
      <c r="L31" s="983" t="str">
        <f ca="1">ChartsData!$N$2</f>
        <v>TTM</v>
      </c>
      <c r="N31" s="983">
        <f ca="1">ChartsData!$D$2</f>
        <v>2000</v>
      </c>
      <c r="O31" s="983">
        <f ca="1">ChartsData!$E$2</f>
        <v>2001</v>
      </c>
      <c r="P31" s="983">
        <f ca="1">ChartsData!$F$2</f>
        <v>2002</v>
      </c>
      <c r="Q31" s="983">
        <f ca="1">ChartsData!$G$2</f>
        <v>2003</v>
      </c>
      <c r="R31" s="983">
        <f ca="1">ChartsData!$H$2</f>
        <v>2004</v>
      </c>
      <c r="S31" s="983">
        <f ca="1">ChartsData!$I$2</f>
        <v>2005</v>
      </c>
      <c r="T31" s="983">
        <f ca="1">ChartsData!$J$2</f>
        <v>2006</v>
      </c>
      <c r="U31" s="983">
        <f ca="1">ChartsData!$K$2</f>
        <v>2007</v>
      </c>
      <c r="V31" s="983">
        <f ca="1">ChartsData!$L$2</f>
        <v>2008</v>
      </c>
      <c r="W31" s="983">
        <f ca="1">ChartsData!$M$2</f>
        <v>2009</v>
      </c>
      <c r="X31" s="983" t="str">
        <f ca="1">ChartsData!$N$2</f>
        <v>TTM</v>
      </c>
    </row>
    <row r="32" spans="2:24">
      <c r="B32" s="981">
        <f ca="1">OFFSET(ChartsData!$B$2,B34,COLUMNS(ChartsData!$D:$D)+1)</f>
        <v>45.95</v>
      </c>
      <c r="C32" s="981">
        <f ca="1">OFFSET(ChartsData!$B$2,C34,COLUMNS(ChartsData!$D:$E)+1)</f>
        <v>35.409999999999997</v>
      </c>
      <c r="D32" s="981">
        <f ca="1">OFFSET(ChartsData!$B$2,D34,COLUMNS(ChartsData!$D:$F)+1)</f>
        <v>33.380000000000003</v>
      </c>
      <c r="E32" s="981">
        <f ca="1">OFFSET(ChartsData!$B$2,E34,COLUMNS(ChartsData!$D:$G)+1)</f>
        <v>43.24</v>
      </c>
      <c r="F32" s="981">
        <f ca="1">OFFSET(ChartsData!$B$2,F34,COLUMNS(ChartsData!$D:$H)+1)</f>
        <v>36.69</v>
      </c>
      <c r="G32" s="981">
        <f ca="1">OFFSET(ChartsData!$B$2,G34,COLUMNS(ChartsData!$D:$I)+1)</f>
        <v>35.93</v>
      </c>
      <c r="H32" s="981">
        <f ca="1">OFFSET(ChartsData!$B$2,H34,COLUMNS(ChartsData!$D:$J)+1)</f>
        <v>43.12</v>
      </c>
      <c r="I32" s="981">
        <f ca="1">OFFSET(ChartsData!$B$2,I34,COLUMNS(ChartsData!$D:$K)+1)</f>
        <v>54.08</v>
      </c>
      <c r="J32" s="981">
        <f ca="1">OFFSET(ChartsData!$B$2,J34,COLUMNS(ChartsData!$D:$L)+1)</f>
        <v>41.68</v>
      </c>
      <c r="K32" s="981">
        <f ca="1">OFFSET(ChartsData!$B$2,K34,COLUMNS(ChartsData!$D:$M)+1)</f>
        <v>53.09</v>
      </c>
      <c r="L32" s="981">
        <f ca="1">OFFSET(ChartsData!$B$2,L34,COLUMNS(ChartsData!$D:$N)+1)</f>
        <v>52.4</v>
      </c>
      <c r="N32" s="992">
        <f ca="1">OFFSET(ChartsData!$B$2,N34,COLUMNS(ChartsData!$D:$D)+1)</f>
        <v>0.88</v>
      </c>
      <c r="O32" s="992">
        <f ca="1">OFFSET(ChartsData!$B$2,O34,COLUMNS(ChartsData!$D:$E)+1)</f>
        <v>1.6</v>
      </c>
      <c r="P32" s="992">
        <f ca="1">OFFSET(ChartsData!$B$2,P34,COLUMNS(ChartsData!$D:$F)+1)</f>
        <v>1.23</v>
      </c>
      <c r="Q32" s="992">
        <f ca="1">OFFSET(ChartsData!$B$2,Q34,COLUMNS(ChartsData!$D:$G)+1)</f>
        <v>1.77</v>
      </c>
      <c r="R32" s="992">
        <f ca="1">OFFSET(ChartsData!$B$2,R34,COLUMNS(ChartsData!$D:$H)+1)</f>
        <v>2</v>
      </c>
      <c r="S32" s="992">
        <f ca="1">OFFSET(ChartsData!$B$2,S34,COLUMNS(ChartsData!$D:$I)+1)</f>
        <v>2.04</v>
      </c>
      <c r="T32" s="992">
        <f ca="1">OFFSET(ChartsData!$B$2,T34,COLUMNS(ChartsData!$D:$J)+1)</f>
        <v>2.16</v>
      </c>
      <c r="U32" s="992">
        <f ca="1">OFFSET(ChartsData!$B$2,U34,COLUMNS(ChartsData!$D:$K)+1)</f>
        <v>2.57</v>
      </c>
      <c r="V32" s="992">
        <f ca="1">OFFSET(ChartsData!$B$2,V34,COLUMNS(ChartsData!$D:$L)+1)</f>
        <v>2.4900000000000002</v>
      </c>
      <c r="W32" s="992">
        <f ca="1">OFFSET(ChartsData!$B$2,W34,COLUMNS(ChartsData!$D:$M)+1)</f>
        <v>2.93</v>
      </c>
      <c r="X32" s="992">
        <f ca="1">OFFSET(ChartsData!$B$2,X34,COLUMNS(ChartsData!$D:$N)+1)</f>
        <v>0.88</v>
      </c>
    </row>
    <row r="33" spans="2:24">
      <c r="B33" s="994" t="s">
        <v>126</v>
      </c>
      <c r="C33" s="672">
        <f ca="1">(C32-B32)/ABS(B32)</f>
        <v>-0.22937976060935811</v>
      </c>
      <c r="D33" s="672">
        <f t="shared" ref="D33:L33" ca="1" si="4">(D32-C32)/ABS(C32)</f>
        <v>-5.7328438294266995E-2</v>
      </c>
      <c r="E33" s="672">
        <f t="shared" ca="1" si="4"/>
        <v>0.29538645895745952</v>
      </c>
      <c r="F33" s="672">
        <f t="shared" ca="1" si="4"/>
        <v>-0.15148011100832573</v>
      </c>
      <c r="G33" s="672">
        <f t="shared" ca="1" si="4"/>
        <v>-2.071409103297896E-2</v>
      </c>
      <c r="H33" s="672">
        <f t="shared" ca="1" si="4"/>
        <v>0.20011132758140823</v>
      </c>
      <c r="I33" s="672">
        <f t="shared" ca="1" si="4"/>
        <v>0.25417439703153993</v>
      </c>
      <c r="J33" s="672">
        <f t="shared" ca="1" si="4"/>
        <v>-0.22928994082840234</v>
      </c>
      <c r="K33" s="672">
        <f t="shared" ca="1" si="4"/>
        <v>0.27375239923224576</v>
      </c>
      <c r="L33" s="672">
        <f t="shared" ca="1" si="4"/>
        <v>-1.2996797890374926E-2</v>
      </c>
      <c r="N33" s="994" t="s">
        <v>126</v>
      </c>
      <c r="O33" s="672">
        <f ca="1">(O32-N32)/ABS(N32)</f>
        <v>0.81818181818181823</v>
      </c>
      <c r="P33" s="672">
        <f t="shared" ref="P33:X33" ca="1" si="5">(P32-O32)/ABS(O32)</f>
        <v>-0.23125000000000007</v>
      </c>
      <c r="Q33" s="672">
        <f t="shared" ca="1" si="5"/>
        <v>0.4390243902439025</v>
      </c>
      <c r="R33" s="672">
        <f t="shared" ca="1" si="5"/>
        <v>0.12994350282485875</v>
      </c>
      <c r="S33" s="672">
        <f t="shared" ca="1" si="5"/>
        <v>2.0000000000000018E-2</v>
      </c>
      <c r="T33" s="672">
        <f t="shared" ca="1" si="5"/>
        <v>5.8823529411764754E-2</v>
      </c>
      <c r="U33" s="672">
        <f t="shared" ca="1" si="5"/>
        <v>0.18981481481481466</v>
      </c>
      <c r="V33" s="672">
        <f t="shared" ca="1" si="5"/>
        <v>-3.1128404669260559E-2</v>
      </c>
      <c r="W33" s="672">
        <f t="shared" ca="1" si="5"/>
        <v>0.17670682730923692</v>
      </c>
      <c r="X33" s="672">
        <f t="shared" ca="1" si="5"/>
        <v>-0.69965870307167244</v>
      </c>
    </row>
    <row r="34" spans="2:24">
      <c r="B34" s="37">
        <f ca="1">MATCH(B21,ChartData,0)</f>
        <v>6</v>
      </c>
      <c r="C34" s="36">
        <f t="shared" ref="C34:L34" ca="1" si="6">B34</f>
        <v>6</v>
      </c>
      <c r="D34" s="36">
        <f t="shared" ca="1" si="6"/>
        <v>6</v>
      </c>
      <c r="E34" s="36">
        <f t="shared" ca="1" si="6"/>
        <v>6</v>
      </c>
      <c r="F34" s="36">
        <f t="shared" ca="1" si="6"/>
        <v>6</v>
      </c>
      <c r="G34" s="36">
        <f t="shared" ca="1" si="6"/>
        <v>6</v>
      </c>
      <c r="H34" s="36">
        <f t="shared" ca="1" si="6"/>
        <v>6</v>
      </c>
      <c r="I34" s="36">
        <f t="shared" ca="1" si="6"/>
        <v>6</v>
      </c>
      <c r="J34" s="36">
        <f t="shared" ca="1" si="6"/>
        <v>6</v>
      </c>
      <c r="K34" s="36">
        <f t="shared" ca="1" si="6"/>
        <v>6</v>
      </c>
      <c r="L34" s="36">
        <f t="shared" ca="1" si="6"/>
        <v>6</v>
      </c>
      <c r="N34" s="37">
        <f ca="1">MATCH(N21,ChartData,0)</f>
        <v>9</v>
      </c>
      <c r="O34" s="36">
        <f t="shared" ref="O34:X34" ca="1" si="7">N34</f>
        <v>9</v>
      </c>
      <c r="P34" s="36">
        <f t="shared" ca="1" si="7"/>
        <v>9</v>
      </c>
      <c r="Q34" s="36">
        <f t="shared" ca="1" si="7"/>
        <v>9</v>
      </c>
      <c r="R34" s="36">
        <f t="shared" ca="1" si="7"/>
        <v>9</v>
      </c>
      <c r="S34" s="36">
        <f t="shared" ca="1" si="7"/>
        <v>9</v>
      </c>
      <c r="T34" s="36">
        <f t="shared" ca="1" si="7"/>
        <v>9</v>
      </c>
      <c r="U34" s="36">
        <f t="shared" ca="1" si="7"/>
        <v>9</v>
      </c>
      <c r="V34" s="36">
        <f t="shared" ca="1" si="7"/>
        <v>9</v>
      </c>
      <c r="W34" s="36">
        <f t="shared" ca="1" si="7"/>
        <v>9</v>
      </c>
      <c r="X34" s="36">
        <f t="shared" ca="1" si="7"/>
        <v>9</v>
      </c>
    </row>
    <row r="36" spans="2:24" ht="15">
      <c r="B36" s="1126" t="s">
        <v>842</v>
      </c>
      <c r="C36" s="1126"/>
      <c r="D36" s="1126"/>
      <c r="E36" s="1126"/>
      <c r="F36" s="1126"/>
      <c r="G36" s="1126"/>
      <c r="H36" s="1126"/>
      <c r="I36" s="1126"/>
      <c r="J36" s="1126"/>
      <c r="K36" s="1126"/>
      <c r="L36" s="1126"/>
      <c r="N36" s="1126" t="s">
        <v>843</v>
      </c>
      <c r="O36" s="1126"/>
      <c r="P36" s="1126"/>
      <c r="Q36" s="1126"/>
      <c r="R36" s="1126"/>
      <c r="S36" s="1126"/>
      <c r="T36" s="1126"/>
      <c r="U36" s="1126"/>
      <c r="V36" s="1126"/>
      <c r="W36" s="1126"/>
      <c r="X36" s="1126"/>
    </row>
    <row r="46" spans="2:24">
      <c r="B46" s="983">
        <f ca="1">ChartsData!$D$2</f>
        <v>2000</v>
      </c>
      <c r="C46" s="983">
        <f ca="1">ChartsData!$E$2</f>
        <v>2001</v>
      </c>
      <c r="D46" s="983">
        <f ca="1">ChartsData!$F$2</f>
        <v>2002</v>
      </c>
      <c r="E46" s="983">
        <f ca="1">ChartsData!$G$2</f>
        <v>2003</v>
      </c>
      <c r="F46" s="983">
        <f ca="1">ChartsData!$H$2</f>
        <v>2004</v>
      </c>
      <c r="G46" s="983">
        <f ca="1">ChartsData!$I$2</f>
        <v>2005</v>
      </c>
      <c r="H46" s="983">
        <f ca="1">ChartsData!$J$2</f>
        <v>2006</v>
      </c>
      <c r="I46" s="983">
        <f ca="1">ChartsData!$K$2</f>
        <v>2007</v>
      </c>
      <c r="J46" s="983">
        <f ca="1">ChartsData!$L$2</f>
        <v>2008</v>
      </c>
      <c r="K46" s="983">
        <f ca="1">ChartsData!$M$2</f>
        <v>2009</v>
      </c>
      <c r="L46" s="983" t="str">
        <f ca="1">ChartsData!$N$2</f>
        <v>TTM</v>
      </c>
      <c r="N46" s="983">
        <f ca="1">ChartsData!$D$2</f>
        <v>2000</v>
      </c>
      <c r="O46" s="983">
        <f ca="1">ChartsData!$E$2</f>
        <v>2001</v>
      </c>
      <c r="P46" s="983">
        <f ca="1">ChartsData!$F$2</f>
        <v>2002</v>
      </c>
      <c r="Q46" s="983">
        <f ca="1">ChartsData!$G$2</f>
        <v>2003</v>
      </c>
      <c r="R46" s="983">
        <f ca="1">ChartsData!$H$2</f>
        <v>2004</v>
      </c>
      <c r="S46" s="983">
        <f ca="1">ChartsData!$I$2</f>
        <v>2005</v>
      </c>
      <c r="T46" s="983">
        <f ca="1">ChartsData!$J$2</f>
        <v>2006</v>
      </c>
      <c r="U46" s="983">
        <f ca="1">ChartsData!$K$2</f>
        <v>2007</v>
      </c>
      <c r="V46" s="983">
        <f ca="1">ChartsData!$L$2</f>
        <v>2008</v>
      </c>
      <c r="W46" s="983">
        <f ca="1">ChartsData!$M$2</f>
        <v>2009</v>
      </c>
      <c r="X46" s="983" t="str">
        <f ca="1">ChartsData!$N$2</f>
        <v>TTM</v>
      </c>
    </row>
    <row r="47" spans="2:24">
      <c r="B47" s="671">
        <f ca="1">OFFSET(ChartsData!$B$2,B49,COLUMNS(ChartsData!$D:$D)+1)</f>
        <v>0.10836836445400333</v>
      </c>
      <c r="C47" s="671">
        <f ca="1">OFFSET(ChartsData!$B$2,C49,COLUMNS(ChartsData!$D:$E)+1)</f>
        <v>0.19923352578140555</v>
      </c>
      <c r="D47" s="671">
        <f ca="1">OFFSET(ChartsData!$B$2,D49,COLUMNS(ChartsData!$D:$F)+1)</f>
        <v>0.15359844612553669</v>
      </c>
      <c r="E47" s="671">
        <f ca="1">OFFSET(ChartsData!$B$2,E49,COLUMNS(ChartsData!$D:$G)+1)</f>
        <v>0.20837293290249001</v>
      </c>
      <c r="F47" s="671">
        <f ca="1">OFFSET(ChartsData!$B$2,F49,COLUMNS(ChartsData!$D:$H)+1)</f>
        <v>0.22698297058555686</v>
      </c>
      <c r="G47" s="671">
        <f ca="1">OFFSET(ChartsData!$B$2,G49,COLUMNS(ChartsData!$D:$I)+1)</f>
        <v>0.21230090027700832</v>
      </c>
      <c r="H47" s="671">
        <f ca="1">OFFSET(ChartsData!$B$2,H49,COLUMNS(ChartsData!$D:$J)+1)</f>
        <v>0.19142311524410494</v>
      </c>
      <c r="I47" s="671">
        <f ca="1">OFFSET(ChartsData!$B$2,I49,COLUMNS(ChartsData!$D:$K)+1)</f>
        <v>0.19045638839796236</v>
      </c>
      <c r="J47" s="671">
        <f ca="1">OFFSET(ChartsData!$B$2,J49,COLUMNS(ChartsData!$D:$L)+1)</f>
        <v>0.15862133734034561</v>
      </c>
      <c r="K47" s="671">
        <f ca="1">OFFSET(ChartsData!$B$2,K49,COLUMNS(ChartsData!$D:$M)+1)</f>
        <v>0.19577282994514358</v>
      </c>
      <c r="L47" s="671">
        <f ca="1">OFFSET(ChartsData!$B$2,L49,COLUMNS(ChartsData!$D:$N)+1)</f>
        <v>0.20477891916033944</v>
      </c>
      <c r="N47" s="673">
        <f ca="1">OFFSET(ChartsData!$B$2,N49,COLUMNS(ChartsData!$D:$D)+1)</f>
        <v>40.033856942496499</v>
      </c>
      <c r="O47" s="673">
        <f ca="1">OFFSET(ChartsData!$B$2,O49,COLUMNS(ChartsData!$D:$E)+1)</f>
        <v>26.350296917090688</v>
      </c>
      <c r="P47" s="673">
        <f ca="1">OFFSET(ChartsData!$B$2,P49,COLUMNS(ChartsData!$D:$F)+1)</f>
        <v>21.198144435877669</v>
      </c>
      <c r="Q47" s="673">
        <f ca="1">OFFSET(ChartsData!$B$2,Q49,COLUMNS(ChartsData!$D:$G)+1)</f>
        <v>22.732657192075798</v>
      </c>
      <c r="R47" s="673">
        <f ca="1">OFFSET(ChartsData!$B$2,R49,COLUMNS(ChartsData!$D:$H)+1)</f>
        <v>16.957072127373873</v>
      </c>
      <c r="S47" s="673">
        <f ca="1">OFFSET(ChartsData!$B$2,S49,COLUMNS(ChartsData!$D:$I)+1)</f>
        <v>15.408792541636496</v>
      </c>
      <c r="T47" s="673">
        <f ca="1">OFFSET(ChartsData!$B$2,T49,COLUMNS(ChartsData!$D:$J)+1)</f>
        <v>21.967507692307692</v>
      </c>
      <c r="U47" s="673">
        <f ca="1">OFFSET(ChartsData!$B$2,U49,COLUMNS(ChartsData!$D:$K)+1)</f>
        <v>22.783976735732463</v>
      </c>
      <c r="V47" s="673">
        <f ca="1">OFFSET(ChartsData!$B$2,V49,COLUMNS(ChartsData!$D:$L)+1)</f>
        <v>17.218757094413707</v>
      </c>
      <c r="W47" s="673">
        <f ca="1">OFFSET(ChartsData!$B$2,W49,COLUMNS(ChartsData!$D:$M)+1)</f>
        <v>19.742656224769902</v>
      </c>
      <c r="X47" s="673">
        <f ca="1">OFFSET(ChartsData!$B$2,X49,COLUMNS(ChartsData!$D:$N)+1)</f>
        <v>17.981309523809522</v>
      </c>
    </row>
    <row r="48" spans="2:24">
      <c r="B48" s="993" t="s">
        <v>126</v>
      </c>
      <c r="C48" s="672">
        <f ca="1">(C47-B47)/ABS(B47)</f>
        <v>0.83848419956517561</v>
      </c>
      <c r="D48" s="672">
        <f t="shared" ref="D48:L48" ca="1" si="8">(D47-C47)/ABS(C47)</f>
        <v>-0.22905321520002922</v>
      </c>
      <c r="E48" s="672">
        <f t="shared" ca="1" si="8"/>
        <v>0.35660833920276697</v>
      </c>
      <c r="F48" s="672">
        <f t="shared" ca="1" si="8"/>
        <v>8.9311204789614324E-2</v>
      </c>
      <c r="G48" s="672">
        <f t="shared" ca="1" si="8"/>
        <v>-6.4683576352325578E-2</v>
      </c>
      <c r="H48" s="672">
        <f t="shared" ca="1" si="8"/>
        <v>-9.834053932725785E-2</v>
      </c>
      <c r="I48" s="672">
        <f t="shared" ca="1" si="8"/>
        <v>-5.050209557554179E-3</v>
      </c>
      <c r="J48" s="672">
        <f t="shared" ca="1" si="8"/>
        <v>-0.16715139526376391</v>
      </c>
      <c r="K48" s="672">
        <f t="shared" ca="1" si="8"/>
        <v>0.23421497528471805</v>
      </c>
      <c r="L48" s="672">
        <f t="shared" ca="1" si="8"/>
        <v>4.6002753383701925E-2</v>
      </c>
      <c r="N48" s="993" t="s">
        <v>126</v>
      </c>
      <c r="O48" s="672">
        <f ca="1">(O47-N47)/ABS(N47)</f>
        <v>-0.34179969332109295</v>
      </c>
      <c r="P48" s="672">
        <f t="shared" ref="P48:X48" ca="1" si="9">(P47-O47)/ABS(O47)</f>
        <v>-0.19552540517565686</v>
      </c>
      <c r="Q48" s="672">
        <f t="shared" ca="1" si="9"/>
        <v>7.2389013144045777E-2</v>
      </c>
      <c r="R48" s="672">
        <f t="shared" ca="1" si="9"/>
        <v>-0.2540655505382447</v>
      </c>
      <c r="S48" s="672">
        <f t="shared" ca="1" si="9"/>
        <v>-9.1305832404757148E-2</v>
      </c>
      <c r="T48" s="672">
        <f t="shared" ca="1" si="9"/>
        <v>0.42564757315985158</v>
      </c>
      <c r="U48" s="672">
        <f t="shared" ca="1" si="9"/>
        <v>3.716712222710053E-2</v>
      </c>
      <c r="V48" s="672">
        <f t="shared" ca="1" si="9"/>
        <v>-0.24426024068883179</v>
      </c>
      <c r="W48" s="672">
        <f t="shared" ca="1" si="9"/>
        <v>0.14657847349359646</v>
      </c>
      <c r="X48" s="672">
        <f t="shared" ca="1" si="9"/>
        <v>-8.9215284960010952E-2</v>
      </c>
    </row>
    <row r="49" spans="2:24">
      <c r="B49" s="37">
        <f ca="1">MATCH(B36,ChartData,0)</f>
        <v>11</v>
      </c>
      <c r="C49" s="36">
        <f t="shared" ref="C49:L49" ca="1" si="10">B49</f>
        <v>11</v>
      </c>
      <c r="D49" s="36">
        <f t="shared" ca="1" si="10"/>
        <v>11</v>
      </c>
      <c r="E49" s="36">
        <f t="shared" ca="1" si="10"/>
        <v>11</v>
      </c>
      <c r="F49" s="36">
        <f t="shared" ca="1" si="10"/>
        <v>11</v>
      </c>
      <c r="G49" s="36">
        <f t="shared" ca="1" si="10"/>
        <v>11</v>
      </c>
      <c r="H49" s="36">
        <f t="shared" ca="1" si="10"/>
        <v>11</v>
      </c>
      <c r="I49" s="36">
        <f t="shared" ca="1" si="10"/>
        <v>11</v>
      </c>
      <c r="J49" s="36">
        <f t="shared" ca="1" si="10"/>
        <v>11</v>
      </c>
      <c r="K49" s="36">
        <f t="shared" ca="1" si="10"/>
        <v>11</v>
      </c>
      <c r="L49" s="36">
        <f t="shared" ca="1" si="10"/>
        <v>11</v>
      </c>
      <c r="N49" s="37">
        <f ca="1">MATCH(N36,ChartData,0)</f>
        <v>12</v>
      </c>
      <c r="O49" s="36">
        <f t="shared" ref="O49:X49" ca="1" si="11">N49</f>
        <v>12</v>
      </c>
      <c r="P49" s="36">
        <f t="shared" ca="1" si="11"/>
        <v>12</v>
      </c>
      <c r="Q49" s="36">
        <f t="shared" ca="1" si="11"/>
        <v>12</v>
      </c>
      <c r="R49" s="36">
        <f t="shared" ca="1" si="11"/>
        <v>12</v>
      </c>
      <c r="S49" s="36">
        <f t="shared" ca="1" si="11"/>
        <v>12</v>
      </c>
      <c r="T49" s="36">
        <f t="shared" ca="1" si="11"/>
        <v>12</v>
      </c>
      <c r="U49" s="36">
        <f t="shared" ca="1" si="11"/>
        <v>12</v>
      </c>
      <c r="V49" s="36">
        <f t="shared" ca="1" si="11"/>
        <v>12</v>
      </c>
      <c r="W49" s="36">
        <f t="shared" ca="1" si="11"/>
        <v>12</v>
      </c>
      <c r="X49" s="36">
        <f t="shared" ca="1" si="11"/>
        <v>12</v>
      </c>
    </row>
    <row r="51" spans="2:24" ht="15">
      <c r="B51" s="1126" t="s">
        <v>848</v>
      </c>
      <c r="C51" s="1126"/>
      <c r="D51" s="1126"/>
      <c r="E51" s="1126"/>
      <c r="F51" s="1126"/>
      <c r="G51" s="1126"/>
      <c r="H51" s="1126"/>
      <c r="I51" s="1126"/>
      <c r="J51" s="1126"/>
      <c r="K51" s="1126"/>
      <c r="L51" s="1126"/>
      <c r="N51" s="1126" t="s">
        <v>844</v>
      </c>
      <c r="O51" s="1126"/>
      <c r="P51" s="1126"/>
      <c r="Q51" s="1126"/>
      <c r="R51" s="1126"/>
      <c r="S51" s="1126"/>
      <c r="T51" s="1126"/>
      <c r="U51" s="1126"/>
      <c r="V51" s="1126"/>
      <c r="W51" s="1126"/>
      <c r="X51" s="1126"/>
    </row>
    <row r="61" spans="2:24">
      <c r="B61" s="983">
        <f ca="1">ChartsData!$D$2</f>
        <v>2000</v>
      </c>
      <c r="C61" s="983">
        <f ca="1">ChartsData!$E$2</f>
        <v>2001</v>
      </c>
      <c r="D61" s="983">
        <f ca="1">ChartsData!$F$2</f>
        <v>2002</v>
      </c>
      <c r="E61" s="983">
        <f ca="1">ChartsData!$G$2</f>
        <v>2003</v>
      </c>
      <c r="F61" s="983">
        <f ca="1">ChartsData!$H$2</f>
        <v>2004</v>
      </c>
      <c r="G61" s="983">
        <f ca="1">ChartsData!$I$2</f>
        <v>2005</v>
      </c>
      <c r="H61" s="983">
        <f ca="1">ChartsData!$J$2</f>
        <v>2006</v>
      </c>
      <c r="I61" s="983">
        <f ca="1">ChartsData!$K$2</f>
        <v>2007</v>
      </c>
      <c r="J61" s="983">
        <f ca="1">ChartsData!$L$2</f>
        <v>2008</v>
      </c>
      <c r="K61" s="983">
        <f ca="1">ChartsData!$M$2</f>
        <v>2009</v>
      </c>
      <c r="L61" s="983" t="str">
        <f ca="1">ChartsData!$N$2</f>
        <v>TTM</v>
      </c>
      <c r="N61" s="983">
        <f ca="1">ChartsData!$D$2</f>
        <v>2000</v>
      </c>
      <c r="O61" s="983">
        <f ca="1">ChartsData!$E$2</f>
        <v>2001</v>
      </c>
      <c r="P61" s="983">
        <f ca="1">ChartsData!$F$2</f>
        <v>2002</v>
      </c>
      <c r="Q61" s="983">
        <f ca="1">ChartsData!$G$2</f>
        <v>2003</v>
      </c>
      <c r="R61" s="983">
        <f ca="1">ChartsData!$H$2</f>
        <v>2004</v>
      </c>
      <c r="S61" s="983">
        <f ca="1">ChartsData!$I$2</f>
        <v>2005</v>
      </c>
      <c r="T61" s="983">
        <f ca="1">ChartsData!$J$2</f>
        <v>2006</v>
      </c>
      <c r="U61" s="983">
        <f ca="1">ChartsData!$K$2</f>
        <v>2007</v>
      </c>
      <c r="V61" s="983">
        <f ca="1">ChartsData!$L$2</f>
        <v>2008</v>
      </c>
      <c r="W61" s="983">
        <f ca="1">ChartsData!$M$2</f>
        <v>2009</v>
      </c>
      <c r="X61" s="983" t="str">
        <f ca="1">ChartsData!$N$2</f>
        <v>TTM</v>
      </c>
    </row>
    <row r="62" spans="2:24">
      <c r="B62" s="671">
        <f ca="1">OFFSET(ChartsData!$B$2,B64,COLUMNS(ChartsData!$D:$D)+1)</f>
        <v>0.23103376406836182</v>
      </c>
      <c r="C62" s="671">
        <f ca="1">OFFSET(ChartsData!$B$2,C64,COLUMNS(ChartsData!$D:$E)+1)</f>
        <v>0.35086335349285652</v>
      </c>
      <c r="D62" s="671">
        <f ca="1">OFFSET(ChartsData!$B$2,D64,COLUMNS(ChartsData!$D:$F)+1)</f>
        <v>0.22084221356654662</v>
      </c>
      <c r="E62" s="671">
        <f ca="1">OFFSET(ChartsData!$B$2,E64,COLUMNS(ChartsData!$D:$G)+1)</f>
        <v>0.2835068209736859</v>
      </c>
      <c r="F62" s="671">
        <f ca="1">OFFSET(ChartsData!$B$2,F64,COLUMNS(ChartsData!$D:$H)+1)</f>
        <v>0.30175544794188863</v>
      </c>
      <c r="G62" s="671">
        <f ca="1">OFFSET(ChartsData!$B$2,G64,COLUMNS(ChartsData!$D:$I)+1)</f>
        <v>0.31103360811667724</v>
      </c>
      <c r="H62" s="671">
        <f ca="1">OFFSET(ChartsData!$B$2,H64,COLUMNS(ChartsData!$D:$J)+1)</f>
        <v>0.28930857071150706</v>
      </c>
      <c r="I62" s="671">
        <f ca="1">OFFSET(ChartsData!$B$2,I64,COLUMNS(ChartsData!$D:$K)+1)</f>
        <v>0.30833099579242634</v>
      </c>
      <c r="J62" s="671">
        <f ca="1">OFFSET(ChartsData!$B$2,J64,COLUMNS(ChartsData!$D:$L)+1)</f>
        <v>0.33721549314521498</v>
      </c>
      <c r="K62" s="671">
        <f ca="1">OFFSET(ChartsData!$B$2,K64,COLUMNS(ChartsData!$D:$M)+1)</f>
        <v>0.2742518759605822</v>
      </c>
      <c r="L62" s="671">
        <f ca="1">OFFSET(ChartsData!$B$2,L64,COLUMNS(ChartsData!$D:$N)+1)</f>
        <v>0.29848872355266215</v>
      </c>
      <c r="N62" s="671">
        <f ca="1">OFFSET(ChartsData!$B$2,N64,COLUMNS(ChartsData!$D:$D)+1)</f>
        <v>2.4978857306613544E-2</v>
      </c>
      <c r="O62" s="671">
        <f ca="1">OFFSET(ChartsData!$B$2,O64,COLUMNS(ChartsData!$D:$E)+1)</f>
        <v>3.7950236505737603E-2</v>
      </c>
      <c r="P62" s="671">
        <f ca="1">OFFSET(ChartsData!$B$2,P64,COLUMNS(ChartsData!$D:$F)+1)</f>
        <v>4.7173940295807633E-2</v>
      </c>
      <c r="Q62" s="671">
        <f ca="1">OFFSET(ChartsData!$B$2,Q64,COLUMNS(ChartsData!$D:$G)+1)</f>
        <v>4.3989578145250098E-2</v>
      </c>
      <c r="R62" s="671">
        <f ca="1">OFFSET(ChartsData!$B$2,R64,COLUMNS(ChartsData!$D:$H)+1)</f>
        <v>5.8972444799930746E-2</v>
      </c>
      <c r="S62" s="671">
        <f ca="1">OFFSET(ChartsData!$B$2,S64,COLUMNS(ChartsData!$D:$I)+1)</f>
        <v>6.4898011787612453E-2</v>
      </c>
      <c r="T62" s="671">
        <f ca="1">OFFSET(ChartsData!$B$2,T64,COLUMNS(ChartsData!$D:$J)+1)</f>
        <v>4.5521777618412654E-2</v>
      </c>
      <c r="U62" s="671">
        <f ca="1">OFFSET(ChartsData!$B$2,U64,COLUMNS(ChartsData!$D:$K)+1)</f>
        <v>4.3890494253871169E-2</v>
      </c>
      <c r="V62" s="671">
        <f ca="1">OFFSET(ChartsData!$B$2,V64,COLUMNS(ChartsData!$D:$L)+1)</f>
        <v>5.8076201117003429E-2</v>
      </c>
      <c r="W62" s="671">
        <f ca="1">OFFSET(ChartsData!$B$2,W64,COLUMNS(ChartsData!$D:$M)+1)</f>
        <v>5.0651745571366494E-2</v>
      </c>
      <c r="X62" s="671">
        <f ca="1">OFFSET(ChartsData!$B$2,X64,COLUMNS(ChartsData!$D:$N)+1)</f>
        <v>5.5613302172229102E-2</v>
      </c>
    </row>
    <row r="63" spans="2:24">
      <c r="B63" s="993" t="s">
        <v>126</v>
      </c>
      <c r="C63" s="672">
        <f ca="1">(C62-B62)/ABS(B62)</f>
        <v>0.51866700050403747</v>
      </c>
      <c r="D63" s="672">
        <f t="shared" ref="D63:K63" ca="1" si="12">(D62-C62)/ABS(C62)</f>
        <v>-0.37057486520591298</v>
      </c>
      <c r="E63" s="672">
        <f t="shared" ca="1" si="12"/>
        <v>0.28375284958034747</v>
      </c>
      <c r="F63" s="672">
        <f t="shared" ca="1" si="12"/>
        <v>6.4367505887614973E-2</v>
      </c>
      <c r="G63" s="672">
        <f t="shared" ca="1" si="12"/>
        <v>3.0747283066701665E-2</v>
      </c>
      <c r="H63" s="672">
        <f t="shared" ca="1" si="12"/>
        <v>-6.9847877651281073E-2</v>
      </c>
      <c r="I63" s="672">
        <f t="shared" ca="1" si="12"/>
        <v>6.5751336139599117E-2</v>
      </c>
      <c r="J63" s="672">
        <f t="shared" ca="1" si="12"/>
        <v>9.3680161083234639E-2</v>
      </c>
      <c r="K63" s="672">
        <f t="shared" ca="1" si="12"/>
        <v>-0.18671626442003</v>
      </c>
      <c r="L63" s="672">
        <f ca="1">(L62-K62)/ABS(K62)</f>
        <v>8.8374409499257067E-2</v>
      </c>
      <c r="N63" s="993" t="s">
        <v>126</v>
      </c>
      <c r="O63" s="672">
        <f ca="1">(O62-N62)/ABS(N62)</f>
        <v>0.51929433920460744</v>
      </c>
      <c r="P63" s="672">
        <f t="shared" ref="P63:X63" ca="1" si="13">(P62-O62)/ABS(O62)</f>
        <v>0.24304733354364</v>
      </c>
      <c r="Q63" s="672">
        <f t="shared" ca="1" si="13"/>
        <v>-6.7502568803660665E-2</v>
      </c>
      <c r="R63" s="672">
        <f t="shared" ca="1" si="13"/>
        <v>0.3406003714154387</v>
      </c>
      <c r="S63" s="672">
        <f t="shared" ca="1" si="13"/>
        <v>0.10048026680570425</v>
      </c>
      <c r="T63" s="672">
        <f t="shared" ca="1" si="13"/>
        <v>-0.29856437255136803</v>
      </c>
      <c r="U63" s="672">
        <f t="shared" ca="1" si="13"/>
        <v>-3.5835229858898629E-2</v>
      </c>
      <c r="V63" s="672">
        <f t="shared" ca="1" si="13"/>
        <v>0.32320681514952571</v>
      </c>
      <c r="W63" s="672">
        <f t="shared" ca="1" si="13"/>
        <v>-0.12783989659859515</v>
      </c>
      <c r="X63" s="672">
        <f t="shared" ca="1" si="13"/>
        <v>9.7954306310568368E-2</v>
      </c>
    </row>
    <row r="64" spans="2:24">
      <c r="B64" s="37">
        <f ca="1">MATCH(B51,ChartData,0)</f>
        <v>14</v>
      </c>
      <c r="C64" s="36">
        <f t="shared" ref="C64:L64" ca="1" si="14">B64</f>
        <v>14</v>
      </c>
      <c r="D64" s="36">
        <f t="shared" ca="1" si="14"/>
        <v>14</v>
      </c>
      <c r="E64" s="36">
        <f t="shared" ca="1" si="14"/>
        <v>14</v>
      </c>
      <c r="F64" s="36">
        <f t="shared" ca="1" si="14"/>
        <v>14</v>
      </c>
      <c r="G64" s="36">
        <f t="shared" ca="1" si="14"/>
        <v>14</v>
      </c>
      <c r="H64" s="36">
        <f t="shared" ca="1" si="14"/>
        <v>14</v>
      </c>
      <c r="I64" s="36">
        <f t="shared" ca="1" si="14"/>
        <v>14</v>
      </c>
      <c r="J64" s="36">
        <f t="shared" ca="1" si="14"/>
        <v>14</v>
      </c>
      <c r="K64" s="36">
        <f t="shared" ca="1" si="14"/>
        <v>14</v>
      </c>
      <c r="L64" s="36">
        <f t="shared" ca="1" si="14"/>
        <v>14</v>
      </c>
      <c r="N64" s="37">
        <f ca="1">MATCH(N51,ChartData,0)</f>
        <v>13</v>
      </c>
      <c r="O64" s="36">
        <f t="shared" ref="O64:X64" ca="1" si="15">N64</f>
        <v>13</v>
      </c>
      <c r="P64" s="36">
        <f t="shared" ca="1" si="15"/>
        <v>13</v>
      </c>
      <c r="Q64" s="36">
        <f t="shared" ca="1" si="15"/>
        <v>13</v>
      </c>
      <c r="R64" s="36">
        <f t="shared" ca="1" si="15"/>
        <v>13</v>
      </c>
      <c r="S64" s="36">
        <f t="shared" ca="1" si="15"/>
        <v>13</v>
      </c>
      <c r="T64" s="36">
        <f t="shared" ca="1" si="15"/>
        <v>13</v>
      </c>
      <c r="U64" s="36">
        <f t="shared" ca="1" si="15"/>
        <v>13</v>
      </c>
      <c r="V64" s="36">
        <f t="shared" ca="1" si="15"/>
        <v>13</v>
      </c>
      <c r="W64" s="36">
        <f t="shared" ca="1" si="15"/>
        <v>13</v>
      </c>
      <c r="X64" s="36">
        <f t="shared" ca="1" si="15"/>
        <v>13</v>
      </c>
    </row>
    <row r="65" spans="2:24" ht="15">
      <c r="B65" s="1126" t="s">
        <v>119</v>
      </c>
      <c r="C65" s="1126"/>
      <c r="D65" s="1126"/>
      <c r="E65" s="1126"/>
      <c r="F65" s="1126"/>
      <c r="G65" s="1126"/>
      <c r="H65" s="1126"/>
      <c r="I65" s="1126"/>
      <c r="J65" s="1126"/>
      <c r="K65" s="1126"/>
      <c r="L65" s="1126"/>
      <c r="N65" s="1126" t="s">
        <v>118</v>
      </c>
      <c r="O65" s="1126"/>
      <c r="P65" s="1126"/>
      <c r="Q65" s="1126"/>
      <c r="R65" s="1126"/>
      <c r="S65" s="1126"/>
      <c r="T65" s="1126"/>
      <c r="U65" s="1126"/>
      <c r="V65" s="1126"/>
      <c r="W65" s="1126"/>
      <c r="X65" s="1126"/>
    </row>
    <row r="75" spans="2:24">
      <c r="B75" s="983">
        <f ca="1">ChartsData!$D$2</f>
        <v>2000</v>
      </c>
      <c r="C75" s="983">
        <f ca="1">ChartsData!$E$2</f>
        <v>2001</v>
      </c>
      <c r="D75" s="983">
        <f ca="1">ChartsData!$F$2</f>
        <v>2002</v>
      </c>
      <c r="E75" s="983">
        <f ca="1">ChartsData!$G$2</f>
        <v>2003</v>
      </c>
      <c r="F75" s="983">
        <f ca="1">ChartsData!$H$2</f>
        <v>2004</v>
      </c>
      <c r="G75" s="983">
        <f ca="1">ChartsData!$I$2</f>
        <v>2005</v>
      </c>
      <c r="H75" s="983">
        <f ca="1">ChartsData!$J$2</f>
        <v>2006</v>
      </c>
      <c r="I75" s="983">
        <f ca="1">ChartsData!$K$2</f>
        <v>2007</v>
      </c>
      <c r="J75" s="983">
        <f ca="1">ChartsData!$L$2</f>
        <v>2008</v>
      </c>
      <c r="K75" s="983">
        <f ca="1">ChartsData!$M$2</f>
        <v>2009</v>
      </c>
      <c r="L75" s="983" t="str">
        <f ca="1">ChartsData!$N$2</f>
        <v>TTM</v>
      </c>
      <c r="N75" s="983">
        <f ca="1">ChartsData!$D$2</f>
        <v>2000</v>
      </c>
      <c r="O75" s="983">
        <f ca="1">ChartsData!$E$2</f>
        <v>2001</v>
      </c>
      <c r="P75" s="983">
        <f ca="1">ChartsData!$F$2</f>
        <v>2002</v>
      </c>
      <c r="Q75" s="983">
        <f ca="1">ChartsData!$G$2</f>
        <v>2003</v>
      </c>
      <c r="R75" s="983">
        <f ca="1">ChartsData!$H$2</f>
        <v>2004</v>
      </c>
      <c r="S75" s="983">
        <f ca="1">ChartsData!$I$2</f>
        <v>2005</v>
      </c>
      <c r="T75" s="983">
        <f ca="1">ChartsData!$J$2</f>
        <v>2006</v>
      </c>
      <c r="U75" s="983">
        <f ca="1">ChartsData!$K$2</f>
        <v>2007</v>
      </c>
      <c r="V75" s="983">
        <f ca="1">ChartsData!$L$2</f>
        <v>2008</v>
      </c>
      <c r="W75" s="983">
        <f ca="1">ChartsData!$M$2</f>
        <v>2009</v>
      </c>
      <c r="X75" s="983" t="str">
        <f ca="1">ChartsData!$N$2</f>
        <v>TTM</v>
      </c>
    </row>
    <row r="76" spans="2:24">
      <c r="B76" s="671">
        <f ca="1">OFFSET(ChartsData!$B$2,B78,COLUMNS(ChartsData!$D:$D)+1)</f>
        <v>3.7851179067619638E-2</v>
      </c>
      <c r="C76" s="671">
        <f ca="1">OFFSET(ChartsData!$B$2,C78,COLUMNS(ChartsData!$D:$E)+1)</f>
        <v>7.0361077043241668E-2</v>
      </c>
      <c r="D76" s="671">
        <f ca="1">OFFSET(ChartsData!$B$2,D78,COLUMNS(ChartsData!$D:$F)+1)</f>
        <v>7.5453534282573481E-2</v>
      </c>
      <c r="E76" s="671">
        <f ca="1">OFFSET(ChartsData!$B$2,E78,COLUMNS(ChartsData!$D:$G)+1)</f>
        <v>5.7858468522267455E-2</v>
      </c>
      <c r="F76" s="671">
        <f ca="1">OFFSET(ChartsData!$B$2,F78,COLUMNS(ChartsData!$D:$H)+1)</f>
        <v>7.8207117436227588E-2</v>
      </c>
      <c r="G76" s="671">
        <f ca="1">OFFSET(ChartsData!$B$2,G78,COLUMNS(ChartsData!$D:$I)+1)</f>
        <v>8.6063132342333801E-2</v>
      </c>
      <c r="H76" s="671">
        <f ca="1">OFFSET(ChartsData!$B$2,H78,COLUMNS(ChartsData!$D:$J)+1)</f>
        <v>7.3407574332513825E-2</v>
      </c>
      <c r="I76" s="671">
        <f ca="1">OFFSET(ChartsData!$B$2,I78,COLUMNS(ChartsData!$D:$K)+1)</f>
        <v>6.4542879942419931E-2</v>
      </c>
      <c r="J76" s="671">
        <f ca="1">OFFSET(ChartsData!$B$2,J78,COLUMNS(ChartsData!$D:$L)+1)</f>
        <v>0.10580123452224199</v>
      </c>
      <c r="K76" s="671">
        <f ca="1">OFFSET(ChartsData!$B$2,K78,COLUMNS(ChartsData!$D:$M)+1)</f>
        <v>8.2766836090436557E-2</v>
      </c>
      <c r="L76" s="671">
        <f ca="1">OFFSET(ChartsData!$B$2,L78,COLUMNS(ChartsData!$D:$N)+1)</f>
        <v>8.7243836609250516E-2</v>
      </c>
      <c r="N76" s="671">
        <f ca="1">OFFSET(ChartsData!$B$2,N78,COLUMNS(ChartsData!$D:$D)+1)</f>
        <v>0.73663366336633662</v>
      </c>
      <c r="O76" s="671">
        <f ca="1">OFFSET(ChartsData!$B$2,O78,COLUMNS(ChartsData!$D:$E)+1)</f>
        <v>0.96367621731642394</v>
      </c>
      <c r="P76" s="671">
        <f ca="1">OFFSET(ChartsData!$B$2,P78,COLUMNS(ChartsData!$D:$F)+1)</f>
        <v>0.75872093023255816</v>
      </c>
      <c r="Q76" s="671">
        <f ca="1">OFFSET(ChartsData!$B$2,Q78,COLUMNS(ChartsData!$D:$G)+1)</f>
        <v>0.63378223196575845</v>
      </c>
      <c r="R76" s="671">
        <f ca="1">OFFSET(ChartsData!$B$2,R78,COLUMNS(ChartsData!$D:$H)+1)</f>
        <v>0.51255929699043468</v>
      </c>
      <c r="S76" s="671">
        <f ca="1">OFFSET(ChartsData!$B$2,S78,COLUMNS(ChartsData!$D:$I)+1)</f>
        <v>0.66492940396095901</v>
      </c>
      <c r="T76" s="671">
        <f ca="1">OFFSET(ChartsData!$B$2,T78,COLUMNS(ChartsData!$D:$J)+1)</f>
        <v>0.76329927314863588</v>
      </c>
      <c r="U76" s="671">
        <f ca="1">OFFSET(ChartsData!$B$2,U78,COLUMNS(ChartsData!$D:$K)+1)</f>
        <v>0.65737051792828682</v>
      </c>
      <c r="V76" s="671">
        <f ca="1">OFFSET(ChartsData!$B$2,V78,COLUMNS(ChartsData!$D:$L)+1)</f>
        <v>0.75340097707628706</v>
      </c>
      <c r="W76" s="671">
        <f ca="1">OFFSET(ChartsData!$B$2,W78,COLUMNS(ChartsData!$D:$M)+1)</f>
        <v>0.52093320549696387</v>
      </c>
      <c r="X76" s="671">
        <f ca="1">OFFSET(ChartsData!$B$2,X78,COLUMNS(ChartsData!$D:$N)+1)</f>
        <v>0.57251822770611327</v>
      </c>
    </row>
    <row r="77" spans="2:24">
      <c r="B77" s="993" t="s">
        <v>126</v>
      </c>
      <c r="C77" s="672">
        <f t="shared" ref="C77:L77" ca="1" si="16">(C76-B76)/ABS(B76)</f>
        <v>0.858887326007583</v>
      </c>
      <c r="D77" s="672">
        <f t="shared" ca="1" si="16"/>
        <v>7.2376055815662851E-2</v>
      </c>
      <c r="E77" s="672">
        <f t="shared" ca="1" si="16"/>
        <v>-0.23319074351656618</v>
      </c>
      <c r="F77" s="672">
        <f t="shared" ca="1" si="16"/>
        <v>0.35169698461909232</v>
      </c>
      <c r="G77" s="672">
        <f t="shared" ca="1" si="16"/>
        <v>0.10045140600549868</v>
      </c>
      <c r="H77" s="672">
        <f t="shared" ca="1" si="16"/>
        <v>-0.14704970253092686</v>
      </c>
      <c r="I77" s="672">
        <f t="shared" ca="1" si="16"/>
        <v>-0.12075994160956122</v>
      </c>
      <c r="J77" s="672">
        <f t="shared" ca="1" si="16"/>
        <v>0.63923944231539576</v>
      </c>
      <c r="K77" s="672">
        <f t="shared" ca="1" si="16"/>
        <v>-0.21771389091838098</v>
      </c>
      <c r="L77" s="672">
        <f t="shared" ca="1" si="16"/>
        <v>5.4091719948338848E-2</v>
      </c>
      <c r="N77" s="993" t="s">
        <v>126</v>
      </c>
      <c r="O77" s="672">
        <f t="shared" ref="O77:X77" ca="1" si="17">(O76-N76)/ABS(N76)</f>
        <v>0.30821637028170457</v>
      </c>
      <c r="P77" s="672">
        <f t="shared" ca="1" si="17"/>
        <v>-0.21268065290083685</v>
      </c>
      <c r="Q77" s="672">
        <f t="shared" ca="1" si="17"/>
        <v>-0.16467016170030305</v>
      </c>
      <c r="R77" s="672">
        <f t="shared" ca="1" si="17"/>
        <v>-0.19126906508460326</v>
      </c>
      <c r="S77" s="672">
        <f t="shared" ca="1" si="17"/>
        <v>0.2972731308654184</v>
      </c>
      <c r="T77" s="672">
        <f t="shared" ca="1" si="17"/>
        <v>0.14794032058394671</v>
      </c>
      <c r="U77" s="672">
        <f t="shared" ca="1" si="17"/>
        <v>-0.13877748734567671</v>
      </c>
      <c r="V77" s="672">
        <f t="shared" ca="1" si="17"/>
        <v>0.1460826984615034</v>
      </c>
      <c r="W77" s="672">
        <f t="shared" ca="1" si="17"/>
        <v>-0.30855783129119069</v>
      </c>
      <c r="X77" s="672">
        <f t="shared" ca="1" si="17"/>
        <v>9.9024254289833427E-2</v>
      </c>
    </row>
    <row r="78" spans="2:24">
      <c r="B78" s="37">
        <f ca="1">MATCH(B65,ChartData,0)</f>
        <v>15</v>
      </c>
      <c r="C78" s="36">
        <f t="shared" ref="C78:L78" ca="1" si="18">B78</f>
        <v>15</v>
      </c>
      <c r="D78" s="36">
        <f t="shared" ca="1" si="18"/>
        <v>15</v>
      </c>
      <c r="E78" s="36">
        <f t="shared" ca="1" si="18"/>
        <v>15</v>
      </c>
      <c r="F78" s="36">
        <f t="shared" ca="1" si="18"/>
        <v>15</v>
      </c>
      <c r="G78" s="36">
        <f t="shared" ca="1" si="18"/>
        <v>15</v>
      </c>
      <c r="H78" s="36">
        <f t="shared" ca="1" si="18"/>
        <v>15</v>
      </c>
      <c r="I78" s="36">
        <f t="shared" ca="1" si="18"/>
        <v>15</v>
      </c>
      <c r="J78" s="36">
        <f t="shared" ca="1" si="18"/>
        <v>15</v>
      </c>
      <c r="K78" s="36">
        <f t="shared" ca="1" si="18"/>
        <v>15</v>
      </c>
      <c r="L78" s="36">
        <f t="shared" ca="1" si="18"/>
        <v>15</v>
      </c>
      <c r="N78" s="37">
        <f ca="1">MATCH(N65,ChartData,0)</f>
        <v>16</v>
      </c>
      <c r="O78" s="36">
        <f t="shared" ref="O78:X78" ca="1" si="19">N78</f>
        <v>16</v>
      </c>
      <c r="P78" s="36">
        <f t="shared" ca="1" si="19"/>
        <v>16</v>
      </c>
      <c r="Q78" s="36">
        <f t="shared" ca="1" si="19"/>
        <v>16</v>
      </c>
      <c r="R78" s="36">
        <f t="shared" ca="1" si="19"/>
        <v>16</v>
      </c>
      <c r="S78" s="36">
        <f t="shared" ca="1" si="19"/>
        <v>16</v>
      </c>
      <c r="T78" s="36">
        <f t="shared" ca="1" si="19"/>
        <v>16</v>
      </c>
      <c r="U78" s="36">
        <f t="shared" ca="1" si="19"/>
        <v>16</v>
      </c>
      <c r="V78" s="36">
        <f t="shared" ca="1" si="19"/>
        <v>16</v>
      </c>
      <c r="W78" s="36">
        <f t="shared" ca="1" si="19"/>
        <v>16</v>
      </c>
      <c r="X78" s="36">
        <f t="shared" ca="1" si="19"/>
        <v>16</v>
      </c>
    </row>
    <row r="80" spans="2:24" ht="15">
      <c r="B80" s="1126" t="s">
        <v>468</v>
      </c>
      <c r="C80" s="1126"/>
      <c r="D80" s="1126"/>
      <c r="E80" s="1126"/>
      <c r="F80" s="1126"/>
      <c r="G80" s="1126"/>
      <c r="H80" s="1126"/>
      <c r="I80" s="1126"/>
      <c r="J80" s="1126"/>
      <c r="K80" s="1126"/>
      <c r="L80" s="1126"/>
      <c r="N80" s="1126" t="s">
        <v>116</v>
      </c>
      <c r="O80" s="1126"/>
      <c r="P80" s="1126"/>
      <c r="Q80" s="1126"/>
      <c r="R80" s="1126"/>
      <c r="S80" s="1126"/>
      <c r="T80" s="1126"/>
      <c r="U80" s="1126"/>
      <c r="V80" s="1126"/>
      <c r="W80" s="1126"/>
      <c r="X80" s="1126"/>
    </row>
    <row r="90" spans="2:24">
      <c r="B90" s="983">
        <f ca="1">ChartsData!$D$2</f>
        <v>2000</v>
      </c>
      <c r="C90" s="983">
        <f ca="1">ChartsData!$E$2</f>
        <v>2001</v>
      </c>
      <c r="D90" s="983">
        <f ca="1">ChartsData!$F$2</f>
        <v>2002</v>
      </c>
      <c r="E90" s="983">
        <f ca="1">ChartsData!$G$2</f>
        <v>2003</v>
      </c>
      <c r="F90" s="983">
        <f ca="1">ChartsData!$H$2</f>
        <v>2004</v>
      </c>
      <c r="G90" s="983">
        <f ca="1">ChartsData!$I$2</f>
        <v>2005</v>
      </c>
      <c r="H90" s="983">
        <f ca="1">ChartsData!$J$2</f>
        <v>2006</v>
      </c>
      <c r="I90" s="983">
        <f ca="1">ChartsData!$K$2</f>
        <v>2007</v>
      </c>
      <c r="J90" s="983">
        <f ca="1">ChartsData!$L$2</f>
        <v>2008</v>
      </c>
      <c r="K90" s="983">
        <f ca="1">ChartsData!$M$2</f>
        <v>2009</v>
      </c>
      <c r="L90" s="983" t="str">
        <f ca="1">ChartsData!$N$2</f>
        <v>TTM</v>
      </c>
      <c r="N90" s="983">
        <f ca="1">ChartsData!$D$2</f>
        <v>2000</v>
      </c>
      <c r="O90" s="983">
        <f ca="1">ChartsData!$E$2</f>
        <v>2001</v>
      </c>
      <c r="P90" s="983">
        <f ca="1">ChartsData!$F$2</f>
        <v>2002</v>
      </c>
      <c r="Q90" s="983">
        <f ca="1">ChartsData!$G$2</f>
        <v>2003</v>
      </c>
      <c r="R90" s="983">
        <f ca="1">ChartsData!$H$2</f>
        <v>2004</v>
      </c>
      <c r="S90" s="983">
        <f ca="1">ChartsData!$I$2</f>
        <v>2005</v>
      </c>
      <c r="T90" s="983">
        <f ca="1">ChartsData!$J$2</f>
        <v>2006</v>
      </c>
      <c r="U90" s="983">
        <f ca="1">ChartsData!$K$2</f>
        <v>2007</v>
      </c>
      <c r="V90" s="983">
        <f ca="1">ChartsData!$L$2</f>
        <v>2008</v>
      </c>
      <c r="W90" s="983">
        <f ca="1">ChartsData!$M$2</f>
        <v>2009</v>
      </c>
      <c r="X90" s="983" t="str">
        <f ca="1">ChartsData!$N$2</f>
        <v>TTM</v>
      </c>
    </row>
    <row r="91" spans="2:24">
      <c r="B91" s="671">
        <f ca="1">OFFSET(ChartsData!$B$2,B93,COLUMNS(ChartsData!$D:$D)+1)</f>
        <v>0.69674454980936551</v>
      </c>
      <c r="C91" s="671">
        <f ca="1">OFFSET(ChartsData!$B$2,C93,COLUMNS(ChartsData!$D:$E)+1)</f>
        <v>0.69918375472825001</v>
      </c>
      <c r="D91" s="671">
        <f ca="1">OFFSET(ChartsData!$B$2,D93,COLUMNS(ChartsData!$D:$F)+1)</f>
        <v>0.63683295849519528</v>
      </c>
      <c r="E91" s="671">
        <f ca="1">OFFSET(ChartsData!$B$2,E93,COLUMNS(ChartsData!$D:$G)+1)</f>
        <v>0.6311537730469492</v>
      </c>
      <c r="F91" s="671">
        <f ca="1">OFFSET(ChartsData!$B$2,F93,COLUMNS(ChartsData!$D:$H)+1)</f>
        <v>0.65221746653310264</v>
      </c>
      <c r="G91" s="671">
        <f ca="1">OFFSET(ChartsData!$B$2,G93,COLUMNS(ChartsData!$D:$I)+1)</f>
        <v>0.64529951523545703</v>
      </c>
      <c r="H91" s="671">
        <f ca="1">OFFSET(ChartsData!$B$2,H93,COLUMNS(ChartsData!$D:$J)+1)</f>
        <v>0.6610760544669545</v>
      </c>
      <c r="I91" s="671">
        <f ca="1">OFFSET(ChartsData!$B$2,I93,COLUMNS(ChartsData!$D:$K)+1)</f>
        <v>0.63939425442700215</v>
      </c>
      <c r="J91" s="671">
        <f ca="1">OFFSET(ChartsData!$B$2,J93,COLUMNS(ChartsData!$D:$L)+1)</f>
        <v>0.64393939393939392</v>
      </c>
      <c r="K91" s="671">
        <f ca="1">OFFSET(ChartsData!$B$2,K93,COLUMNS(ChartsData!$D:$M)+1)</f>
        <v>0.6422071636011617</v>
      </c>
      <c r="L91" s="671">
        <f ca="1">OFFSET(ChartsData!$B$2,L93,COLUMNS(ChartsData!$D:$N)+1)</f>
        <v>0.64783385439928542</v>
      </c>
      <c r="N91" s="671">
        <f ca="1">OFFSET(ChartsData!$B$2,N93,COLUMNS(ChartsData!$D:$D)+1)</f>
        <v>0.10641313911428292</v>
      </c>
      <c r="O91" s="671">
        <f ca="1">OFFSET(ChartsData!$B$2,O93,COLUMNS(ChartsData!$D:$E)+1)</f>
        <v>0.19754130997411906</v>
      </c>
      <c r="P91" s="671">
        <f ca="1">OFFSET(ChartsData!$B$2,P93,COLUMNS(ChartsData!$D:$F)+1)</f>
        <v>0.15589858924555305</v>
      </c>
      <c r="Q91" s="671">
        <f ca="1">OFFSET(ChartsData!$B$2,Q93,COLUMNS(ChartsData!$D:$G)+1)</f>
        <v>0.20656719254894507</v>
      </c>
      <c r="R91" s="671">
        <f ca="1">OFFSET(ChartsData!$B$2,R93,COLUMNS(ChartsData!$D:$H)+1)</f>
        <v>0.22069938985520443</v>
      </c>
      <c r="S91" s="671">
        <f ca="1">OFFSET(ChartsData!$B$2,S93,COLUMNS(ChartsData!$D:$I)+1)</f>
        <v>0.21087257617728533</v>
      </c>
      <c r="T91" s="671">
        <f ca="1">OFFSET(ChartsData!$B$2,T93,COLUMNS(ChartsData!$D:$J)+1)</f>
        <v>0.2108933909000332</v>
      </c>
      <c r="U91" s="671">
        <f ca="1">OFFSET(ChartsData!$B$2,U93,COLUMNS(ChartsData!$D:$K)+1)</f>
        <v>0.20726340229407075</v>
      </c>
      <c r="V91" s="671">
        <f ca="1">OFFSET(ChartsData!$B$2,V93,COLUMNS(ChartsData!$D:$L)+1)</f>
        <v>0.18178687703481092</v>
      </c>
      <c r="W91" s="671">
        <f ca="1">OFFSET(ChartsData!$B$2,W93,COLUMNS(ChartsData!$D:$M)+1)</f>
        <v>0.2202000645369474</v>
      </c>
      <c r="X91" s="671">
        <f ca="1">OFFSET(ChartsData!$B$2,X93,COLUMNS(ChartsData!$D:$N)+1)</f>
        <v>0.22656798315574556</v>
      </c>
    </row>
    <row r="92" spans="2:24">
      <c r="B92" s="993" t="s">
        <v>126</v>
      </c>
      <c r="C92" s="672">
        <f t="shared" ref="C92:L92" ca="1" si="20">(C91-B91)/ABS(B91)</f>
        <v>3.5008597046821267E-3</v>
      </c>
      <c r="D92" s="672">
        <f t="shared" ca="1" si="20"/>
        <v>-8.9176551673870702E-2</v>
      </c>
      <c r="E92" s="672">
        <f t="shared" ca="1" si="20"/>
        <v>-8.9178573007052207E-3</v>
      </c>
      <c r="F92" s="672">
        <f t="shared" ca="1" si="20"/>
        <v>3.3373314690755392E-2</v>
      </c>
      <c r="G92" s="672">
        <f t="shared" ca="1" si="20"/>
        <v>-1.0606816978420332E-2</v>
      </c>
      <c r="H92" s="672">
        <f t="shared" ca="1" si="20"/>
        <v>2.4448397773460157E-2</v>
      </c>
      <c r="I92" s="672">
        <f t="shared" ca="1" si="20"/>
        <v>-3.2797739221450149E-2</v>
      </c>
      <c r="J92" s="672">
        <f t="shared" ca="1" si="20"/>
        <v>7.1085085311955636E-3</v>
      </c>
      <c r="K92" s="672">
        <f t="shared" ca="1" si="20"/>
        <v>-2.6900518193723908E-3</v>
      </c>
      <c r="L92" s="672">
        <f t="shared" ca="1" si="20"/>
        <v>8.7614886862553611E-3</v>
      </c>
      <c r="N92" s="993" t="s">
        <v>126</v>
      </c>
      <c r="O92" s="672">
        <f t="shared" ref="O92:X92" ca="1" si="21">(O91-N91)/ABS(N91)</f>
        <v>0.85636202087759661</v>
      </c>
      <c r="P92" s="672">
        <f t="shared" ca="1" si="21"/>
        <v>-0.21080512594566594</v>
      </c>
      <c r="Q92" s="672">
        <f t="shared" ca="1" si="21"/>
        <v>0.32501001804182339</v>
      </c>
      <c r="R92" s="672">
        <f t="shared" ca="1" si="21"/>
        <v>6.8414529586593525E-2</v>
      </c>
      <c r="S92" s="672">
        <f t="shared" ca="1" si="21"/>
        <v>-4.4525785433146128E-2</v>
      </c>
      <c r="T92" s="672">
        <f t="shared" ca="1" si="21"/>
        <v>9.8707585050651793E-5</v>
      </c>
      <c r="U92" s="672">
        <f t="shared" ca="1" si="21"/>
        <v>-1.7212434161500676E-2</v>
      </c>
      <c r="V92" s="672">
        <f t="shared" ca="1" si="21"/>
        <v>-0.12291859043746214</v>
      </c>
      <c r="W92" s="672">
        <f t="shared" ca="1" si="21"/>
        <v>0.21130891365046461</v>
      </c>
      <c r="X92" s="672">
        <f t="shared" ca="1" si="21"/>
        <v>2.8918786341816341E-2</v>
      </c>
    </row>
    <row r="93" spans="2:24">
      <c r="B93" s="37">
        <f ca="1">MATCH(B80,ChartData,0)</f>
        <v>20</v>
      </c>
      <c r="C93" s="36">
        <f t="shared" ref="C93:L93" ca="1" si="22">B93</f>
        <v>20</v>
      </c>
      <c r="D93" s="36">
        <f t="shared" ca="1" si="22"/>
        <v>20</v>
      </c>
      <c r="E93" s="36">
        <f t="shared" ca="1" si="22"/>
        <v>20</v>
      </c>
      <c r="F93" s="36">
        <f t="shared" ca="1" si="22"/>
        <v>20</v>
      </c>
      <c r="G93" s="36">
        <f t="shared" ca="1" si="22"/>
        <v>20</v>
      </c>
      <c r="H93" s="36">
        <f t="shared" ca="1" si="22"/>
        <v>20</v>
      </c>
      <c r="I93" s="36">
        <f t="shared" ca="1" si="22"/>
        <v>20</v>
      </c>
      <c r="J93" s="36">
        <f t="shared" ca="1" si="22"/>
        <v>20</v>
      </c>
      <c r="K93" s="36">
        <f t="shared" ca="1" si="22"/>
        <v>20</v>
      </c>
      <c r="L93" s="36">
        <f t="shared" ca="1" si="22"/>
        <v>20</v>
      </c>
      <c r="N93" s="37">
        <f ca="1">MATCH(N80,ChartData,0)</f>
        <v>22</v>
      </c>
      <c r="O93" s="36">
        <f t="shared" ref="O93:X93" ca="1" si="23">N93</f>
        <v>22</v>
      </c>
      <c r="P93" s="36">
        <f t="shared" ca="1" si="23"/>
        <v>22</v>
      </c>
      <c r="Q93" s="36">
        <f t="shared" ca="1" si="23"/>
        <v>22</v>
      </c>
      <c r="R93" s="36">
        <f t="shared" ca="1" si="23"/>
        <v>22</v>
      </c>
      <c r="S93" s="36">
        <f t="shared" ca="1" si="23"/>
        <v>22</v>
      </c>
      <c r="T93" s="36">
        <f t="shared" ca="1" si="23"/>
        <v>22</v>
      </c>
      <c r="U93" s="36">
        <f t="shared" ca="1" si="23"/>
        <v>22</v>
      </c>
      <c r="V93" s="36">
        <f t="shared" ca="1" si="23"/>
        <v>22</v>
      </c>
      <c r="W93" s="36">
        <f t="shared" ca="1" si="23"/>
        <v>22</v>
      </c>
      <c r="X93" s="36">
        <f t="shared" ca="1" si="23"/>
        <v>22</v>
      </c>
    </row>
    <row r="95" spans="2:24" ht="15">
      <c r="B95" s="1126" t="s">
        <v>845</v>
      </c>
      <c r="C95" s="1126"/>
      <c r="D95" s="1126"/>
      <c r="E95" s="1126"/>
      <c r="F95" s="1126"/>
      <c r="G95" s="1126"/>
      <c r="H95" s="1126"/>
      <c r="I95" s="1126"/>
      <c r="J95" s="1126"/>
      <c r="K95" s="1126"/>
      <c r="L95" s="1126"/>
      <c r="N95" s="1126" t="s">
        <v>706</v>
      </c>
      <c r="O95" s="1126"/>
      <c r="P95" s="1126"/>
      <c r="Q95" s="1126"/>
      <c r="R95" s="1126"/>
      <c r="S95" s="1126"/>
      <c r="T95" s="1126"/>
      <c r="U95" s="1126"/>
      <c r="V95" s="1126"/>
      <c r="W95" s="1126"/>
      <c r="X95" s="1126"/>
    </row>
    <row r="105" spans="2:24">
      <c r="B105" s="983">
        <f ca="1">ChartsData!$D$2</f>
        <v>2000</v>
      </c>
      <c r="C105" s="983">
        <f ca="1">ChartsData!$E$2</f>
        <v>2001</v>
      </c>
      <c r="D105" s="983">
        <f ca="1">ChartsData!$F$2</f>
        <v>2002</v>
      </c>
      <c r="E105" s="983">
        <f ca="1">ChartsData!$G$2</f>
        <v>2003</v>
      </c>
      <c r="F105" s="983">
        <f ca="1">ChartsData!$H$2</f>
        <v>2004</v>
      </c>
      <c r="G105" s="983">
        <f ca="1">ChartsData!$I$2</f>
        <v>2005</v>
      </c>
      <c r="H105" s="983">
        <f ca="1">ChartsData!$J$2</f>
        <v>2006</v>
      </c>
      <c r="I105" s="983">
        <f ca="1">ChartsData!$K$2</f>
        <v>2007</v>
      </c>
      <c r="J105" s="983">
        <f ca="1">ChartsData!$L$2</f>
        <v>2008</v>
      </c>
      <c r="K105" s="983">
        <f ca="1">ChartsData!$M$2</f>
        <v>2009</v>
      </c>
      <c r="L105" s="983" t="str">
        <f ca="1">ChartsData!$N$2</f>
        <v>TTM</v>
      </c>
      <c r="N105" s="983">
        <f ca="1">ChartsData!$D$2</f>
        <v>2000</v>
      </c>
      <c r="O105" s="983">
        <f ca="1">ChartsData!$E$2</f>
        <v>2001</v>
      </c>
      <c r="P105" s="983">
        <f ca="1">ChartsData!$F$2</f>
        <v>2002</v>
      </c>
      <c r="Q105" s="983">
        <f ca="1">ChartsData!$G$2</f>
        <v>2003</v>
      </c>
      <c r="R105" s="983">
        <f ca="1">ChartsData!$H$2</f>
        <v>2004</v>
      </c>
      <c r="S105" s="983">
        <f ca="1">ChartsData!$I$2</f>
        <v>2005</v>
      </c>
      <c r="T105" s="983">
        <f ca="1">ChartsData!$J$2</f>
        <v>2006</v>
      </c>
      <c r="U105" s="983">
        <f ca="1">ChartsData!$K$2</f>
        <v>2007</v>
      </c>
      <c r="V105" s="983">
        <f ca="1">ChartsData!$L$2</f>
        <v>2008</v>
      </c>
      <c r="W105" s="983">
        <f ca="1">ChartsData!$M$2</f>
        <v>2009</v>
      </c>
      <c r="X105" s="983" t="str">
        <f ca="1">ChartsData!$N$2</f>
        <v>TTM</v>
      </c>
    </row>
    <row r="106" spans="2:24">
      <c r="B106" s="673">
        <f ca="1">OFFSET(ChartsData!$B$2,B108,COLUMNS(ChartsData!$D:$D)+1)</f>
        <v>5</v>
      </c>
      <c r="C106" s="673">
        <f ca="1">OFFSET(ChartsData!$B$2,C108,COLUMNS(ChartsData!$D:$E)+1)</f>
        <v>7</v>
      </c>
      <c r="D106" s="673">
        <f ca="1">OFFSET(ChartsData!$B$2,D108,COLUMNS(ChartsData!$D:$F)+1)</f>
        <v>5</v>
      </c>
      <c r="E106" s="673">
        <f ca="1">OFFSET(ChartsData!$B$2,E108,COLUMNS(ChartsData!$D:$G)+1)</f>
        <v>7</v>
      </c>
      <c r="F106" s="673">
        <f ca="1">OFFSET(ChartsData!$B$2,F108,COLUMNS(ChartsData!$D:$H)+1)</f>
        <v>7</v>
      </c>
      <c r="G106" s="673">
        <f ca="1">OFFSET(ChartsData!$B$2,G108,COLUMNS(ChartsData!$D:$I)+1)</f>
        <v>6</v>
      </c>
      <c r="H106" s="673">
        <f ca="1">OFFSET(ChartsData!$B$2,H108,COLUMNS(ChartsData!$D:$J)+1)</f>
        <v>7</v>
      </c>
      <c r="I106" s="673">
        <f ca="1">OFFSET(ChartsData!$B$2,I108,COLUMNS(ChartsData!$D:$K)+1)</f>
        <v>4</v>
      </c>
      <c r="J106" s="673">
        <f ca="1">OFFSET(ChartsData!$B$2,J108,COLUMNS(ChartsData!$D:$L)+1)</f>
        <v>8</v>
      </c>
      <c r="K106" s="673">
        <f ca="1">OFFSET(ChartsData!$B$2,K108,COLUMNS(ChartsData!$D:$M)+1)</f>
        <v>5</v>
      </c>
      <c r="L106" s="673">
        <f ca="1">OFFSET(ChartsData!$B$2,L108,COLUMNS(ChartsData!$D:$N)+1)</f>
        <v>8</v>
      </c>
      <c r="N106" s="673">
        <f ca="1">OFFSET(ChartsData!$B$2,N108,COLUMNS(ChartsData!$D:$D)+1)</f>
        <v>8.9091636751457948</v>
      </c>
      <c r="O106" s="673">
        <f ca="1">OFFSET(ChartsData!$B$2,O108,COLUMNS(ChartsData!$D:$E)+1)</f>
        <v>7.9780194544270184</v>
      </c>
      <c r="P106" s="673">
        <f ca="1">OFFSET(ChartsData!$B$2,P108,COLUMNS(ChartsData!$D:$F)+1)</f>
        <v>6.9386916386191606</v>
      </c>
      <c r="Q106" s="673">
        <f ca="1">OFFSET(ChartsData!$B$2,Q108,COLUMNS(ChartsData!$D:$G)+1)</f>
        <v>7.67029125775636</v>
      </c>
      <c r="R106" s="673">
        <f ca="1">OFFSET(ChartsData!$B$2,R108,COLUMNS(ChartsData!$D:$H)+1)</f>
        <v>6.1842081316861863</v>
      </c>
      <c r="S106" s="673">
        <f ca="1">OFFSET(ChartsData!$B$2,S108,COLUMNS(ChartsData!$D:$I)+1)</f>
        <v>6.9840802287429193</v>
      </c>
      <c r="T106" s="673">
        <f ca="1">OFFSET(ChartsData!$B$2,T108,COLUMNS(ChartsData!$D:$J)+1)</f>
        <v>7.7449195925146848</v>
      </c>
      <c r="U106" s="673">
        <f ca="1">OFFSET(ChartsData!$B$2,U108,COLUMNS(ChartsData!$D:$K)+1)</f>
        <v>5.9436737434458111</v>
      </c>
      <c r="V106" s="673">
        <f ca="1">OFFSET(ChartsData!$B$2,V108,COLUMNS(ChartsData!$D:$L)+1)</f>
        <v>5.7981264386627203</v>
      </c>
      <c r="W106" s="673">
        <f ca="1">OFFSET(ChartsData!$B$2,W108,COLUMNS(ChartsData!$D:$M)+1)</f>
        <v>5.6268713992312431</v>
      </c>
      <c r="X106" s="673">
        <f ca="1">OFFSET(ChartsData!$B$2,X108,COLUMNS(ChartsData!$D:$N)+1)</f>
        <v>4.8932863169328442</v>
      </c>
    </row>
    <row r="107" spans="2:24">
      <c r="B107" s="993" t="s">
        <v>126</v>
      </c>
      <c r="C107" s="672">
        <f t="shared" ref="C107:L107" ca="1" si="24">(C106-B106)/ABS(B106)</f>
        <v>0.4</v>
      </c>
      <c r="D107" s="672">
        <f t="shared" ca="1" si="24"/>
        <v>-0.2857142857142857</v>
      </c>
      <c r="E107" s="672">
        <f t="shared" ca="1" si="24"/>
        <v>0.4</v>
      </c>
      <c r="F107" s="672">
        <f t="shared" ca="1" si="24"/>
        <v>0</v>
      </c>
      <c r="G107" s="672">
        <f t="shared" ca="1" si="24"/>
        <v>-0.14285714285714285</v>
      </c>
      <c r="H107" s="672">
        <f t="shared" ca="1" si="24"/>
        <v>0.16666666666666666</v>
      </c>
      <c r="I107" s="672">
        <f t="shared" ca="1" si="24"/>
        <v>-0.42857142857142855</v>
      </c>
      <c r="J107" s="672">
        <f t="shared" ca="1" si="24"/>
        <v>1</v>
      </c>
      <c r="K107" s="672">
        <f t="shared" ca="1" si="24"/>
        <v>-0.375</v>
      </c>
      <c r="L107" s="672">
        <f t="shared" ca="1" si="24"/>
        <v>0.6</v>
      </c>
      <c r="N107" s="993" t="s">
        <v>126</v>
      </c>
      <c r="O107" s="672">
        <f t="shared" ref="O107:X107" ca="1" si="25">(O106-N106)/ABS(N106)</f>
        <v>-0.10451533439849375</v>
      </c>
      <c r="P107" s="672">
        <f t="shared" ca="1" si="25"/>
        <v>-0.13027391343739239</v>
      </c>
      <c r="Q107" s="672">
        <f t="shared" ca="1" si="25"/>
        <v>0.10543769016413473</v>
      </c>
      <c r="R107" s="672">
        <f t="shared" ca="1" si="25"/>
        <v>-0.19374533197385629</v>
      </c>
      <c r="S107" s="672">
        <f t="shared" ca="1" si="25"/>
        <v>0.12934107003262194</v>
      </c>
      <c r="T107" s="672">
        <f t="shared" ca="1" si="25"/>
        <v>0.10893909274417236</v>
      </c>
      <c r="U107" s="672">
        <f t="shared" ca="1" si="25"/>
        <v>-0.23257127818470097</v>
      </c>
      <c r="V107" s="672">
        <f t="shared" ca="1" si="25"/>
        <v>-2.4487768182698169E-2</v>
      </c>
      <c r="W107" s="672">
        <f t="shared" ca="1" si="25"/>
        <v>-2.9536271973912901E-2</v>
      </c>
      <c r="X107" s="672">
        <f t="shared" ca="1" si="25"/>
        <v>-0.13037175194702746</v>
      </c>
    </row>
    <row r="108" spans="2:24">
      <c r="B108" s="37">
        <f ca="1">MATCH(B95,ChartData,0)</f>
        <v>24</v>
      </c>
      <c r="C108" s="36">
        <f t="shared" ref="C108:L108" ca="1" si="26">B108</f>
        <v>24</v>
      </c>
      <c r="D108" s="36">
        <f t="shared" ca="1" si="26"/>
        <v>24</v>
      </c>
      <c r="E108" s="36">
        <f t="shared" ca="1" si="26"/>
        <v>24</v>
      </c>
      <c r="F108" s="36">
        <f t="shared" ca="1" si="26"/>
        <v>24</v>
      </c>
      <c r="G108" s="36">
        <f t="shared" ca="1" si="26"/>
        <v>24</v>
      </c>
      <c r="H108" s="36">
        <f t="shared" ca="1" si="26"/>
        <v>24</v>
      </c>
      <c r="I108" s="36">
        <f t="shared" ca="1" si="26"/>
        <v>24</v>
      </c>
      <c r="J108" s="36">
        <f t="shared" ca="1" si="26"/>
        <v>24</v>
      </c>
      <c r="K108" s="36">
        <f t="shared" ca="1" si="26"/>
        <v>24</v>
      </c>
      <c r="L108" s="36">
        <f t="shared" ca="1" si="26"/>
        <v>24</v>
      </c>
      <c r="N108" s="37">
        <f ca="1">MATCH(N95,ChartData,0)</f>
        <v>25</v>
      </c>
      <c r="O108" s="36">
        <f t="shared" ref="O108:X108" ca="1" si="27">N108</f>
        <v>25</v>
      </c>
      <c r="P108" s="36">
        <f t="shared" ca="1" si="27"/>
        <v>25</v>
      </c>
      <c r="Q108" s="36">
        <f t="shared" ca="1" si="27"/>
        <v>25</v>
      </c>
      <c r="R108" s="36">
        <f t="shared" ca="1" si="27"/>
        <v>25</v>
      </c>
      <c r="S108" s="36">
        <f t="shared" ca="1" si="27"/>
        <v>25</v>
      </c>
      <c r="T108" s="36">
        <f t="shared" ca="1" si="27"/>
        <v>25</v>
      </c>
      <c r="U108" s="36">
        <f t="shared" ca="1" si="27"/>
        <v>25</v>
      </c>
      <c r="V108" s="36">
        <f t="shared" ca="1" si="27"/>
        <v>25</v>
      </c>
      <c r="W108" s="36">
        <f t="shared" ca="1" si="27"/>
        <v>25</v>
      </c>
      <c r="X108" s="36">
        <f t="shared" ca="1" si="27"/>
        <v>25</v>
      </c>
    </row>
    <row r="110" spans="2:24" ht="15">
      <c r="B110" s="1126" t="s">
        <v>847</v>
      </c>
      <c r="C110" s="1126"/>
      <c r="D110" s="1126"/>
      <c r="E110" s="1126"/>
      <c r="F110" s="1126"/>
      <c r="G110" s="1126"/>
      <c r="H110" s="1126"/>
      <c r="I110" s="1126"/>
      <c r="J110" s="1126"/>
      <c r="K110" s="1126"/>
      <c r="L110" s="1126"/>
      <c r="N110" s="1126" t="s">
        <v>321</v>
      </c>
      <c r="O110" s="1126"/>
      <c r="P110" s="1126"/>
      <c r="Q110" s="1126"/>
      <c r="R110" s="1126"/>
      <c r="S110" s="1126"/>
      <c r="T110" s="1126"/>
      <c r="U110" s="1126"/>
      <c r="V110" s="1126"/>
      <c r="W110" s="1126"/>
      <c r="X110" s="1126"/>
    </row>
    <row r="120" spans="2:24">
      <c r="B120" s="983">
        <f ca="1">ChartsData!$D$2</f>
        <v>2000</v>
      </c>
      <c r="C120" s="983">
        <f ca="1">ChartsData!$E$2</f>
        <v>2001</v>
      </c>
      <c r="D120" s="983">
        <f ca="1">ChartsData!$F$2</f>
        <v>2002</v>
      </c>
      <c r="E120" s="983">
        <f ca="1">ChartsData!$G$2</f>
        <v>2003</v>
      </c>
      <c r="F120" s="983">
        <f ca="1">ChartsData!$H$2</f>
        <v>2004</v>
      </c>
      <c r="G120" s="983">
        <f ca="1">ChartsData!$I$2</f>
        <v>2005</v>
      </c>
      <c r="H120" s="983">
        <f ca="1">ChartsData!$J$2</f>
        <v>2006</v>
      </c>
      <c r="I120" s="983">
        <f ca="1">ChartsData!$K$2</f>
        <v>2007</v>
      </c>
      <c r="J120" s="983">
        <f ca="1">ChartsData!$L$2</f>
        <v>2008</v>
      </c>
      <c r="K120" s="983">
        <f ca="1">ChartsData!$M$2</f>
        <v>2009</v>
      </c>
      <c r="L120" s="983" t="str">
        <f ca="1">ChartsData!$N$2</f>
        <v>TTM</v>
      </c>
      <c r="N120" s="983">
        <f ca="1">ChartsData!$D$2</f>
        <v>2000</v>
      </c>
      <c r="O120" s="983">
        <f ca="1">ChartsData!$E$2</f>
        <v>2001</v>
      </c>
      <c r="P120" s="983">
        <f ca="1">ChartsData!$F$2</f>
        <v>2002</v>
      </c>
      <c r="Q120" s="983">
        <f ca="1">ChartsData!$G$2</f>
        <v>2003</v>
      </c>
      <c r="R120" s="983">
        <f ca="1">ChartsData!$H$2</f>
        <v>2004</v>
      </c>
      <c r="S120" s="983">
        <f ca="1">ChartsData!$I$2</f>
        <v>2005</v>
      </c>
      <c r="T120" s="983">
        <f ca="1">ChartsData!$J$2</f>
        <v>2006</v>
      </c>
      <c r="U120" s="983">
        <f ca="1">ChartsData!$K$2</f>
        <v>2007</v>
      </c>
      <c r="V120" s="983">
        <f ca="1">ChartsData!$L$2</f>
        <v>2008</v>
      </c>
      <c r="W120" s="983">
        <f ca="1">ChartsData!$M$2</f>
        <v>2009</v>
      </c>
      <c r="X120" s="983" t="str">
        <f ca="1">ChartsData!$N$2</f>
        <v>TTM</v>
      </c>
    </row>
    <row r="121" spans="2:24">
      <c r="B121" s="673"/>
      <c r="C121" s="673">
        <f ca="1">OFFSET(ChartsData!$B$2,C123,COLUMNS(ChartsData!$D:$E)+1)</f>
        <v>-2.3734736335860882</v>
      </c>
      <c r="D121" s="673">
        <f ca="1">OFFSET(ChartsData!$B$2,D123,COLUMNS(ChartsData!$D:$F)+1)</f>
        <v>-2.4075827162389558</v>
      </c>
      <c r="E121" s="673">
        <f ca="1">OFFSET(ChartsData!$B$2,E123,COLUMNS(ChartsData!$D:$G)+1)</f>
        <v>-2.645672068482908</v>
      </c>
      <c r="F121" s="673">
        <f ca="1">OFFSET(ChartsData!$B$2,F123,COLUMNS(ChartsData!$D:$H)+1)</f>
        <v>-2.6886970907498746</v>
      </c>
      <c r="G121" s="673">
        <f ca="1">OFFSET(ChartsData!$B$2,G123,COLUMNS(ChartsData!$D:$I)+1)</f>
        <v>-2.6342106081542225</v>
      </c>
      <c r="H121" s="673">
        <f ca="1">OFFSET(ChartsData!$B$2,H123,COLUMNS(ChartsData!$D:$J)+1)</f>
        <v>-2.4422057571486615</v>
      </c>
      <c r="I121" s="673">
        <f ca="1">OFFSET(ChartsData!$B$2,I123,COLUMNS(ChartsData!$D:$K)+1)</f>
        <v>-2.3525868063672424</v>
      </c>
      <c r="J121" s="673">
        <f ca="1">OFFSET(ChartsData!$B$2,J123,COLUMNS(ChartsData!$D:$L)+1)</f>
        <v>-2.7661496449184177</v>
      </c>
      <c r="K121" s="673">
        <f ca="1">OFFSET(ChartsData!$B$2,K123,COLUMNS(ChartsData!$D:$M)+1)</f>
        <v>-2.4266991978492394</v>
      </c>
      <c r="L121" s="673">
        <f ca="1">OFFSET(ChartsData!$B$2,L123,COLUMNS(ChartsData!$D:$N)+1)</f>
        <v>-2.6454541841182744</v>
      </c>
      <c r="N121" s="671">
        <f ca="1">OFFSET(ChartsData!$B$2,N123,COLUMNS(ChartsData!$D:$D)+1)</f>
        <v>0.35951750514857311</v>
      </c>
      <c r="O121" s="671">
        <f ca="1">OFFSET(ChartsData!$B$2,O123,COLUMNS(ChartsData!$D:$E)+1)</f>
        <v>0.29823633156966489</v>
      </c>
      <c r="P121" s="671">
        <f ca="1">OFFSET(ChartsData!$B$2,P123,COLUMNS(ChartsData!$D:$F)+1)</f>
        <v>0.2769594471722131</v>
      </c>
      <c r="Q121" s="671">
        <f ca="1">OFFSET(ChartsData!$B$2,Q123,COLUMNS(ChartsData!$D:$G)+1)</f>
        <v>0.20891719745222931</v>
      </c>
      <c r="R121" s="671">
        <f ca="1">OFFSET(ChartsData!$B$2,R123,COLUMNS(ChartsData!$D:$H)+1)</f>
        <v>0.22099003535840567</v>
      </c>
      <c r="S121" s="671">
        <f ca="1">OFFSET(ChartsData!$B$2,S123,COLUMNS(ChartsData!$D:$I)+1)</f>
        <v>0.27174887892376681</v>
      </c>
      <c r="T121" s="671">
        <f ca="1">OFFSET(ChartsData!$B$2,T123,COLUMNS(ChartsData!$D:$J)+1)</f>
        <v>0.22772879294618426</v>
      </c>
      <c r="U121" s="671">
        <f ca="1">OFFSET(ChartsData!$B$2,U123,COLUMNS(ChartsData!$D:$K)+1)</f>
        <v>0.24031500063508193</v>
      </c>
      <c r="V121" s="671">
        <f ca="1">OFFSET(ChartsData!$B$2,V123,COLUMNS(ChartsData!$D:$L)+1)</f>
        <v>0.2193843258502487</v>
      </c>
      <c r="W121" s="671">
        <f ca="1">OFFSET(ChartsData!$B$2,W123,COLUMNS(ChartsData!$D:$M)+1)</f>
        <v>0.22803487592219987</v>
      </c>
      <c r="X121" s="671">
        <f ca="1">OFFSET(ChartsData!$B$2,X123,COLUMNS(ChartsData!$D:$N)+1)</f>
        <v>0.22924265179146106</v>
      </c>
    </row>
    <row r="122" spans="2:24">
      <c r="B122" s="993" t="s">
        <v>126</v>
      </c>
      <c r="C122" s="672" t="e">
        <f t="shared" ref="C122:L122" ca="1" si="28">(C121-B121)/ABS(B121)</f>
        <v>#DIV/0!</v>
      </c>
      <c r="D122" s="672">
        <f t="shared" ca="1" si="28"/>
        <v>-1.4370954945613655E-2</v>
      </c>
      <c r="E122" s="672">
        <f t="shared" ca="1" si="28"/>
        <v>-9.8891452674941677E-2</v>
      </c>
      <c r="F122" s="672">
        <f t="shared" ca="1" si="28"/>
        <v>-1.6262416941052776E-2</v>
      </c>
      <c r="G122" s="672">
        <f t="shared" ca="1" si="28"/>
        <v>2.0265013408578475E-2</v>
      </c>
      <c r="H122" s="672">
        <f t="shared" ca="1" si="28"/>
        <v>7.2888952163205262E-2</v>
      </c>
      <c r="I122" s="672">
        <f t="shared" ca="1" si="28"/>
        <v>3.6695905133747445E-2</v>
      </c>
      <c r="J122" s="672">
        <f t="shared" ca="1" si="28"/>
        <v>-0.17579068174312357</v>
      </c>
      <c r="K122" s="672">
        <f t="shared" ca="1" si="28"/>
        <v>0.12271586524350522</v>
      </c>
      <c r="L122" s="672">
        <f t="shared" ca="1" si="28"/>
        <v>-9.0145077091926137E-2</v>
      </c>
      <c r="N122" s="993" t="s">
        <v>126</v>
      </c>
      <c r="O122" s="672">
        <f t="shared" ref="O122:X122" ca="1" si="29">(O121-N121)/ABS(N121)</f>
        <v>-0.1704539353475524</v>
      </c>
      <c r="P122" s="672">
        <f t="shared" ca="1" si="29"/>
        <v>-7.1342362231550355E-2</v>
      </c>
      <c r="Q122" s="672">
        <f t="shared" ca="1" si="29"/>
        <v>-0.24567585765606759</v>
      </c>
      <c r="R122" s="672">
        <f t="shared" ca="1" si="29"/>
        <v>5.778766924602708E-2</v>
      </c>
      <c r="S122" s="672">
        <f t="shared" ca="1" si="29"/>
        <v>0.22968838157358329</v>
      </c>
      <c r="T122" s="672">
        <f t="shared" ca="1" si="29"/>
        <v>-0.16198810516503154</v>
      </c>
      <c r="U122" s="672">
        <f t="shared" ca="1" si="29"/>
        <v>5.5268407328150145E-2</v>
      </c>
      <c r="V122" s="672">
        <f t="shared" ca="1" si="29"/>
        <v>-8.7096830116803414E-2</v>
      </c>
      <c r="W122" s="672">
        <f t="shared" ca="1" si="29"/>
        <v>3.9431030628213716E-2</v>
      </c>
      <c r="X122" s="672">
        <f t="shared" ca="1" si="29"/>
        <v>5.2964524149071383E-3</v>
      </c>
    </row>
    <row r="123" spans="2:24">
      <c r="B123" s="37">
        <f ca="1">MATCH(B110,ChartData,0)</f>
        <v>28</v>
      </c>
      <c r="C123" s="36">
        <f t="shared" ref="C123:L123" ca="1" si="30">B123</f>
        <v>28</v>
      </c>
      <c r="D123" s="36">
        <f t="shared" ca="1" si="30"/>
        <v>28</v>
      </c>
      <c r="E123" s="36">
        <f t="shared" ca="1" si="30"/>
        <v>28</v>
      </c>
      <c r="F123" s="36">
        <f t="shared" ca="1" si="30"/>
        <v>28</v>
      </c>
      <c r="G123" s="36">
        <f t="shared" ca="1" si="30"/>
        <v>28</v>
      </c>
      <c r="H123" s="36">
        <f t="shared" ca="1" si="30"/>
        <v>28</v>
      </c>
      <c r="I123" s="36">
        <f t="shared" ca="1" si="30"/>
        <v>28</v>
      </c>
      <c r="J123" s="36">
        <f t="shared" ca="1" si="30"/>
        <v>28</v>
      </c>
      <c r="K123" s="36">
        <f t="shared" ca="1" si="30"/>
        <v>28</v>
      </c>
      <c r="L123" s="36">
        <f t="shared" ca="1" si="30"/>
        <v>28</v>
      </c>
      <c r="N123" s="37">
        <f ca="1">MATCH(N110,ChartData,0)</f>
        <v>34</v>
      </c>
      <c r="O123" s="36">
        <f t="shared" ref="O123:X123" ca="1" si="31">N123</f>
        <v>34</v>
      </c>
      <c r="P123" s="36">
        <f t="shared" ca="1" si="31"/>
        <v>34</v>
      </c>
      <c r="Q123" s="36">
        <f t="shared" ca="1" si="31"/>
        <v>34</v>
      </c>
      <c r="R123" s="36">
        <f t="shared" ca="1" si="31"/>
        <v>34</v>
      </c>
      <c r="S123" s="36">
        <f t="shared" ca="1" si="31"/>
        <v>34</v>
      </c>
      <c r="T123" s="36">
        <f t="shared" ca="1" si="31"/>
        <v>34</v>
      </c>
      <c r="U123" s="36">
        <f t="shared" ca="1" si="31"/>
        <v>34</v>
      </c>
      <c r="V123" s="36">
        <f t="shared" ca="1" si="31"/>
        <v>34</v>
      </c>
      <c r="W123" s="36">
        <f t="shared" ca="1" si="31"/>
        <v>34</v>
      </c>
      <c r="X123" s="36">
        <f t="shared" ca="1" si="31"/>
        <v>34</v>
      </c>
    </row>
    <row r="125" spans="2:24" ht="15">
      <c r="B125" s="1126" t="s">
        <v>131</v>
      </c>
      <c r="C125" s="1126"/>
      <c r="D125" s="1126"/>
      <c r="E125" s="1126"/>
      <c r="F125" s="1126"/>
      <c r="G125" s="1126"/>
      <c r="H125" s="1126"/>
      <c r="I125" s="1126"/>
      <c r="J125" s="1126"/>
      <c r="K125" s="1126"/>
      <c r="L125" s="1126"/>
      <c r="N125" s="1126" t="s">
        <v>780</v>
      </c>
      <c r="O125" s="1126"/>
      <c r="P125" s="1126"/>
      <c r="Q125" s="1126"/>
      <c r="R125" s="1126"/>
      <c r="S125" s="1126"/>
      <c r="T125" s="1126"/>
      <c r="U125" s="1126"/>
      <c r="V125" s="1126"/>
      <c r="W125" s="1126"/>
      <c r="X125" s="1126"/>
    </row>
    <row r="135" spans="2:24">
      <c r="B135" s="983">
        <f ca="1">ChartsData!$D$2</f>
        <v>2000</v>
      </c>
      <c r="C135" s="983">
        <f ca="1">ChartsData!$E$2</f>
        <v>2001</v>
      </c>
      <c r="D135" s="983">
        <f ca="1">ChartsData!$F$2</f>
        <v>2002</v>
      </c>
      <c r="E135" s="983">
        <f ca="1">ChartsData!$G$2</f>
        <v>2003</v>
      </c>
      <c r="F135" s="983">
        <f ca="1">ChartsData!$H$2</f>
        <v>2004</v>
      </c>
      <c r="G135" s="983">
        <f ca="1">ChartsData!$I$2</f>
        <v>2005</v>
      </c>
      <c r="H135" s="983">
        <f ca="1">ChartsData!$J$2</f>
        <v>2006</v>
      </c>
      <c r="I135" s="983">
        <f ca="1">ChartsData!$K$2</f>
        <v>2007</v>
      </c>
      <c r="J135" s="983">
        <f ca="1">ChartsData!$L$2</f>
        <v>2008</v>
      </c>
      <c r="K135" s="983">
        <f ca="1">ChartsData!$M$2</f>
        <v>2009</v>
      </c>
      <c r="L135" s="983" t="str">
        <f ca="1">ChartsData!$N$2</f>
        <v>TTM</v>
      </c>
      <c r="N135" s="983">
        <f ca="1">ChartsData!$D$2</f>
        <v>2000</v>
      </c>
      <c r="O135" s="983">
        <f ca="1">ChartsData!$E$2</f>
        <v>2001</v>
      </c>
      <c r="P135" s="983">
        <f ca="1">ChartsData!$F$2</f>
        <v>2002</v>
      </c>
      <c r="Q135" s="983">
        <f ca="1">ChartsData!$G$2</f>
        <v>2003</v>
      </c>
      <c r="R135" s="983">
        <f ca="1">ChartsData!$H$2</f>
        <v>2004</v>
      </c>
      <c r="S135" s="983">
        <f ca="1">ChartsData!$I$2</f>
        <v>2005</v>
      </c>
      <c r="T135" s="983">
        <f ca="1">ChartsData!$J$2</f>
        <v>2006</v>
      </c>
      <c r="U135" s="983">
        <f ca="1">ChartsData!$K$2</f>
        <v>2007</v>
      </c>
      <c r="V135" s="983">
        <f ca="1">ChartsData!$L$2</f>
        <v>2008</v>
      </c>
      <c r="W135" s="983">
        <f ca="1">ChartsData!$M$2</f>
        <v>2009</v>
      </c>
      <c r="X135" s="983" t="str">
        <f ca="1">ChartsData!$N$2</f>
        <v>TTM</v>
      </c>
    </row>
    <row r="136" spans="2:24">
      <c r="B136" s="671">
        <f ca="1">OFFSET(ChartsData!$B$2,B138,COLUMNS(ChartsData!$D:$D)+1)</f>
        <v>1.2363675397166165</v>
      </c>
      <c r="C136" s="671">
        <f ca="1">OFFSET(ChartsData!$B$2,C138,COLUMNS(ChartsData!$D:$E)+1)</f>
        <v>0.97228576456097127</v>
      </c>
      <c r="D136" s="671">
        <f ca="1">OFFSET(ChartsData!$B$2,D138,COLUMNS(ChartsData!$D:$F)+1)</f>
        <v>1.0763559322033898</v>
      </c>
      <c r="E136" s="671">
        <f ca="1">OFFSET(ChartsData!$B$2,E138,COLUMNS(ChartsData!$D:$G)+1)</f>
        <v>0.94052519517388222</v>
      </c>
      <c r="F136" s="671">
        <f ca="1">OFFSET(ChartsData!$B$2,F138,COLUMNS(ChartsData!$D:$H)+1)</f>
        <v>0.96592406652023843</v>
      </c>
      <c r="G136" s="671">
        <f ca="1">OFFSET(ChartsData!$B$2,G138,COLUMNS(ChartsData!$D:$I)+1)</f>
        <v>0.79926627942525219</v>
      </c>
      <c r="H136" s="671">
        <f ca="1">OFFSET(ChartsData!$B$2,H138,COLUMNS(ChartsData!$D:$J)+1)</f>
        <v>0.77086288416075655</v>
      </c>
      <c r="I136" s="671">
        <f ca="1">OFFSET(ChartsData!$B$2,I138,COLUMNS(ChartsData!$D:$K)+1)</f>
        <v>0.98992825607064017</v>
      </c>
      <c r="J136" s="671">
        <f ca="1">OFFSET(ChartsData!$B$2,J138,COLUMNS(ChartsData!$D:$L)+1)</f>
        <v>0.97923993747557636</v>
      </c>
      <c r="K136" s="671">
        <f ca="1">OFFSET(ChartsData!$B$2,K138,COLUMNS(ChartsData!$D:$M)+1)</f>
        <v>0.96261946046211544</v>
      </c>
      <c r="L136" s="671">
        <f ca="1">OFFSET(ChartsData!$B$2,L138,COLUMNS(ChartsData!$D:$N)+1)</f>
        <v>0.90587809585075585</v>
      </c>
      <c r="N136" s="671">
        <f ca="1">OFFSET(ChartsData!$B$2,N138,COLUMNS(ChartsData!$D:$D)+1)</f>
        <v>0.192481333564855</v>
      </c>
      <c r="O136" s="671">
        <f ca="1">OFFSET(ChartsData!$B$2,O138,COLUMNS(ChartsData!$D:$E)+1)</f>
        <v>0.36222966247398425</v>
      </c>
      <c r="P136" s="671">
        <f ca="1">OFFSET(ChartsData!$B$2,P138,COLUMNS(ChartsData!$D:$F)+1)</f>
        <v>0.23659554365797969</v>
      </c>
      <c r="Q136" s="671">
        <f ca="1">OFFSET(ChartsData!$B$2,Q138,COLUMNS(ChartsData!$D:$G)+1)</f>
        <v>0.33089345004527621</v>
      </c>
      <c r="R136" s="671">
        <f ca="1">OFFSET(ChartsData!$B$2,R138,COLUMNS(ChartsData!$D:$H)+1)</f>
        <v>0.32386954261954259</v>
      </c>
      <c r="S136" s="671">
        <f ca="1">OFFSET(ChartsData!$B$2,S138,COLUMNS(ChartsData!$D:$I)+1)</f>
        <v>0.37522949816401469</v>
      </c>
      <c r="T136" s="671">
        <f ca="1">OFFSET(ChartsData!$B$2,T138,COLUMNS(ChartsData!$D:$J)+1)</f>
        <v>0.3535229625086253</v>
      </c>
      <c r="U136" s="671">
        <f ca="1">OFFSET(ChartsData!$B$2,U138,COLUMNS(ChartsData!$D:$K)+1)</f>
        <v>0.25533101045296169</v>
      </c>
      <c r="V136" s="671">
        <f ca="1">OFFSET(ChartsData!$B$2,V138,COLUMNS(ChartsData!$D:$L)+1)</f>
        <v>0.25275602334513891</v>
      </c>
      <c r="W136" s="671">
        <f ca="1">OFFSET(ChartsData!$B$2,W138,COLUMNS(ChartsData!$D:$M)+1)</f>
        <v>0.25414711796246647</v>
      </c>
      <c r="X136" s="671">
        <f ca="1">OFFSET(ChartsData!$B$2,X138,COLUMNS(ChartsData!$D:$N)+1)</f>
        <v>0.28489636500821092</v>
      </c>
    </row>
    <row r="137" spans="2:24">
      <c r="B137" s="993" t="s">
        <v>126</v>
      </c>
      <c r="C137" s="672">
        <f t="shared" ref="C137:L137" ca="1" si="32">(C136-B136)/ABS(B136)</f>
        <v>-0.21359487908925084</v>
      </c>
      <c r="D137" s="672">
        <f t="shared" ca="1" si="32"/>
        <v>0.10703660532293265</v>
      </c>
      <c r="E137" s="672">
        <f t="shared" ca="1" si="32"/>
        <v>-0.12619500015338864</v>
      </c>
      <c r="F137" s="672">
        <f t="shared" ca="1" si="32"/>
        <v>2.7004987720356099E-2</v>
      </c>
      <c r="G137" s="672">
        <f t="shared" ca="1" si="32"/>
        <v>-0.17253715159554353</v>
      </c>
      <c r="H137" s="672">
        <f t="shared" ca="1" si="32"/>
        <v>-3.5536836715944486E-2</v>
      </c>
      <c r="I137" s="672">
        <f t="shared" ca="1" si="32"/>
        <v>0.28418202044891749</v>
      </c>
      <c r="J137" s="672">
        <f t="shared" ca="1" si="32"/>
        <v>-1.0797063857424734E-2</v>
      </c>
      <c r="K137" s="672">
        <f t="shared" ca="1" si="32"/>
        <v>-1.6972834110818177E-2</v>
      </c>
      <c r="L137" s="672">
        <f t="shared" ca="1" si="32"/>
        <v>-5.8944751214691123E-2</v>
      </c>
      <c r="N137" s="993" t="s">
        <v>126</v>
      </c>
      <c r="O137" s="672">
        <f t="shared" ref="O137:X137" ca="1" si="33">(O136-N136)/ABS(N136)</f>
        <v>0.88189501685852534</v>
      </c>
      <c r="P137" s="672">
        <f t="shared" ca="1" si="33"/>
        <v>-0.34683553510758591</v>
      </c>
      <c r="Q137" s="672">
        <f t="shared" ca="1" si="33"/>
        <v>0.39856163361898606</v>
      </c>
      <c r="R137" s="672">
        <f t="shared" ca="1" si="33"/>
        <v>-2.1227097196310562E-2</v>
      </c>
      <c r="S137" s="672">
        <f t="shared" ca="1" si="33"/>
        <v>0.15858223384965187</v>
      </c>
      <c r="T137" s="672">
        <f t="shared" ca="1" si="33"/>
        <v>-5.7848691964780832E-2</v>
      </c>
      <c r="U137" s="672">
        <f t="shared" ca="1" si="33"/>
        <v>-0.2777526850275473</v>
      </c>
      <c r="V137" s="672">
        <f t="shared" ca="1" si="33"/>
        <v>-1.008489765208976E-2</v>
      </c>
      <c r="W137" s="672">
        <f t="shared" ca="1" si="33"/>
        <v>5.503705110235956E-3</v>
      </c>
      <c r="X137" s="672">
        <f t="shared" ca="1" si="33"/>
        <v>0.12098994980649602</v>
      </c>
    </row>
    <row r="138" spans="2:24">
      <c r="B138" s="37">
        <f ca="1">MATCH(B125,ChartData,0)</f>
        <v>35</v>
      </c>
      <c r="C138" s="36">
        <f t="shared" ref="C138:L138" ca="1" si="34">B138</f>
        <v>35</v>
      </c>
      <c r="D138" s="36">
        <f t="shared" ca="1" si="34"/>
        <v>35</v>
      </c>
      <c r="E138" s="36">
        <f t="shared" ca="1" si="34"/>
        <v>35</v>
      </c>
      <c r="F138" s="36">
        <f t="shared" ca="1" si="34"/>
        <v>35</v>
      </c>
      <c r="G138" s="36">
        <f t="shared" ca="1" si="34"/>
        <v>35</v>
      </c>
      <c r="H138" s="36">
        <f t="shared" ca="1" si="34"/>
        <v>35</v>
      </c>
      <c r="I138" s="36">
        <f t="shared" ca="1" si="34"/>
        <v>35</v>
      </c>
      <c r="J138" s="36">
        <f t="shared" ca="1" si="34"/>
        <v>35</v>
      </c>
      <c r="K138" s="36">
        <f t="shared" ca="1" si="34"/>
        <v>35</v>
      </c>
      <c r="L138" s="36">
        <f t="shared" ca="1" si="34"/>
        <v>35</v>
      </c>
      <c r="N138" s="37">
        <f ca="1">MATCH(N125,ChartData,0)</f>
        <v>36</v>
      </c>
      <c r="O138" s="36">
        <f t="shared" ref="O138:X138" ca="1" si="35">N138</f>
        <v>36</v>
      </c>
      <c r="P138" s="36">
        <f t="shared" ca="1" si="35"/>
        <v>36</v>
      </c>
      <c r="Q138" s="36">
        <f t="shared" ca="1" si="35"/>
        <v>36</v>
      </c>
      <c r="R138" s="36">
        <f t="shared" ca="1" si="35"/>
        <v>36</v>
      </c>
      <c r="S138" s="36">
        <f t="shared" ca="1" si="35"/>
        <v>36</v>
      </c>
      <c r="T138" s="36">
        <f t="shared" ca="1" si="35"/>
        <v>36</v>
      </c>
      <c r="U138" s="36">
        <f t="shared" ca="1" si="35"/>
        <v>36</v>
      </c>
      <c r="V138" s="36">
        <f t="shared" ca="1" si="35"/>
        <v>36</v>
      </c>
      <c r="W138" s="36">
        <f t="shared" ca="1" si="35"/>
        <v>36</v>
      </c>
      <c r="X138" s="36">
        <f t="shared" ca="1" si="35"/>
        <v>36</v>
      </c>
    </row>
    <row r="140" spans="2:24" ht="15">
      <c r="B140" s="1126" t="s">
        <v>781</v>
      </c>
      <c r="C140" s="1126"/>
      <c r="D140" s="1126"/>
      <c r="E140" s="1126"/>
      <c r="F140" s="1126"/>
      <c r="G140" s="1126"/>
      <c r="H140" s="1126"/>
      <c r="I140" s="1126"/>
      <c r="J140" s="1126"/>
      <c r="K140" s="1126"/>
      <c r="L140" s="1126"/>
      <c r="N140" s="1126" t="s">
        <v>782</v>
      </c>
      <c r="O140" s="1126"/>
      <c r="P140" s="1126"/>
      <c r="Q140" s="1126"/>
      <c r="R140" s="1126"/>
      <c r="S140" s="1126"/>
      <c r="T140" s="1126"/>
      <c r="U140" s="1126"/>
      <c r="V140" s="1126"/>
      <c r="W140" s="1126"/>
      <c r="X140" s="1126"/>
    </row>
    <row r="150" spans="2:24">
      <c r="B150" s="983">
        <f ca="1">ChartsData!$D$2</f>
        <v>2000</v>
      </c>
      <c r="C150" s="983">
        <f ca="1">ChartsData!$E$2</f>
        <v>2001</v>
      </c>
      <c r="D150" s="983">
        <f ca="1">ChartsData!$F$2</f>
        <v>2002</v>
      </c>
      <c r="E150" s="983">
        <f ca="1">ChartsData!$G$2</f>
        <v>2003</v>
      </c>
      <c r="F150" s="983">
        <f ca="1">ChartsData!$H$2</f>
        <v>2004</v>
      </c>
      <c r="G150" s="983">
        <f ca="1">ChartsData!$I$2</f>
        <v>2005</v>
      </c>
      <c r="H150" s="983">
        <f ca="1">ChartsData!$J$2</f>
        <v>2006</v>
      </c>
      <c r="I150" s="983">
        <f ca="1">ChartsData!$K$2</f>
        <v>2007</v>
      </c>
      <c r="J150" s="983">
        <f ca="1">ChartsData!$L$2</f>
        <v>2008</v>
      </c>
      <c r="K150" s="983">
        <f ca="1">ChartsData!$M$2</f>
        <v>2009</v>
      </c>
      <c r="L150" s="983" t="str">
        <f ca="1">ChartsData!$N$2</f>
        <v>TTM</v>
      </c>
      <c r="N150" s="983">
        <f ca="1">ChartsData!$D$2</f>
        <v>2000</v>
      </c>
      <c r="O150" s="983">
        <f ca="1">ChartsData!$E$2</f>
        <v>2001</v>
      </c>
      <c r="P150" s="983">
        <f ca="1">ChartsData!$F$2</f>
        <v>2002</v>
      </c>
      <c r="Q150" s="983">
        <f ca="1">ChartsData!$G$2</f>
        <v>2003</v>
      </c>
      <c r="R150" s="983">
        <f ca="1">ChartsData!$H$2</f>
        <v>2004</v>
      </c>
      <c r="S150" s="983">
        <f ca="1">ChartsData!$I$2</f>
        <v>2005</v>
      </c>
      <c r="T150" s="983">
        <f ca="1">ChartsData!$J$2</f>
        <v>2006</v>
      </c>
      <c r="U150" s="983">
        <f ca="1">ChartsData!$K$2</f>
        <v>2007</v>
      </c>
      <c r="V150" s="983">
        <f ca="1">ChartsData!$L$2</f>
        <v>2008</v>
      </c>
      <c r="W150" s="983">
        <f ca="1">ChartsData!$M$2</f>
        <v>2009</v>
      </c>
      <c r="X150" s="983" t="str">
        <f ca="1">ChartsData!$N$2</f>
        <v>TTM</v>
      </c>
    </row>
    <row r="151" spans="2:24">
      <c r="B151" s="671">
        <f ca="1">OFFSET(ChartsData!$B$2,B153,COLUMNS(ChartsData!$D:$D)+1)</f>
        <v>0.46034053156146182</v>
      </c>
      <c r="C151" s="671">
        <f ca="1">OFFSET(ChartsData!$B$2,C153,COLUMNS(ChartsData!$D:$E)+1)</f>
        <v>1.0266735060271865</v>
      </c>
      <c r="D151" s="671">
        <f ca="1">OFFSET(ChartsData!$B$2,D153,COLUMNS(ChartsData!$D:$F)+1)</f>
        <v>1.1318267419962336</v>
      </c>
      <c r="E151" s="671">
        <f ca="1">OFFSET(ChartsData!$B$2,E153,COLUMNS(ChartsData!$D:$G)+1)</f>
        <v>1.5089470061940813</v>
      </c>
      <c r="F151" s="671">
        <f ca="1">OFFSET(ChartsData!$B$2,F153,COLUMNS(ChartsData!$D:$H)+1)</f>
        <v>0.82793555887726289</v>
      </c>
      <c r="G151" s="671">
        <f ca="1">OFFSET(ChartsData!$B$2,G153,COLUMNS(ChartsData!$D:$I)+1)</f>
        <v>1.0789705235371756</v>
      </c>
      <c r="H151" s="671">
        <f ca="1">OFFSET(ChartsData!$B$2,H153,COLUMNS(ChartsData!$D:$J)+1)</f>
        <v>1.4109547123623012</v>
      </c>
      <c r="I151" s="671">
        <f ca="1">OFFSET(ChartsData!$B$2,I153,COLUMNS(ChartsData!$D:$K)+1)</f>
        <v>0.90812954395241241</v>
      </c>
      <c r="J151" s="671">
        <f ca="1">OFFSET(ChartsData!$B$2,J153,COLUMNS(ChartsData!$D:$L)+1)</f>
        <v>0.77583830960036748</v>
      </c>
      <c r="K151" s="671">
        <f ca="1">OFFSET(ChartsData!$B$2,K153,COLUMNS(ChartsData!$D:$M)+1)</f>
        <v>0.89220588235294118</v>
      </c>
      <c r="L151" s="671">
        <f ca="1">OFFSET(ChartsData!$B$2,L153,COLUMNS(ChartsData!$D:$N)+1)</f>
        <v>0.88955099778270508</v>
      </c>
      <c r="N151" s="671">
        <f ca="1">OFFSET(ChartsData!$B$2,N153,COLUMNS(ChartsData!$D:$D)+1)</f>
        <v>2.6550898203592816</v>
      </c>
      <c r="O151" s="671">
        <f ca="1">OFFSET(ChartsData!$B$2,O153,COLUMNS(ChartsData!$D:$E)+1)</f>
        <v>3.2838392124692373</v>
      </c>
      <c r="P151" s="671">
        <f ca="1">OFFSET(ChartsData!$B$2,P153,COLUMNS(ChartsData!$D:$F)+1)</f>
        <v>1.112550907071455</v>
      </c>
      <c r="Q151" s="671">
        <f ca="1">OFFSET(ChartsData!$B$2,Q153,COLUMNS(ChartsData!$D:$G)+1)</f>
        <v>1.7421533571712355</v>
      </c>
      <c r="R151" s="671">
        <f ca="1">OFFSET(ChartsData!$B$2,R153,COLUMNS(ChartsData!$D:$H)+1)</f>
        <v>4.3085566119273988</v>
      </c>
      <c r="S151" s="671">
        <f ca="1">OFFSET(ChartsData!$B$2,S153,COLUMNS(ChartsData!$D:$I)+1)</f>
        <v>4.2504332755632586</v>
      </c>
      <c r="T151" s="671">
        <f ca="1">OFFSET(ChartsData!$B$2,T153,COLUMNS(ChartsData!$D:$J)+1)</f>
        <v>3.5091324200913241</v>
      </c>
      <c r="U151" s="671">
        <f ca="1">OFFSET(ChartsData!$B$2,U153,COLUMNS(ChartsData!$D:$K)+1)</f>
        <v>1.6771437290204456</v>
      </c>
      <c r="V151" s="671">
        <f ca="1">OFFSET(ChartsData!$B$2,V153,COLUMNS(ChartsData!$D:$L)+1)</f>
        <v>1.8220064724919094</v>
      </c>
      <c r="W151" s="671">
        <f ca="1">OFFSET(ChartsData!$B$2,W153,COLUMNS(ChartsData!$D:$M)+1)</f>
        <v>1.1992488634117415</v>
      </c>
      <c r="X151" s="671">
        <f ca="1">OFFSET(ChartsData!$B$2,X153,COLUMNS(ChartsData!$D:$N)+1)</f>
        <v>1.4525910839556462</v>
      </c>
    </row>
    <row r="152" spans="2:24">
      <c r="B152" s="993" t="s">
        <v>126</v>
      </c>
      <c r="C152" s="672">
        <f t="shared" ref="C152:L152" ca="1" si="36">(C151-B151)/ABS(B151)</f>
        <v>1.2302479048384891</v>
      </c>
      <c r="D152" s="672">
        <f t="shared" ca="1" si="36"/>
        <v>0.10242130078523964</v>
      </c>
      <c r="E152" s="672">
        <f t="shared" ca="1" si="36"/>
        <v>0.33319610697014496</v>
      </c>
      <c r="F152" s="672">
        <f t="shared" ca="1" si="36"/>
        <v>-0.45131568207586642</v>
      </c>
      <c r="G152" s="672">
        <f t="shared" ca="1" si="36"/>
        <v>0.30320592221009718</v>
      </c>
      <c r="H152" s="672">
        <f t="shared" ca="1" si="36"/>
        <v>0.30768605961244055</v>
      </c>
      <c r="I152" s="672">
        <f t="shared" ca="1" si="36"/>
        <v>-0.35637229459195757</v>
      </c>
      <c r="J152" s="672">
        <f t="shared" ca="1" si="36"/>
        <v>-0.14567440871517029</v>
      </c>
      <c r="K152" s="672">
        <f t="shared" ca="1" si="36"/>
        <v>0.1499894647023996</v>
      </c>
      <c r="L152" s="672">
        <f t="shared" ca="1" si="36"/>
        <v>-2.9756411863533067E-3</v>
      </c>
      <c r="N152" s="993" t="s">
        <v>126</v>
      </c>
      <c r="O152" s="672">
        <f t="shared" ref="O152:X152" ca="1" si="37">(O151-N151)/ABS(N151)</f>
        <v>0.23680908543609061</v>
      </c>
      <c r="P152" s="672">
        <f t="shared" ca="1" si="37"/>
        <v>-0.66120420791403856</v>
      </c>
      <c r="Q152" s="672">
        <f t="shared" ca="1" si="37"/>
        <v>0.56590889108802245</v>
      </c>
      <c r="R152" s="672">
        <f t="shared" ca="1" si="37"/>
        <v>1.4731213209170497</v>
      </c>
      <c r="S152" s="672">
        <f t="shared" ca="1" si="37"/>
        <v>-1.3490210666662037E-2</v>
      </c>
      <c r="T152" s="672">
        <f t="shared" ca="1" si="37"/>
        <v>-0.17440595050246938</v>
      </c>
      <c r="U152" s="672">
        <f t="shared" ca="1" si="37"/>
        <v>-0.52206314033119372</v>
      </c>
      <c r="V152" s="672">
        <f t="shared" ca="1" si="37"/>
        <v>8.6374674373360036E-2</v>
      </c>
      <c r="W152" s="672">
        <f t="shared" ca="1" si="37"/>
        <v>-0.34179769308307617</v>
      </c>
      <c r="X152" s="672">
        <f t="shared" ca="1" si="37"/>
        <v>0.21125074892559972</v>
      </c>
    </row>
    <row r="153" spans="2:24">
      <c r="B153" s="37">
        <f ca="1">MATCH(B140,ChartData,0)</f>
        <v>37</v>
      </c>
      <c r="C153" s="36">
        <f t="shared" ref="C153:L153" ca="1" si="38">B153</f>
        <v>37</v>
      </c>
      <c r="D153" s="36">
        <f t="shared" ca="1" si="38"/>
        <v>37</v>
      </c>
      <c r="E153" s="36">
        <f t="shared" ca="1" si="38"/>
        <v>37</v>
      </c>
      <c r="F153" s="36">
        <f t="shared" ca="1" si="38"/>
        <v>37</v>
      </c>
      <c r="G153" s="36">
        <f t="shared" ca="1" si="38"/>
        <v>37</v>
      </c>
      <c r="H153" s="36">
        <f t="shared" ca="1" si="38"/>
        <v>37</v>
      </c>
      <c r="I153" s="36">
        <f t="shared" ca="1" si="38"/>
        <v>37</v>
      </c>
      <c r="J153" s="36">
        <f t="shared" ca="1" si="38"/>
        <v>37</v>
      </c>
      <c r="K153" s="36">
        <f t="shared" ca="1" si="38"/>
        <v>37</v>
      </c>
      <c r="L153" s="36">
        <f t="shared" ca="1" si="38"/>
        <v>37</v>
      </c>
      <c r="N153" s="37">
        <f ca="1">MATCH(N140,ChartData,0)</f>
        <v>38</v>
      </c>
      <c r="O153" s="36">
        <f t="shared" ref="O153:X153" ca="1" si="39">N153</f>
        <v>38</v>
      </c>
      <c r="P153" s="36">
        <f t="shared" ca="1" si="39"/>
        <v>38</v>
      </c>
      <c r="Q153" s="36">
        <f t="shared" ca="1" si="39"/>
        <v>38</v>
      </c>
      <c r="R153" s="36">
        <f t="shared" ca="1" si="39"/>
        <v>38</v>
      </c>
      <c r="S153" s="36">
        <f t="shared" ca="1" si="39"/>
        <v>38</v>
      </c>
      <c r="T153" s="36">
        <f t="shared" ca="1" si="39"/>
        <v>38</v>
      </c>
      <c r="U153" s="36">
        <f t="shared" ca="1" si="39"/>
        <v>38</v>
      </c>
      <c r="V153" s="36">
        <f t="shared" ca="1" si="39"/>
        <v>38</v>
      </c>
      <c r="W153" s="36">
        <f t="shared" ca="1" si="39"/>
        <v>38</v>
      </c>
      <c r="X153" s="36">
        <f t="shared" ca="1" si="39"/>
        <v>38</v>
      </c>
    </row>
  </sheetData>
  <sheetCalcPr fullCalcOnLoad="1"/>
  <mergeCells count="22">
    <mergeCell ref="B2:D2"/>
    <mergeCell ref="B3:D3"/>
    <mergeCell ref="N21:X21"/>
    <mergeCell ref="B36:L36"/>
    <mergeCell ref="N36:X36"/>
    <mergeCell ref="B51:L51"/>
    <mergeCell ref="B140:L140"/>
    <mergeCell ref="N140:X140"/>
    <mergeCell ref="B80:L80"/>
    <mergeCell ref="N80:X80"/>
    <mergeCell ref="B95:L95"/>
    <mergeCell ref="B125:L125"/>
    <mergeCell ref="B110:L110"/>
    <mergeCell ref="N110:X110"/>
    <mergeCell ref="N125:X125"/>
    <mergeCell ref="N95:X95"/>
    <mergeCell ref="N51:X51"/>
    <mergeCell ref="N6:X6"/>
    <mergeCell ref="B65:L65"/>
    <mergeCell ref="N65:X65"/>
    <mergeCell ref="B6:L6"/>
    <mergeCell ref="B21:L21"/>
  </mergeCells>
  <dataValidations count="1">
    <dataValidation type="list" allowBlank="1" showInputMessage="1" showErrorMessage="1" sqref="B6:L6 B21:L21 B36:L36 B51:L51 N6:X6 N21:X21 N36:X36 N51:X51 B65:L65 N65:X65 B80:L80 N80:X80 B95:L95 N95:X95 B110:L110 N110:X110 B125:L125 N125:X125 B140:L140 N140:X140">
      <formula1>ChartData</formula1>
    </dataValidation>
  </dataValidations>
  <printOptions horizontalCentered="1"/>
  <pageMargins left="0" right="0" top="0.25" bottom="0.25" header="0.3" footer="0.3"/>
  <pageSetup paperSize="9" scale="41" orientation="portrait" r:id="rId1"/>
  <drawing r:id="rId2"/>
  <legacyDrawing r:id="rId3"/>
</worksheet>
</file>

<file path=xl/worksheets/sheet20.xml><?xml version="1.0" encoding="utf-8"?>
<worksheet xmlns="http://schemas.openxmlformats.org/spreadsheetml/2006/main" xmlns:r="http://schemas.openxmlformats.org/officeDocument/2006/relationships">
  <sheetPr codeName="Sheet6"/>
  <dimension ref="B1:O56"/>
  <sheetViews>
    <sheetView zoomScale="75" zoomScaleNormal="75" workbookViewId="0">
      <selection activeCell="D34" sqref="D34"/>
    </sheetView>
  </sheetViews>
  <sheetFormatPr defaultRowHeight="12.75"/>
  <cols>
    <col min="2" max="2" width="50.140625" bestFit="1" customWidth="1"/>
    <col min="3" max="3" width="5.7109375" bestFit="1" customWidth="1"/>
    <col min="4" max="14" width="13.28515625" customWidth="1"/>
    <col min="17" max="17" width="25.7109375" customWidth="1"/>
  </cols>
  <sheetData>
    <row r="1" spans="2:15">
      <c r="D1">
        <v>9</v>
      </c>
      <c r="E1">
        <v>8</v>
      </c>
      <c r="F1">
        <v>7</v>
      </c>
      <c r="G1">
        <v>6</v>
      </c>
      <c r="H1">
        <v>5</v>
      </c>
      <c r="I1">
        <v>4</v>
      </c>
      <c r="J1">
        <v>3</v>
      </c>
      <c r="K1">
        <v>2</v>
      </c>
      <c r="L1">
        <v>1</v>
      </c>
      <c r="M1">
        <v>0</v>
      </c>
      <c r="O1" t="s">
        <v>125</v>
      </c>
    </row>
    <row r="2" spans="2:15">
      <c r="B2" s="33" t="s">
        <v>124</v>
      </c>
      <c r="C2" s="32" t="s">
        <v>107</v>
      </c>
      <c r="D2">
        <f ca="1">DCFData!B13</f>
        <v>2000</v>
      </c>
      <c r="E2">
        <f ca="1">DCFData!C13</f>
        <v>2001</v>
      </c>
      <c r="F2">
        <f ca="1">DCFData!D13</f>
        <v>2002</v>
      </c>
      <c r="G2">
        <f ca="1">DCFData!E13</f>
        <v>2003</v>
      </c>
      <c r="H2">
        <f ca="1">DCFData!F13</f>
        <v>2004</v>
      </c>
      <c r="I2">
        <f ca="1">DCFData!G13</f>
        <v>2005</v>
      </c>
      <c r="J2">
        <f ca="1">DCFData!H13</f>
        <v>2006</v>
      </c>
      <c r="K2">
        <f ca="1">DCFData!I13</f>
        <v>2007</v>
      </c>
      <c r="L2">
        <f ca="1">DCFData!J13</f>
        <v>2008</v>
      </c>
      <c r="M2">
        <f ca="1">DCFData!K13</f>
        <v>2009</v>
      </c>
      <c r="N2" t="str">
        <f ca="1">DCFData!L13</f>
        <v>TTM</v>
      </c>
    </row>
    <row r="3" spans="2:15">
      <c r="B3" s="33" t="s">
        <v>123</v>
      </c>
      <c r="C3" s="28" t="e">
        <f>NA()</f>
        <v>#N/A</v>
      </c>
      <c r="D3" s="28" t="e">
        <f ca="1">NA()</f>
        <v>#N/A</v>
      </c>
      <c r="E3" s="28" t="e">
        <f ca="1">NA()</f>
        <v>#N/A</v>
      </c>
      <c r="F3" s="28" t="e">
        <f ca="1">NA()</f>
        <v>#N/A</v>
      </c>
      <c r="G3" s="28" t="e">
        <f ca="1">NA()</f>
        <v>#N/A</v>
      </c>
      <c r="H3" s="28" t="e">
        <f ca="1">NA()</f>
        <v>#N/A</v>
      </c>
      <c r="I3" s="28" t="e">
        <f ca="1">NA()</f>
        <v>#N/A</v>
      </c>
      <c r="J3" s="28" t="e">
        <f ca="1">NA()</f>
        <v>#N/A</v>
      </c>
      <c r="K3" s="28" t="e">
        <f ca="1">NA()</f>
        <v>#N/A</v>
      </c>
      <c r="L3" s="28" t="e">
        <f ca="1">NA()</f>
        <v>#N/A</v>
      </c>
      <c r="M3" s="28" t="e">
        <f ca="1">NA()</f>
        <v>#N/A</v>
      </c>
      <c r="N3" s="28" t="e">
        <f ca="1">NA()</f>
        <v>#N/A</v>
      </c>
    </row>
    <row r="4" spans="2:15">
      <c r="B4" s="33" t="s">
        <v>0</v>
      </c>
      <c r="C4" s="29" t="s">
        <v>98</v>
      </c>
      <c r="D4" s="151">
        <f ca="1">DCFData!B14</f>
        <v>2852</v>
      </c>
      <c r="E4" s="151">
        <f ca="1">DCFData!C14</f>
        <v>3341</v>
      </c>
      <c r="F4" s="151">
        <f ca="1">DCFData!D14</f>
        <v>3891</v>
      </c>
      <c r="G4" s="151">
        <f ca="1">DCFData!E14</f>
        <v>4644</v>
      </c>
      <c r="H4" s="151">
        <f ca="1">DCFData!F14</f>
        <v>5213</v>
      </c>
      <c r="I4" s="151">
        <f ca="1">DCFData!G14</f>
        <v>5524</v>
      </c>
      <c r="J4" s="151">
        <f ca="1">DCFData!H14</f>
        <v>4550</v>
      </c>
      <c r="K4" s="151">
        <f ca="1">DCFData!I14</f>
        <v>5502</v>
      </c>
      <c r="L4" s="151">
        <f ca="1">DCFData!J14</f>
        <v>5603</v>
      </c>
      <c r="M4" s="151">
        <f ca="1">DCFData!K14</f>
        <v>6193</v>
      </c>
      <c r="N4" s="151">
        <f ca="1">DCFData!L14</f>
        <v>6720</v>
      </c>
    </row>
    <row r="5" spans="2:15">
      <c r="B5" s="33" t="s">
        <v>541</v>
      </c>
      <c r="C5" s="29" t="s">
        <v>98</v>
      </c>
      <c r="D5" s="151">
        <f ca="1">DCFData!B15</f>
        <v>2217</v>
      </c>
      <c r="E5" s="151">
        <f ca="1">DCFData!C15</f>
        <v>4003</v>
      </c>
      <c r="F5" s="151">
        <f ca="1">DCFData!D15</f>
        <v>3005</v>
      </c>
      <c r="G5" s="151">
        <f ca="1">DCFData!E15</f>
        <v>4385</v>
      </c>
      <c r="H5" s="151">
        <f ca="1">DCFData!F15</f>
        <v>4985</v>
      </c>
      <c r="I5" s="151">
        <f ca="1">DCFData!G15</f>
        <v>4905</v>
      </c>
      <c r="J5" s="151">
        <f ca="1">DCFData!H15</f>
        <v>4611</v>
      </c>
      <c r="K5" s="151">
        <f ca="1">DCFData!I15</f>
        <v>5496</v>
      </c>
      <c r="L5" s="151">
        <f ca="1">DCFData!J15</f>
        <v>5067</v>
      </c>
      <c r="M5" s="151">
        <f ca="1">DCFData!K15</f>
        <v>6067</v>
      </c>
      <c r="N5" s="151">
        <f ca="1">DCFData!L15</f>
        <v>6419</v>
      </c>
    </row>
    <row r="6" spans="2:15">
      <c r="B6" s="33" t="s">
        <v>841</v>
      </c>
      <c r="C6" s="29" t="s">
        <v>98</v>
      </c>
      <c r="D6" s="151">
        <f ca="1">DCFData!B28</f>
        <v>733</v>
      </c>
      <c r="E6" s="151">
        <f ca="1">DCFData!C28</f>
        <v>769</v>
      </c>
      <c r="F6" s="151">
        <f ca="1">DCFData!D28</f>
        <v>851</v>
      </c>
      <c r="G6" s="151">
        <f ca="1">DCFData!E28</f>
        <v>812</v>
      </c>
      <c r="H6" s="151">
        <f ca="1">DCFData!F28</f>
        <v>755</v>
      </c>
      <c r="I6" s="151">
        <f ca="1">DCFData!G28</f>
        <v>899</v>
      </c>
      <c r="J6" s="151">
        <f ca="1">DCFData!H28</f>
        <v>1407</v>
      </c>
      <c r="K6" s="151">
        <f ca="1">DCFData!I28</f>
        <v>1648</v>
      </c>
      <c r="L6" s="151">
        <f ca="1">DCFData!J28</f>
        <v>1968</v>
      </c>
      <c r="M6" s="151">
        <f ca="1">DCFData!K28</f>
        <v>1993</v>
      </c>
      <c r="N6" s="151">
        <f ca="1">DCFData!L28</f>
        <v>1919</v>
      </c>
    </row>
    <row r="7" spans="2:15">
      <c r="B7" s="33" t="s">
        <v>849</v>
      </c>
      <c r="C7" s="29"/>
      <c r="D7" s="151"/>
      <c r="E7" s="151"/>
      <c r="F7" s="151"/>
      <c r="G7" s="151"/>
      <c r="H7" s="151"/>
      <c r="I7" s="151"/>
      <c r="J7" s="151"/>
      <c r="K7" s="151"/>
      <c r="L7" s="151"/>
      <c r="M7" s="151"/>
      <c r="N7" s="151"/>
    </row>
    <row r="8" spans="2:15">
      <c r="B8" s="33" t="s">
        <v>112</v>
      </c>
      <c r="C8" s="29" t="s">
        <v>111</v>
      </c>
      <c r="D8" s="978">
        <f t="shared" ref="D8:N8" ca="1" si="0">+D44</f>
        <v>45.95</v>
      </c>
      <c r="E8" s="978">
        <f t="shared" ca="1" si="0"/>
        <v>35.409999999999997</v>
      </c>
      <c r="F8" s="978">
        <f t="shared" ca="1" si="0"/>
        <v>33.380000000000003</v>
      </c>
      <c r="G8" s="978">
        <f t="shared" ca="1" si="0"/>
        <v>43.24</v>
      </c>
      <c r="H8" s="978">
        <f t="shared" ca="1" si="0"/>
        <v>36.69</v>
      </c>
      <c r="I8" s="978">
        <f t="shared" ca="1" si="0"/>
        <v>35.93</v>
      </c>
      <c r="J8" s="978">
        <f t="shared" ca="1" si="0"/>
        <v>43.12</v>
      </c>
      <c r="K8" s="978">
        <f t="shared" ca="1" si="0"/>
        <v>54.08</v>
      </c>
      <c r="L8" s="978">
        <f t="shared" ca="1" si="0"/>
        <v>41.68</v>
      </c>
      <c r="M8" s="978">
        <f t="shared" ca="1" si="0"/>
        <v>53.09</v>
      </c>
      <c r="N8" s="978">
        <f t="shared" ca="1" si="0"/>
        <v>52.4</v>
      </c>
    </row>
    <row r="9" spans="2:15">
      <c r="B9" s="33" t="s">
        <v>122</v>
      </c>
      <c r="C9" s="29" t="s">
        <v>98</v>
      </c>
      <c r="D9" s="151">
        <f ca="1">[1]!RCHGetElementNumber(Ticker,5396+D$1)</f>
        <v>4464</v>
      </c>
      <c r="E9" s="151">
        <f ca="1">[1]!RCHGetElementNumber(Ticker,5396+E$1)</f>
        <v>6155</v>
      </c>
      <c r="F9" s="151">
        <f ca="1">[1]!RCHGetElementNumber(Ticker,5396+F$1)</f>
        <v>6264</v>
      </c>
      <c r="G9" s="151">
        <f ca="1">[1]!RCHGetElementNumber(Ticker,5396+G$1)</f>
        <v>6071</v>
      </c>
      <c r="H9" s="151">
        <f ca="1">[1]!RCHGetElementNumber(Ticker,5396+H$1)</f>
        <v>6591</v>
      </c>
      <c r="I9" s="151">
        <f ca="1">[1]!RCHGetElementNumber(Ticker,5396+I$1)</f>
        <v>7017</v>
      </c>
      <c r="J9" s="151">
        <f ca="1">[1]!RCHGetElementNumber(Ticker,5396+J$1)</f>
        <v>7246</v>
      </c>
      <c r="K9" s="151">
        <f ca="1">[1]!RCHGetElementNumber(Ticker,5396+K$1)</f>
        <v>8415</v>
      </c>
      <c r="L9" s="151">
        <f ca="1">[1]!RCHGetElementNumber(Ticker,5396+L$1)</f>
        <v>10024</v>
      </c>
      <c r="M9" s="151">
        <f ca="1">[1]!RCHGetElementNumber(Ticker,5396+M$1)</f>
        <v>9780</v>
      </c>
      <c r="N9" s="151">
        <f ca="1">[1]!RCHGetElementNumber(Ticker,8406)+[1]!RCHGetElementNumber(Ticker,8407)+[1]!RCHGetElementNumber(Ticker,8408)+[1]!RCHGetElementNumber(Ticker,8409)</f>
        <v>10208</v>
      </c>
    </row>
    <row r="10" spans="2:15">
      <c r="B10" s="33" t="s">
        <v>121</v>
      </c>
      <c r="C10" s="29" t="s">
        <v>111</v>
      </c>
      <c r="D10" s="151">
        <f t="shared" ref="D10:N10" ca="1" si="1">+D56-D45-D46+D52+D53</f>
        <v>117935.56000000001</v>
      </c>
      <c r="E10" s="151">
        <f t="shared" ca="1" si="1"/>
        <v>87477.34199999999</v>
      </c>
      <c r="F10" s="151">
        <f t="shared" ca="1" si="1"/>
        <v>83017.98000000001</v>
      </c>
      <c r="G10" s="151">
        <f t="shared" ca="1" si="1"/>
        <v>104928.46</v>
      </c>
      <c r="H10" s="151">
        <f t="shared" ca="1" si="1"/>
        <v>84276.217000000004</v>
      </c>
      <c r="I10" s="151">
        <f t="shared" ca="1" si="1"/>
        <v>81533.17</v>
      </c>
      <c r="J10" s="151">
        <f t="shared" ca="1" si="1"/>
        <v>98709.159999999989</v>
      </c>
      <c r="K10" s="151">
        <f t="shared" ca="1" si="1"/>
        <v>130378.44</v>
      </c>
      <c r="L10" s="151">
        <f t="shared" ca="1" si="1"/>
        <v>94743.695999999996</v>
      </c>
      <c r="M10" s="151">
        <f t="shared" ca="1" si="1"/>
        <v>118163.27</v>
      </c>
      <c r="N10" s="151">
        <f t="shared" ca="1" si="1"/>
        <v>117005.4</v>
      </c>
    </row>
    <row r="11" spans="2:15">
      <c r="B11" s="33" t="s">
        <v>539</v>
      </c>
      <c r="C11" s="29" t="s">
        <v>98</v>
      </c>
      <c r="D11" s="139">
        <f ca="1">Statements!E35</f>
        <v>0.88</v>
      </c>
      <c r="E11" s="139">
        <f ca="1">Statements!F35</f>
        <v>1.6</v>
      </c>
      <c r="F11" s="139">
        <f ca="1">Statements!G35</f>
        <v>1.23</v>
      </c>
      <c r="G11" s="139">
        <f ca="1">Statements!H35</f>
        <v>1.77</v>
      </c>
      <c r="H11" s="139">
        <f ca="1">Statements!I35</f>
        <v>2</v>
      </c>
      <c r="I11" s="139">
        <f ca="1">Statements!J35</f>
        <v>2.04</v>
      </c>
      <c r="J11" s="139">
        <f ca="1">Statements!K35</f>
        <v>2.16</v>
      </c>
      <c r="K11" s="139">
        <f ca="1">Statements!L35</f>
        <v>2.57</v>
      </c>
      <c r="L11" s="139">
        <f ca="1">Statements!M35</f>
        <v>2.4900000000000002</v>
      </c>
      <c r="M11" s="139">
        <f ca="1">Statements!N35</f>
        <v>2.93</v>
      </c>
      <c r="N11" s="139">
        <f ca="1">Statements!O35</f>
        <v>0.88</v>
      </c>
    </row>
    <row r="12" spans="2:15">
      <c r="B12" s="33" t="s">
        <v>850</v>
      </c>
      <c r="C12" s="29"/>
    </row>
    <row r="13" spans="2:15">
      <c r="B13" s="33" t="s">
        <v>842</v>
      </c>
      <c r="C13" s="29" t="s">
        <v>98</v>
      </c>
      <c r="D13" s="35">
        <f ca="1">DCFData!B45</f>
        <v>0.10836836445400333</v>
      </c>
      <c r="E13" s="35">
        <f ca="1">DCFData!C45</f>
        <v>0.19923352578140555</v>
      </c>
      <c r="F13" s="35">
        <f ca="1">DCFData!D45</f>
        <v>0.15359844612553669</v>
      </c>
      <c r="G13" s="35">
        <f ca="1">DCFData!E45</f>
        <v>0.20837293290249001</v>
      </c>
      <c r="H13" s="35">
        <f ca="1">DCFData!F45</f>
        <v>0.22698297058555686</v>
      </c>
      <c r="I13" s="35">
        <f ca="1">DCFData!G45</f>
        <v>0.21230090027700832</v>
      </c>
      <c r="J13" s="35">
        <f ca="1">DCFData!H45</f>
        <v>0.19142311524410494</v>
      </c>
      <c r="K13" s="35">
        <f ca="1">DCFData!I45</f>
        <v>0.19045638839796236</v>
      </c>
      <c r="L13" s="35">
        <f ca="1">DCFData!J45</f>
        <v>0.15862133734034561</v>
      </c>
      <c r="M13" s="35">
        <f ca="1">DCFData!K45</f>
        <v>0.19577282994514358</v>
      </c>
      <c r="N13" s="35">
        <f ca="1">DCFData!L45</f>
        <v>0.20477891916033944</v>
      </c>
    </row>
    <row r="14" spans="2:15">
      <c r="B14" s="33" t="s">
        <v>843</v>
      </c>
      <c r="C14" s="29" t="s">
        <v>98</v>
      </c>
      <c r="D14" s="979">
        <f ca="1">D56/D4</f>
        <v>40.033856942496499</v>
      </c>
      <c r="E14" s="979">
        <f t="shared" ref="E14:N14" ca="1" si="2">E56/E4</f>
        <v>26.350296917090688</v>
      </c>
      <c r="F14" s="979">
        <f t="shared" ca="1" si="2"/>
        <v>21.198144435877669</v>
      </c>
      <c r="G14" s="979">
        <f t="shared" ca="1" si="2"/>
        <v>22.732657192075798</v>
      </c>
      <c r="H14" s="979">
        <f t="shared" ca="1" si="2"/>
        <v>16.957072127373873</v>
      </c>
      <c r="I14" s="979">
        <f t="shared" ca="1" si="2"/>
        <v>15.408792541636496</v>
      </c>
      <c r="J14" s="979">
        <f t="shared" ca="1" si="2"/>
        <v>21.967507692307692</v>
      </c>
      <c r="K14" s="979">
        <f t="shared" ca="1" si="2"/>
        <v>22.783976735732463</v>
      </c>
      <c r="L14" s="979">
        <f t="shared" ca="1" si="2"/>
        <v>17.218757094413707</v>
      </c>
      <c r="M14" s="979">
        <f t="shared" ca="1" si="2"/>
        <v>19.742656224769902</v>
      </c>
      <c r="N14" s="979">
        <f t="shared" ca="1" si="2"/>
        <v>17.981309523809522</v>
      </c>
    </row>
    <row r="15" spans="2:15">
      <c r="B15" s="33" t="s">
        <v>844</v>
      </c>
      <c r="C15" s="29" t="s">
        <v>98</v>
      </c>
      <c r="D15" s="35">
        <f ca="1">D4/D56</f>
        <v>2.4978857306613544E-2</v>
      </c>
      <c r="E15" s="35">
        <f t="shared" ref="E15:N15" ca="1" si="3">E4/E56</f>
        <v>3.7950236505737603E-2</v>
      </c>
      <c r="F15" s="35">
        <f t="shared" ca="1" si="3"/>
        <v>4.7173940295807633E-2</v>
      </c>
      <c r="G15" s="35">
        <f t="shared" ca="1" si="3"/>
        <v>4.3989578145250098E-2</v>
      </c>
      <c r="H15" s="35">
        <f t="shared" ca="1" si="3"/>
        <v>5.8972444799930746E-2</v>
      </c>
      <c r="I15" s="35">
        <f t="shared" ca="1" si="3"/>
        <v>6.4898011787612453E-2</v>
      </c>
      <c r="J15" s="35">
        <f t="shared" ca="1" si="3"/>
        <v>4.5521777618412654E-2</v>
      </c>
      <c r="K15" s="35">
        <f t="shared" ca="1" si="3"/>
        <v>4.3890494253871169E-2</v>
      </c>
      <c r="L15" s="35">
        <f t="shared" ca="1" si="3"/>
        <v>5.8076201117003429E-2</v>
      </c>
      <c r="M15" s="35">
        <f t="shared" ca="1" si="3"/>
        <v>5.0651745571366494E-2</v>
      </c>
      <c r="N15" s="35">
        <f t="shared" ca="1" si="3"/>
        <v>5.5613302172229102E-2</v>
      </c>
    </row>
    <row r="16" spans="2:15">
      <c r="B16" s="33" t="s">
        <v>848</v>
      </c>
      <c r="C16" s="29" t="s">
        <v>98</v>
      </c>
      <c r="D16" s="35">
        <f ca="1">DCFData!B44</f>
        <v>0.23103376406836182</v>
      </c>
      <c r="E16" s="35">
        <f ca="1">DCFData!C44</f>
        <v>0.35086335349285652</v>
      </c>
      <c r="F16" s="35">
        <f ca="1">DCFData!D44</f>
        <v>0.22084221356654662</v>
      </c>
      <c r="G16" s="35">
        <f ca="1">DCFData!E44</f>
        <v>0.2835068209736859</v>
      </c>
      <c r="H16" s="35">
        <f ca="1">DCFData!F44</f>
        <v>0.30175544794188863</v>
      </c>
      <c r="I16" s="35">
        <f ca="1">DCFData!G44</f>
        <v>0.31103360811667724</v>
      </c>
      <c r="J16" s="35">
        <f ca="1">DCFData!H44</f>
        <v>0.28930857071150706</v>
      </c>
      <c r="K16" s="35">
        <f ca="1">DCFData!I44</f>
        <v>0.30833099579242634</v>
      </c>
      <c r="L16" s="35">
        <f ca="1">DCFData!J44</f>
        <v>0.33721549314521498</v>
      </c>
      <c r="M16" s="35">
        <f ca="1">DCFData!K44</f>
        <v>0.2742518759605822</v>
      </c>
      <c r="N16" s="35">
        <f ca="1">DCFData!L44</f>
        <v>0.29848872355266215</v>
      </c>
    </row>
    <row r="17" spans="2:14">
      <c r="B17" s="33" t="s">
        <v>119</v>
      </c>
      <c r="C17" s="29" t="s">
        <v>98</v>
      </c>
      <c r="D17" s="35">
        <f ca="1">+D9/D10</f>
        <v>3.7851179067619638E-2</v>
      </c>
      <c r="E17" s="35">
        <f t="shared" ref="E17:N17" ca="1" si="4">+E9/E10</f>
        <v>7.0361077043241668E-2</v>
      </c>
      <c r="F17" s="35">
        <f t="shared" ca="1" si="4"/>
        <v>7.5453534282573481E-2</v>
      </c>
      <c r="G17" s="35">
        <f t="shared" ca="1" si="4"/>
        <v>5.7858468522267455E-2</v>
      </c>
      <c r="H17" s="35">
        <f t="shared" ca="1" si="4"/>
        <v>7.8207117436227588E-2</v>
      </c>
      <c r="I17" s="35">
        <f t="shared" ca="1" si="4"/>
        <v>8.6063132342333801E-2</v>
      </c>
      <c r="J17" s="35">
        <f t="shared" ca="1" si="4"/>
        <v>7.3407574332513825E-2</v>
      </c>
      <c r="K17" s="35">
        <f t="shared" ca="1" si="4"/>
        <v>6.4542879942419931E-2</v>
      </c>
      <c r="L17" s="35">
        <f t="shared" ca="1" si="4"/>
        <v>0.10580123452224199</v>
      </c>
      <c r="M17" s="35">
        <f t="shared" ca="1" si="4"/>
        <v>8.2766836090436557E-2</v>
      </c>
      <c r="N17" s="35">
        <f t="shared" ca="1" si="4"/>
        <v>8.7243836609250516E-2</v>
      </c>
    </row>
    <row r="18" spans="2:14">
      <c r="B18" s="33" t="s">
        <v>118</v>
      </c>
      <c r="C18" s="29" t="s">
        <v>98</v>
      </c>
      <c r="D18" s="35">
        <f ca="1">D9/(D45+D46+D51)</f>
        <v>0.73663366336633662</v>
      </c>
      <c r="E18" s="35">
        <f t="shared" ref="E18:N18" ca="1" si="5">E9/(E45+E46+E51)</f>
        <v>0.96367621731642394</v>
      </c>
      <c r="F18" s="35">
        <f t="shared" ca="1" si="5"/>
        <v>0.75872093023255816</v>
      </c>
      <c r="G18" s="35">
        <f t="shared" ca="1" si="5"/>
        <v>0.63378223196575845</v>
      </c>
      <c r="H18" s="35">
        <f t="shared" ca="1" si="5"/>
        <v>0.51255929699043468</v>
      </c>
      <c r="I18" s="35">
        <f t="shared" ca="1" si="5"/>
        <v>0.66492940396095901</v>
      </c>
      <c r="J18" s="35">
        <f t="shared" ca="1" si="5"/>
        <v>0.76329927314863588</v>
      </c>
      <c r="K18" s="35">
        <f t="shared" ca="1" si="5"/>
        <v>0.65737051792828682</v>
      </c>
      <c r="L18" s="35">
        <f t="shared" ca="1" si="5"/>
        <v>0.75340097707628706</v>
      </c>
      <c r="M18" s="35">
        <f t="shared" ca="1" si="5"/>
        <v>0.52093320549696387</v>
      </c>
      <c r="N18" s="35">
        <f t="shared" ca="1" si="5"/>
        <v>0.57251822770611327</v>
      </c>
    </row>
    <row r="19" spans="2:14">
      <c r="B19" s="33" t="s">
        <v>114</v>
      </c>
      <c r="C19" s="29" t="s">
        <v>98</v>
      </c>
      <c r="D19" s="35">
        <f ca="1">DCFData!B47</f>
        <v>0.10449265623500048</v>
      </c>
      <c r="E19" s="35">
        <f ca="1">DCFData!C47</f>
        <v>0.17705312932149708</v>
      </c>
      <c r="F19" s="35">
        <f ca="1">DCFData!D47</f>
        <v>0.12448471490959552</v>
      </c>
      <c r="G19" s="35">
        <f ca="1">DCFData!E47</f>
        <v>0.15898617511520738</v>
      </c>
      <c r="H19" s="35">
        <f ca="1">DCFData!F47</f>
        <v>0.15472276311169278</v>
      </c>
      <c r="I19" s="35">
        <f ca="1">DCFData!G47</f>
        <v>0.16556223876032217</v>
      </c>
      <c r="J19" s="35">
        <f ca="1">DCFData!H47</f>
        <v>0.16954243567066049</v>
      </c>
      <c r="K19" s="35">
        <f ca="1">DCFData!I47</f>
        <v>0.13822829277311702</v>
      </c>
      <c r="L19" s="35">
        <f ca="1">DCFData!J47</f>
        <v>0.14331548162590391</v>
      </c>
      <c r="M19" s="35">
        <f ca="1">DCFData!K47</f>
        <v>0.14020669392451357</v>
      </c>
      <c r="N19" s="35">
        <f ca="1">DCFData!L47</f>
        <v>0.14982174124000591</v>
      </c>
    </row>
    <row r="20" spans="2:14">
      <c r="B20" s="33" t="s">
        <v>113</v>
      </c>
      <c r="C20" s="29" t="s">
        <v>98</v>
      </c>
      <c r="D20" s="35">
        <f ca="1">DCFData!B48</f>
        <v>0.23368398454272221</v>
      </c>
      <c r="E20" s="35">
        <f ca="1">DCFData!C48</f>
        <v>0.34919936653176137</v>
      </c>
      <c r="F20" s="35">
        <f ca="1">DCFData!D48</f>
        <v>0.25847457627118642</v>
      </c>
      <c r="G20" s="35">
        <f ca="1">DCFData!E48</f>
        <v>0.30851667849538678</v>
      </c>
      <c r="H20" s="35">
        <f ca="1">DCFData!F48</f>
        <v>0.30417320363978662</v>
      </c>
      <c r="I20" s="35">
        <f ca="1">DCFData!G48</f>
        <v>0.29789055334760012</v>
      </c>
      <c r="J20" s="35">
        <f ca="1">DCFData!H48</f>
        <v>0.30023640661938533</v>
      </c>
      <c r="K20" s="35">
        <f ca="1">DCFData!I48</f>
        <v>0.27506438557763063</v>
      </c>
      <c r="L20" s="35">
        <f ca="1">DCFData!J48</f>
        <v>0.28365572489253615</v>
      </c>
      <c r="M20" s="35">
        <f ca="1">DCFData!K48</f>
        <v>0.27517238598330579</v>
      </c>
      <c r="N20" s="35">
        <f ca="1">DCFData!L48</f>
        <v>0.28554197491154715</v>
      </c>
    </row>
    <row r="21" spans="2:14">
      <c r="B21" s="33" t="s">
        <v>851</v>
      </c>
      <c r="C21" s="29"/>
      <c r="D21" s="35"/>
      <c r="E21" s="35"/>
      <c r="F21" s="35"/>
      <c r="G21" s="35"/>
      <c r="H21" s="35"/>
      <c r="I21" s="35"/>
      <c r="J21" s="35"/>
      <c r="K21" s="35"/>
      <c r="L21" s="35"/>
      <c r="M21" s="35"/>
      <c r="N21" s="35"/>
    </row>
    <row r="22" spans="2:14">
      <c r="B22" s="33" t="s">
        <v>468</v>
      </c>
      <c r="C22" s="29" t="s">
        <v>98</v>
      </c>
      <c r="D22" s="129">
        <f ca="1">DCFData!B39</f>
        <v>0.69674454980936551</v>
      </c>
      <c r="E22" s="129">
        <f ca="1">DCFData!C39</f>
        <v>0.69918375472825001</v>
      </c>
      <c r="F22" s="129">
        <f ca="1">DCFData!D39</f>
        <v>0.63683295849519528</v>
      </c>
      <c r="G22" s="129">
        <f ca="1">DCFData!E39</f>
        <v>0.6311537730469492</v>
      </c>
      <c r="H22" s="129">
        <f ca="1">DCFData!F39</f>
        <v>0.65221746653310264</v>
      </c>
      <c r="I22" s="129">
        <f ca="1">DCFData!G39</f>
        <v>0.64529951523545703</v>
      </c>
      <c r="J22" s="129">
        <f ca="1">DCFData!H39</f>
        <v>0.6610760544669545</v>
      </c>
      <c r="K22" s="129">
        <f ca="1">DCFData!I39</f>
        <v>0.63939425442700215</v>
      </c>
      <c r="L22" s="129">
        <f ca="1">DCFData!J39</f>
        <v>0.64393939393939392</v>
      </c>
      <c r="M22" s="129">
        <f ca="1">DCFData!K39</f>
        <v>0.6422071636011617</v>
      </c>
      <c r="N22" s="129">
        <f ca="1">DCFData!L39</f>
        <v>0.64783385439928542</v>
      </c>
    </row>
    <row r="23" spans="2:14">
      <c r="B23" s="33" t="s">
        <v>469</v>
      </c>
      <c r="C23" s="29" t="s">
        <v>98</v>
      </c>
      <c r="D23" s="129">
        <f ca="1">DCFData!B40</f>
        <v>0.18041841822270016</v>
      </c>
      <c r="E23" s="129">
        <f ca="1">DCFData!C40</f>
        <v>0.26637467648815449</v>
      </c>
      <c r="F23" s="129">
        <f ca="1">DCFData!D40</f>
        <v>0.27898180331220607</v>
      </c>
      <c r="G23" s="129">
        <f ca="1">DCFData!E40</f>
        <v>0.24809922068047899</v>
      </c>
      <c r="H23" s="129">
        <f ca="1">DCFData!F40</f>
        <v>0.25944813769237773</v>
      </c>
      <c r="I23" s="129">
        <f ca="1">DCFData!G40</f>
        <v>0.26337430747922436</v>
      </c>
      <c r="J23" s="129">
        <f ca="1">DCFData!H40</f>
        <v>0.26187313184988376</v>
      </c>
      <c r="K23" s="129">
        <f ca="1">DCFData!I40</f>
        <v>0.25130817479294454</v>
      </c>
      <c r="L23" s="129">
        <f ca="1">DCFData!J40</f>
        <v>0.26440020035061357</v>
      </c>
      <c r="M23" s="129">
        <f ca="1">DCFData!K40</f>
        <v>0.26560180703452729</v>
      </c>
      <c r="N23" s="129">
        <f ca="1">DCFData!L40</f>
        <v>0.28277930198430423</v>
      </c>
    </row>
    <row r="24" spans="2:14">
      <c r="B24" s="33" t="s">
        <v>116</v>
      </c>
      <c r="C24" s="29" t="s">
        <v>98</v>
      </c>
      <c r="D24" s="129">
        <f ca="1">DCFData!B41</f>
        <v>0.10641313911428292</v>
      </c>
      <c r="E24" s="129">
        <f ca="1">DCFData!C41</f>
        <v>0.19754130997411906</v>
      </c>
      <c r="F24" s="129">
        <f ca="1">DCFData!D41</f>
        <v>0.15589858924555305</v>
      </c>
      <c r="G24" s="129">
        <f ca="1">DCFData!E41</f>
        <v>0.20656719254894507</v>
      </c>
      <c r="H24" s="129">
        <f ca="1">DCFData!F41</f>
        <v>0.22069938985520443</v>
      </c>
      <c r="I24" s="129">
        <f ca="1">DCFData!G41</f>
        <v>0.21087257617728533</v>
      </c>
      <c r="J24" s="129">
        <f ca="1">DCFData!H41</f>
        <v>0.2108933909000332</v>
      </c>
      <c r="K24" s="129">
        <f ca="1">DCFData!I41</f>
        <v>0.20726340229407075</v>
      </c>
      <c r="L24" s="129">
        <f ca="1">DCFData!J41</f>
        <v>0.18178687703481092</v>
      </c>
      <c r="M24" s="129">
        <f ca="1">DCFData!K41</f>
        <v>0.2202000645369474</v>
      </c>
      <c r="N24" s="129">
        <f ca="1">DCFData!L41</f>
        <v>0.22656798315574556</v>
      </c>
    </row>
    <row r="25" spans="2:14">
      <c r="B25" s="33" t="s">
        <v>852</v>
      </c>
      <c r="C25" s="29"/>
      <c r="D25" s="129"/>
      <c r="E25" s="129"/>
      <c r="F25" s="129"/>
      <c r="G25" s="129"/>
      <c r="H25" s="129"/>
      <c r="I25" s="129"/>
      <c r="J25" s="129"/>
      <c r="K25" s="129"/>
      <c r="L25" s="129"/>
      <c r="M25" s="129"/>
      <c r="N25" s="129"/>
    </row>
    <row r="26" spans="2:14">
      <c r="B26" s="33" t="s">
        <v>845</v>
      </c>
      <c r="C26" s="29" t="s">
        <v>98</v>
      </c>
      <c r="D26" s="28">
        <f ca="1">PioAltZ!C11</f>
        <v>5</v>
      </c>
      <c r="E26" s="28">
        <f ca="1">PioAltZ!D11</f>
        <v>7</v>
      </c>
      <c r="F26" s="28">
        <f ca="1">PioAltZ!E11</f>
        <v>5</v>
      </c>
      <c r="G26" s="28">
        <f ca="1">PioAltZ!F11</f>
        <v>7</v>
      </c>
      <c r="H26" s="28">
        <f ca="1">PioAltZ!G11</f>
        <v>7</v>
      </c>
      <c r="I26" s="28">
        <f ca="1">PioAltZ!H11</f>
        <v>6</v>
      </c>
      <c r="J26" s="28">
        <f ca="1">PioAltZ!I11</f>
        <v>7</v>
      </c>
      <c r="K26" s="28">
        <f ca="1">PioAltZ!J11</f>
        <v>4</v>
      </c>
      <c r="L26" s="28">
        <f ca="1">PioAltZ!K11</f>
        <v>8</v>
      </c>
      <c r="M26" s="28">
        <f ca="1">PioAltZ!L11</f>
        <v>5</v>
      </c>
      <c r="N26" s="28">
        <f ca="1">PioAltZ!M11</f>
        <v>8</v>
      </c>
    </row>
    <row r="27" spans="2:14">
      <c r="B27" s="33" t="s">
        <v>706</v>
      </c>
      <c r="C27" s="29" t="s">
        <v>95</v>
      </c>
      <c r="D27" s="980">
        <f ca="1">PioAltZ!C45</f>
        <v>8.9091636751457948</v>
      </c>
      <c r="E27" s="980">
        <f ca="1">PioAltZ!D45</f>
        <v>7.9780194544270184</v>
      </c>
      <c r="F27" s="980">
        <f ca="1">PioAltZ!E45</f>
        <v>6.9386916386191606</v>
      </c>
      <c r="G27" s="980">
        <f ca="1">PioAltZ!F45</f>
        <v>7.67029125775636</v>
      </c>
      <c r="H27" s="980">
        <f ca="1">PioAltZ!G45</f>
        <v>6.1842081316861863</v>
      </c>
      <c r="I27" s="980">
        <f ca="1">PioAltZ!H45</f>
        <v>6.9840802287429193</v>
      </c>
      <c r="J27" s="980">
        <f ca="1">PioAltZ!I45</f>
        <v>7.7449195925146848</v>
      </c>
      <c r="K27" s="980">
        <f ca="1">PioAltZ!J45</f>
        <v>5.9436737434458111</v>
      </c>
      <c r="L27" s="980">
        <f ca="1">PioAltZ!K45</f>
        <v>5.7981264386627203</v>
      </c>
      <c r="M27" s="980">
        <f ca="1">PioAltZ!L45</f>
        <v>5.6268713992312431</v>
      </c>
      <c r="N27" s="980">
        <f ca="1">PioAltZ!M45</f>
        <v>4.8932863169328442</v>
      </c>
    </row>
    <row r="28" spans="2:14">
      <c r="B28" s="33" t="s">
        <v>702</v>
      </c>
      <c r="C28" s="29" t="s">
        <v>95</v>
      </c>
      <c r="D28" s="980">
        <f ca="1">PioAltZ!C46</f>
        <v>14.32536356503687</v>
      </c>
      <c r="E28" s="980">
        <f ca="1">PioAltZ!D46</f>
        <v>13.250858486519531</v>
      </c>
      <c r="F28" s="980">
        <f ca="1">PioAltZ!E46</f>
        <v>11.800505437172529</v>
      </c>
      <c r="G28" s="980">
        <f ca="1">PioAltZ!F46</f>
        <v>13.161068072809424</v>
      </c>
      <c r="H28" s="980">
        <f ca="1">PioAltZ!G46</f>
        <v>10.707991915834043</v>
      </c>
      <c r="I28" s="980">
        <f ca="1">PioAltZ!H46</f>
        <v>11.999152226174305</v>
      </c>
      <c r="J28" s="980">
        <f ca="1">PioAltZ!I46</f>
        <v>13.214596637967013</v>
      </c>
      <c r="K28" s="980">
        <f ca="1">PioAltZ!J46</f>
        <v>9.982146764635754</v>
      </c>
      <c r="L28" s="980">
        <f ca="1">PioAltZ!K46</f>
        <v>9.6827560167897992</v>
      </c>
      <c r="M28" s="980">
        <f ca="1">PioAltZ!L46</f>
        <v>9.9659993379213869</v>
      </c>
      <c r="N28" s="980">
        <f ca="1">PioAltZ!M46</f>
        <v>9.3981034637627019</v>
      </c>
    </row>
    <row r="29" spans="2:14">
      <c r="B29" s="33" t="s">
        <v>846</v>
      </c>
      <c r="C29" s="29" t="s">
        <v>98</v>
      </c>
      <c r="D29" s="621" t="str">
        <f ca="1">PioAltZ!C72</f>
        <v>NA</v>
      </c>
      <c r="E29" s="621">
        <f ca="1">PioAltZ!D72</f>
        <v>-2.8587037160686544</v>
      </c>
      <c r="F29" s="621">
        <f ca="1">PioAltZ!E72</f>
        <v>-2.7292049464284012</v>
      </c>
      <c r="G29" s="621">
        <f ca="1">PioAltZ!F72</f>
        <v>-2.9041826412429814</v>
      </c>
      <c r="H29" s="621">
        <f ca="1">PioAltZ!G72</f>
        <v>-2.9894530145967746</v>
      </c>
      <c r="I29" s="621">
        <f ca="1">PioAltZ!H72</f>
        <v>-2.8311786033497195</v>
      </c>
      <c r="J29" s="621">
        <f ca="1">PioAltZ!I72</f>
        <v>-2.7779207400320827</v>
      </c>
      <c r="K29" s="621">
        <f ca="1">PioAltZ!J72</f>
        <v>-2.6453868022859939</v>
      </c>
      <c r="L29" s="621">
        <f ca="1">PioAltZ!K72</f>
        <v>-3.019724729725858</v>
      </c>
      <c r="M29" s="621">
        <f ca="1">PioAltZ!L72</f>
        <v>-2.7773939743593314</v>
      </c>
      <c r="N29" s="621">
        <f ca="1">PioAltZ!M72</f>
        <v>-2.9409525997574733</v>
      </c>
    </row>
    <row r="30" spans="2:14">
      <c r="B30" s="33" t="s">
        <v>847</v>
      </c>
      <c r="C30" s="29" t="s">
        <v>98</v>
      </c>
      <c r="D30" s="621" t="str">
        <f ca="1">PioAltZ!C73</f>
        <v>NA</v>
      </c>
      <c r="E30" s="621">
        <f ca="1">PioAltZ!D73</f>
        <v>-2.3734736335860882</v>
      </c>
      <c r="F30" s="621">
        <f ca="1">PioAltZ!E73</f>
        <v>-2.4075827162389558</v>
      </c>
      <c r="G30" s="621">
        <f ca="1">PioAltZ!F73</f>
        <v>-2.645672068482908</v>
      </c>
      <c r="H30" s="621">
        <f ca="1">PioAltZ!G73</f>
        <v>-2.6886970907498746</v>
      </c>
      <c r="I30" s="621">
        <f ca="1">PioAltZ!H73</f>
        <v>-2.6342106081542225</v>
      </c>
      <c r="J30" s="621">
        <f ca="1">PioAltZ!I73</f>
        <v>-2.4422057571486615</v>
      </c>
      <c r="K30" s="621">
        <f ca="1">PioAltZ!J73</f>
        <v>-2.3525868063672424</v>
      </c>
      <c r="L30" s="621">
        <f ca="1">PioAltZ!K73</f>
        <v>-2.7661496449184177</v>
      </c>
      <c r="M30" s="621">
        <f ca="1">PioAltZ!L73</f>
        <v>-2.4266991978492394</v>
      </c>
      <c r="N30" s="621">
        <f ca="1">PioAltZ!M73</f>
        <v>-2.6454541841182744</v>
      </c>
    </row>
    <row r="31" spans="2:14">
      <c r="B31" s="33" t="s">
        <v>853</v>
      </c>
      <c r="C31" s="29"/>
      <c r="D31" s="34"/>
      <c r="E31" s="34"/>
      <c r="F31" s="34"/>
      <c r="G31" s="34"/>
      <c r="H31" s="34"/>
      <c r="I31" s="34"/>
      <c r="J31" s="34"/>
      <c r="K31" s="34"/>
      <c r="L31" s="34"/>
      <c r="M31" s="34"/>
      <c r="N31" s="34"/>
    </row>
    <row r="32" spans="2:14">
      <c r="B32" s="33" t="s">
        <v>110</v>
      </c>
      <c r="C32" s="29" t="s">
        <v>95</v>
      </c>
      <c r="D32" s="34">
        <f t="shared" ref="D32:N32" ca="1" si="6">+D48/D49</f>
        <v>0.71022422486857628</v>
      </c>
      <c r="E32" s="34">
        <f t="shared" ca="1" si="6"/>
        <v>0.85075335152449871</v>
      </c>
      <c r="F32" s="34">
        <f t="shared" ca="1" si="6"/>
        <v>1.0014984334559325</v>
      </c>
      <c r="G32" s="34">
        <f t="shared" ca="1" si="6"/>
        <v>1.0646715698706568</v>
      </c>
      <c r="H32" s="34">
        <f t="shared" ca="1" si="6"/>
        <v>1.1023607693008841</v>
      </c>
      <c r="I32" s="34">
        <f t="shared" ca="1" si="6"/>
        <v>1.0420902806018706</v>
      </c>
      <c r="J32" s="34">
        <f t="shared" ca="1" si="6"/>
        <v>0.94949381327334081</v>
      </c>
      <c r="K32" s="34">
        <f t="shared" ca="1" si="6"/>
        <v>0.91531190926275996</v>
      </c>
      <c r="L32" s="34">
        <f t="shared" ca="1" si="6"/>
        <v>0.93748075146288878</v>
      </c>
      <c r="M32" s="34">
        <f t="shared" ca="1" si="6"/>
        <v>1.2791341738940309</v>
      </c>
      <c r="N32" s="34">
        <f t="shared" ca="1" si="6"/>
        <v>1.266877714790547</v>
      </c>
    </row>
    <row r="33" spans="2:14">
      <c r="B33" s="33" t="s">
        <v>109</v>
      </c>
      <c r="C33" s="29" t="s">
        <v>95</v>
      </c>
      <c r="D33" s="34">
        <f t="shared" ref="D33:N33" ca="1" si="7">(D48-D55)/D49</f>
        <v>0.59585881343203517</v>
      </c>
      <c r="E33" s="34">
        <f t="shared" ca="1" si="7"/>
        <v>0.72559022422588682</v>
      </c>
      <c r="F33" s="34">
        <f t="shared" ca="1" si="7"/>
        <v>0.82522817054897157</v>
      </c>
      <c r="G33" s="34">
        <f t="shared" ca="1" si="7"/>
        <v>0.9059092061881816</v>
      </c>
      <c r="H33" s="34">
        <f t="shared" ca="1" si="7"/>
        <v>0.97292863002461039</v>
      </c>
      <c r="I33" s="34">
        <f t="shared" ca="1" si="7"/>
        <v>0.89731598210654739</v>
      </c>
      <c r="J33" s="34">
        <f t="shared" ca="1" si="7"/>
        <v>0.7649043869516311</v>
      </c>
      <c r="K33" s="34">
        <f t="shared" ca="1" si="7"/>
        <v>0.7474480151228734</v>
      </c>
      <c r="L33" s="34">
        <f t="shared" ca="1" si="7"/>
        <v>0.76909454881429007</v>
      </c>
      <c r="M33" s="34">
        <f t="shared" ca="1" si="7"/>
        <v>1.1075723343779609</v>
      </c>
      <c r="N33" s="34">
        <f t="shared" ca="1" si="7"/>
        <v>1.0955606272546565</v>
      </c>
    </row>
    <row r="34" spans="2:14">
      <c r="B34" s="33" t="s">
        <v>64</v>
      </c>
      <c r="C34" s="29" t="s">
        <v>98</v>
      </c>
      <c r="D34" s="34">
        <f ca="1">DCFData!B46</f>
        <v>5.8198874296435275</v>
      </c>
      <c r="E34" s="34">
        <f ca="1">DCFData!C46</f>
        <v>5.7289099526066352</v>
      </c>
      <c r="F34" s="34">
        <f ca="1">DCFData!D46</f>
        <v>5.4907264296754255</v>
      </c>
      <c r="G34" s="34">
        <f ca="1">DCFData!E46</f>
        <v>6.1996805111821089</v>
      </c>
      <c r="H34" s="34">
        <f ca="1">DCFData!F46</f>
        <v>5.3788732394366194</v>
      </c>
      <c r="I34" s="34">
        <f ca="1">DCFData!G46</f>
        <v>5.7549157303370784</v>
      </c>
      <c r="J34" s="34">
        <f ca="1">DCFData!H46</f>
        <v>4.975015234613041</v>
      </c>
      <c r="K34" s="34">
        <f ca="1">DCFData!I46</f>
        <v>4.6873873873873872</v>
      </c>
      <c r="L34" s="34">
        <f ca="1">DCFData!J46</f>
        <v>5.2007315957933242</v>
      </c>
      <c r="M34" s="34">
        <f ca="1">DCFData!K46</f>
        <v>4.7102803738317753</v>
      </c>
      <c r="N34" s="34">
        <f ca="1">DCFData!L46</f>
        <v>4.7438762354963471</v>
      </c>
    </row>
    <row r="35" spans="2:14">
      <c r="B35" s="33" t="s">
        <v>854</v>
      </c>
      <c r="C35" s="29"/>
      <c r="D35" s="34"/>
      <c r="E35" s="34"/>
      <c r="F35" s="34"/>
      <c r="G35" s="34"/>
      <c r="H35" s="34"/>
      <c r="I35" s="34"/>
      <c r="J35" s="34"/>
      <c r="K35" s="34"/>
      <c r="L35" s="34"/>
      <c r="M35" s="34"/>
      <c r="N35" s="34"/>
    </row>
    <row r="36" spans="2:14">
      <c r="B36" s="977" t="s">
        <v>321</v>
      </c>
      <c r="C36" s="29" t="s">
        <v>98</v>
      </c>
      <c r="D36" s="129">
        <f ca="1">DCFData!B24</f>
        <v>0.35951750514857311</v>
      </c>
      <c r="E36" s="129">
        <f ca="1">DCFData!C24</f>
        <v>0.29823633156966489</v>
      </c>
      <c r="F36" s="129">
        <f ca="1">DCFData!D24</f>
        <v>0.2769594471722131</v>
      </c>
      <c r="G36" s="129">
        <f ca="1">DCFData!E24</f>
        <v>0.20891719745222931</v>
      </c>
      <c r="H36" s="129">
        <f ca="1">DCFData!F24</f>
        <v>0.22099003535840567</v>
      </c>
      <c r="I36" s="129">
        <f ca="1">DCFData!G24</f>
        <v>0.27174887892376681</v>
      </c>
      <c r="J36" s="129">
        <f ca="1">DCFData!H24</f>
        <v>0.22772879294618426</v>
      </c>
      <c r="K36" s="129">
        <f ca="1">DCFData!I24</f>
        <v>0.24031500063508193</v>
      </c>
      <c r="L36" s="129">
        <f ca="1">DCFData!J24</f>
        <v>0.2193843258502487</v>
      </c>
      <c r="M36" s="129">
        <f ca="1">DCFData!K24</f>
        <v>0.22803487592219987</v>
      </c>
      <c r="N36" s="129">
        <f ca="1">DCFData!L24</f>
        <v>0.22924265179146106</v>
      </c>
    </row>
    <row r="37" spans="2:14">
      <c r="B37" s="977" t="s">
        <v>131</v>
      </c>
      <c r="C37" s="29" t="s">
        <v>98</v>
      </c>
      <c r="D37" s="129">
        <f ca="1">DCFData!B51</f>
        <v>1.2363675397166165</v>
      </c>
      <c r="E37" s="129">
        <f ca="1">DCFData!C51</f>
        <v>0.97228576456097127</v>
      </c>
      <c r="F37" s="129">
        <f ca="1">DCFData!D51</f>
        <v>1.0763559322033898</v>
      </c>
      <c r="G37" s="129">
        <f ca="1">DCFData!E51</f>
        <v>0.94052519517388222</v>
      </c>
      <c r="H37" s="129">
        <f ca="1">DCFData!F51</f>
        <v>0.96592406652023843</v>
      </c>
      <c r="I37" s="129">
        <f ca="1">DCFData!G51</f>
        <v>0.79926627942525219</v>
      </c>
      <c r="J37" s="129">
        <f ca="1">DCFData!H51</f>
        <v>0.77086288416075655</v>
      </c>
      <c r="K37" s="129">
        <f ca="1">DCFData!I51</f>
        <v>0.98992825607064017</v>
      </c>
      <c r="L37" s="129">
        <f ca="1">DCFData!J51</f>
        <v>0.97923993747557636</v>
      </c>
      <c r="M37" s="129">
        <f ca="1">DCFData!K51</f>
        <v>0.96261946046211544</v>
      </c>
      <c r="N37" s="129">
        <f ca="1">DCFData!L51</f>
        <v>0.90587809585075585</v>
      </c>
    </row>
    <row r="38" spans="2:14">
      <c r="B38" s="977" t="s">
        <v>780</v>
      </c>
      <c r="C38" s="29" t="s">
        <v>98</v>
      </c>
      <c r="D38" s="129">
        <f ca="1">DCFData!B57</f>
        <v>0.192481333564855</v>
      </c>
      <c r="E38" s="129">
        <f ca="1">DCFData!C57</f>
        <v>0.36222966247398425</v>
      </c>
      <c r="F38" s="129">
        <f ca="1">DCFData!D57</f>
        <v>0.23659554365797969</v>
      </c>
      <c r="G38" s="129">
        <f ca="1">DCFData!E57</f>
        <v>0.33089345004527621</v>
      </c>
      <c r="H38" s="129">
        <f ca="1">DCFData!F57</f>
        <v>0.32386954261954259</v>
      </c>
      <c r="I38" s="129">
        <f ca="1">DCFData!G57</f>
        <v>0.37522949816401469</v>
      </c>
      <c r="J38" s="129">
        <f ca="1">DCFData!H57</f>
        <v>0.3535229625086253</v>
      </c>
      <c r="K38" s="129">
        <f ca="1">DCFData!I57</f>
        <v>0.25533101045296169</v>
      </c>
      <c r="L38" s="129">
        <f ca="1">DCFData!J57</f>
        <v>0.25275602334513891</v>
      </c>
      <c r="M38" s="129">
        <f ca="1">DCFData!K57</f>
        <v>0.25414711796246647</v>
      </c>
      <c r="N38" s="129">
        <f ca="1">DCFData!L57</f>
        <v>0.28489636500821092</v>
      </c>
    </row>
    <row r="39" spans="2:14">
      <c r="B39" s="977" t="s">
        <v>781</v>
      </c>
      <c r="C39" s="29" t="s">
        <v>98</v>
      </c>
      <c r="D39" s="129">
        <f ca="1">DCFData!B58</f>
        <v>0.46034053156146182</v>
      </c>
      <c r="E39" s="129">
        <f ca="1">DCFData!C58</f>
        <v>1.0266735060271865</v>
      </c>
      <c r="F39" s="129">
        <f ca="1">DCFData!D58</f>
        <v>1.1318267419962336</v>
      </c>
      <c r="G39" s="129">
        <f ca="1">DCFData!E58</f>
        <v>1.5089470061940813</v>
      </c>
      <c r="H39" s="129">
        <f ca="1">DCFData!F58</f>
        <v>0.82793555887726289</v>
      </c>
      <c r="I39" s="129">
        <f ca="1">DCFData!G58</f>
        <v>1.0789705235371756</v>
      </c>
      <c r="J39" s="129">
        <f ca="1">DCFData!H58</f>
        <v>1.4109547123623012</v>
      </c>
      <c r="K39" s="129">
        <f ca="1">DCFData!I58</f>
        <v>0.90812954395241241</v>
      </c>
      <c r="L39" s="129">
        <f ca="1">DCFData!J58</f>
        <v>0.77583830960036748</v>
      </c>
      <c r="M39" s="129">
        <f ca="1">DCFData!K58</f>
        <v>0.89220588235294118</v>
      </c>
      <c r="N39" s="129">
        <f ca="1">DCFData!L58</f>
        <v>0.88955099778270508</v>
      </c>
    </row>
    <row r="40" spans="2:14">
      <c r="B40" s="977" t="s">
        <v>782</v>
      </c>
      <c r="C40" s="29" t="s">
        <v>98</v>
      </c>
      <c r="D40" s="129">
        <f ca="1">DCFData!B59</f>
        <v>2.6550898203592816</v>
      </c>
      <c r="E40" s="129">
        <f ca="1">DCFData!C59</f>
        <v>3.2838392124692373</v>
      </c>
      <c r="F40" s="129">
        <f ca="1">DCFData!D59</f>
        <v>1.112550907071455</v>
      </c>
      <c r="G40" s="129">
        <f ca="1">DCFData!E59</f>
        <v>1.7421533571712355</v>
      </c>
      <c r="H40" s="129">
        <f ca="1">DCFData!F59</f>
        <v>4.3085566119273988</v>
      </c>
      <c r="I40" s="129">
        <f ca="1">DCFData!G59</f>
        <v>4.2504332755632586</v>
      </c>
      <c r="J40" s="129">
        <f ca="1">DCFData!H59</f>
        <v>3.5091324200913241</v>
      </c>
      <c r="K40" s="129">
        <f ca="1">DCFData!I59</f>
        <v>1.6771437290204456</v>
      </c>
      <c r="L40" s="129">
        <f ca="1">DCFData!J59</f>
        <v>1.8220064724919094</v>
      </c>
      <c r="M40" s="129">
        <f ca="1">DCFData!K59</f>
        <v>1.1992488634117415</v>
      </c>
      <c r="N40" s="129">
        <f ca="1">DCFData!L59</f>
        <v>1.4525910839556462</v>
      </c>
    </row>
    <row r="41" spans="2:14">
      <c r="B41" s="33"/>
      <c r="C41" s="29"/>
      <c r="D41" s="34"/>
      <c r="E41" s="34"/>
      <c r="F41" s="34"/>
      <c r="G41" s="34"/>
      <c r="H41" s="34"/>
      <c r="I41" s="34"/>
      <c r="J41" s="34"/>
      <c r="K41" s="34"/>
      <c r="L41" s="34"/>
      <c r="M41" s="34"/>
      <c r="N41" s="34"/>
    </row>
    <row r="42" spans="2:14">
      <c r="B42" s="33" t="s">
        <v>108</v>
      </c>
      <c r="C42" s="32" t="s">
        <v>107</v>
      </c>
      <c r="D42" s="31">
        <f t="shared" ref="D42:N42" ca="1" si="8">D2</f>
        <v>2000</v>
      </c>
      <c r="E42" s="31">
        <f t="shared" ca="1" si="8"/>
        <v>2001</v>
      </c>
      <c r="F42" s="31">
        <f t="shared" ca="1" si="8"/>
        <v>2002</v>
      </c>
      <c r="G42" s="31">
        <f t="shared" ca="1" si="8"/>
        <v>2003</v>
      </c>
      <c r="H42" s="31">
        <f t="shared" ca="1" si="8"/>
        <v>2004</v>
      </c>
      <c r="I42" s="31">
        <f t="shared" ca="1" si="8"/>
        <v>2005</v>
      </c>
      <c r="J42" s="31">
        <f t="shared" ca="1" si="8"/>
        <v>2006</v>
      </c>
      <c r="K42" s="31">
        <f t="shared" ca="1" si="8"/>
        <v>2007</v>
      </c>
      <c r="L42" s="31">
        <f t="shared" ca="1" si="8"/>
        <v>2008</v>
      </c>
      <c r="M42" s="31">
        <f t="shared" ca="1" si="8"/>
        <v>2009</v>
      </c>
      <c r="N42" s="31" t="str">
        <f t="shared" ca="1" si="8"/>
        <v>TTM</v>
      </c>
    </row>
    <row r="43" spans="2:14">
      <c r="B43" t="s">
        <v>106</v>
      </c>
      <c r="C43" s="30" t="s">
        <v>94</v>
      </c>
      <c r="D43" t="str">
        <f ca="1">[1]!RCHGetElementNumber(Ticker,5206+D$1)</f>
        <v>2001-02-02</v>
      </c>
      <c r="E43" t="str">
        <f ca="1">[1]!RCHGetElementNumber(Ticker,5206+E$1)</f>
        <v>2002-01-29</v>
      </c>
      <c r="F43" t="str">
        <f ca="1">[1]!RCHGetElementNumber(Ticker,5206+F$1)</f>
        <v>2003-02-14</v>
      </c>
      <c r="G43" t="str">
        <f ca="1">[1]!RCHGetElementNumber(Ticker,5206+G$1)</f>
        <v>2004-02-11</v>
      </c>
      <c r="H43" t="str">
        <f ca="1">[1]!RCHGetElementNumber(Ticker,5206+H$1)</f>
        <v>2005-02-17</v>
      </c>
      <c r="I43" t="str">
        <f ca="1">[1]!RCHGetElementNumber(Ticker,5206+I$1)</f>
        <v>2006-02-07</v>
      </c>
      <c r="J43" t="str">
        <f ca="1">[1]!RCHGetElementNumber(Ticker,5206+J$1)</f>
        <v>2007-02-14</v>
      </c>
      <c r="K43" t="str">
        <f ca="1">[1]!RCHGetElementNumber(Ticker,5206+K$1)</f>
        <v>2008-02-14</v>
      </c>
      <c r="L43" t="str">
        <f ca="1">[1]!RCHGetElementNumber(Ticker,5206+L$1)</f>
        <v>2009-02-13</v>
      </c>
      <c r="M43" t="str">
        <f ca="1">[1]!RCHGetElementNumber(Ticker,5206+M$1)</f>
        <v>2010-02-12</v>
      </c>
    </row>
    <row r="44" spans="2:14">
      <c r="B44" t="s">
        <v>105</v>
      </c>
      <c r="C44" s="30" t="s">
        <v>94</v>
      </c>
      <c r="D44">
        <f ca="1">[1]!RCHGetYahooHistory(Ticker,YEAR(D43),MONTH(D43),DAY(D43),YEAR(D43),MONTH(D43),DAY(D43),"d","A",0)</f>
        <v>45.95</v>
      </c>
      <c r="E44">
        <f ca="1">[1]!RCHGetYahooHistory(Ticker,YEAR(E43),MONTH(E43),DAY(E43),YEAR(E43),MONTH(E43),DAY(E43),"d","A",0)</f>
        <v>35.409999999999997</v>
      </c>
      <c r="F44">
        <f ca="1">[1]!RCHGetYahooHistory(Ticker,YEAR(F43),MONTH(F43),DAY(F43),YEAR(F43),MONTH(F43),DAY(F43),"d","A",0)</f>
        <v>33.380000000000003</v>
      </c>
      <c r="G44">
        <f ca="1">[1]!RCHGetYahooHistory(Ticker,YEAR(G43),MONTH(G43),DAY(G43),YEAR(G43),MONTH(G43),DAY(G43),"d","A",0)</f>
        <v>43.24</v>
      </c>
      <c r="H44">
        <f ca="1">[1]!RCHGetYahooHistory(Ticker,YEAR(H43),MONTH(H43),DAY(H43),YEAR(H43),MONTH(H43),DAY(H43),"d","A",0)</f>
        <v>36.69</v>
      </c>
      <c r="I44">
        <f ca="1">[1]!RCHGetYahooHistory(Ticker,YEAR(I43),MONTH(I43),DAY(I43),YEAR(I43),MONTH(I43),DAY(I43),"d","A",0)</f>
        <v>35.93</v>
      </c>
      <c r="J44">
        <f ca="1">[1]!RCHGetYahooHistory(Ticker,YEAR(J43),MONTH(J43),DAY(J43),YEAR(J43),MONTH(J43),DAY(J43),"d","A",0)</f>
        <v>43.12</v>
      </c>
      <c r="K44">
        <f ca="1">[1]!RCHGetYahooHistory(Ticker,YEAR(K43),MONTH(K43),DAY(K43),YEAR(K43),MONTH(K43),DAY(K43),"d","A",0)</f>
        <v>54.08</v>
      </c>
      <c r="L44">
        <f ca="1">[1]!RCHGetYahooHistory(Ticker,YEAR(L43),MONTH(L43),DAY(L43),YEAR(L43),MONTH(L43),DAY(L43),"d","A",0)</f>
        <v>41.68</v>
      </c>
      <c r="M44">
        <f ca="1">[1]!RCHGetYahooHistory(Ticker,YEAR(M43),MONTH(M43),DAY(M43),YEAR(M43),MONTH(M43),DAY(M43),"d","A",0)</f>
        <v>53.09</v>
      </c>
      <c r="N44">
        <f ca="1">[1]!RCHGetYahooQuotes(Ticker,"l1")</f>
        <v>52.4</v>
      </c>
    </row>
    <row r="45" spans="2:14">
      <c r="B45" t="s">
        <v>104</v>
      </c>
      <c r="C45" s="29" t="s">
        <v>95</v>
      </c>
      <c r="D45">
        <f ca="1">[1]!RCHGetElementNumber(Ticker,5946+D$1)</f>
        <v>1819</v>
      </c>
      <c r="E45">
        <f ca="1">[1]!RCHGetElementNumber(Ticker,5946+E$1)</f>
        <v>1866</v>
      </c>
      <c r="F45">
        <f ca="1">[1]!RCHGetElementNumber(Ticker,5946+F$1)</f>
        <v>2126</v>
      </c>
      <c r="G45">
        <f ca="1">[1]!RCHGetElementNumber(Ticker,5946+G$1)</f>
        <v>3362</v>
      </c>
      <c r="H45">
        <f ca="1">[1]!RCHGetElementNumber(Ticker,5946+H$1)</f>
        <v>6707</v>
      </c>
      <c r="I45">
        <f ca="1">[1]!RCHGetElementNumber(Ticker,5946+I$1)</f>
        <v>4701</v>
      </c>
      <c r="J45">
        <f ca="1">[1]!RCHGetElementNumber(Ticker,5946+J$1)</f>
        <v>2440</v>
      </c>
      <c r="K45">
        <f ca="1">[1]!RCHGetElementNumber(Ticker,5946+K$1)</f>
        <v>4093</v>
      </c>
      <c r="L45">
        <f ca="1">[1]!RCHGetElementNumber(Ticker,5946+L$1)</f>
        <v>4701</v>
      </c>
      <c r="M45">
        <f ca="1">[1]!RCHGetElementNumber(Ticker,5946+M$1)</f>
        <v>7021</v>
      </c>
      <c r="N45">
        <f ca="1">[1]!RCHGetElementNumber(Ticker,9506)</f>
        <v>5684</v>
      </c>
    </row>
    <row r="46" spans="2:14">
      <c r="B46" t="s">
        <v>103</v>
      </c>
      <c r="C46" s="29" t="s">
        <v>95</v>
      </c>
      <c r="D46">
        <f ca="1">[1]!RCHGetElementNumber(Ticker,5966+D$1)</f>
        <v>73</v>
      </c>
      <c r="E46">
        <f ca="1">[1]!RCHGetElementNumber(Ticker,5966+E$1)</f>
        <v>68</v>
      </c>
      <c r="F46">
        <f ca="1">[1]!RCHGetElementNumber(Ticker,5966+F$1)</f>
        <v>219</v>
      </c>
      <c r="G46">
        <f ca="1">[1]!RCHGetElementNumber(Ticker,5966+G$1)</f>
        <v>120</v>
      </c>
      <c r="H46">
        <f ca="1">[1]!RCHGetElementNumber(Ticker,5966+H$1)</f>
        <v>61</v>
      </c>
      <c r="I46">
        <f ca="1">[1]!RCHGetElementNumber(Ticker,5966+I$1)</f>
        <v>66</v>
      </c>
      <c r="J46">
        <f ca="1">[1]!RCHGetElementNumber(Ticker,5966+J$1)</f>
        <v>150</v>
      </c>
      <c r="K46">
        <f ca="1">[1]!RCHGetElementNumber(Ticker,5966+K$1)</f>
        <v>215</v>
      </c>
      <c r="L46">
        <f ca="1">[1]!RCHGetElementNumber(Ticker,5966+L$1)</f>
        <v>278</v>
      </c>
      <c r="M46">
        <f ca="1">[1]!RCHGetElementNumber(Ticker,5966+M$1)</f>
        <v>2192</v>
      </c>
      <c r="N46">
        <f ca="1">[1]!RCHGetElementNumber(Ticker,9546)</f>
        <v>3110</v>
      </c>
    </row>
    <row r="47" spans="2:14">
      <c r="B47" t="s">
        <v>102</v>
      </c>
      <c r="C47" s="29" t="s">
        <v>95</v>
      </c>
      <c r="D47" s="28">
        <f ca="1">[1]!RCHGetElementNumber(Ticker,6646+D$1)</f>
        <v>2484.8000000000002</v>
      </c>
      <c r="E47" s="28">
        <f ca="1">[1]!RCHGetElementNumber(Ticker,6646+E$1)</f>
        <v>2486.1999999999998</v>
      </c>
      <c r="F47" s="28">
        <f ca="1">[1]!RCHGetElementNumber(Ticker,6646+F$1)</f>
        <v>2471</v>
      </c>
      <c r="G47" s="28">
        <f ca="1">[1]!RCHGetElementNumber(Ticker,6646+G$1)</f>
        <v>2441.5</v>
      </c>
      <c r="H47" s="28">
        <f ca="1">[1]!RCHGetElementNumber(Ticker,6646+H$1)</f>
        <v>2409.3000000000002</v>
      </c>
      <c r="I47" s="28">
        <f ca="1">[1]!RCHGetElementNumber(Ticker,6646+I$1)</f>
        <v>2369</v>
      </c>
      <c r="J47" s="28">
        <f ca="1">[1]!RCHGetElementNumber(Ticker,6646+J$1)</f>
        <v>2318</v>
      </c>
      <c r="K47" s="28">
        <f ca="1">[1]!RCHGetElementNumber(Ticker,6646+K$1)</f>
        <v>2318</v>
      </c>
      <c r="L47" s="28">
        <f ca="1">[1]!RCHGetElementNumber(Ticker,6646+L$1)</f>
        <v>2314.6999999999998</v>
      </c>
      <c r="M47" s="28">
        <f ca="1">[1]!RCHGetElementNumber(Ticker,6646+M$1)</f>
        <v>2303</v>
      </c>
      <c r="N47" s="28">
        <f ca="1">[1]!RCHGetElementNumber(Ticker,10906)</f>
        <v>2306</v>
      </c>
    </row>
    <row r="48" spans="2:14">
      <c r="B48" t="s">
        <v>101</v>
      </c>
      <c r="C48" s="29" t="s">
        <v>95</v>
      </c>
      <c r="D48">
        <f ca="1">[1]!RCHGetElementNumber(Ticker,6116+D$1)</f>
        <v>6620</v>
      </c>
      <c r="E48">
        <f ca="1">[1]!RCHGetElementNumber(Ticker,6116+E$1)</f>
        <v>7171</v>
      </c>
      <c r="F48">
        <f ca="1">[1]!RCHGetElementNumber(Ticker,6116+F$1)</f>
        <v>7352</v>
      </c>
      <c r="G48">
        <f ca="1">[1]!RCHGetElementNumber(Ticker,6116+G$1)</f>
        <v>8396</v>
      </c>
      <c r="H48">
        <f ca="1">[1]!RCHGetElementNumber(Ticker,6116+H$1)</f>
        <v>12094</v>
      </c>
      <c r="I48">
        <f ca="1">[1]!RCHGetElementNumber(Ticker,6116+I$1)</f>
        <v>10250</v>
      </c>
      <c r="J48">
        <f ca="1">[1]!RCHGetElementNumber(Ticker,6116+J$1)</f>
        <v>8441</v>
      </c>
      <c r="K48">
        <f ca="1">[1]!RCHGetElementNumber(Ticker,6116+K$1)</f>
        <v>12105</v>
      </c>
      <c r="L48">
        <f ca="1">[1]!RCHGetElementNumber(Ticker,6116+L$1)</f>
        <v>12176</v>
      </c>
      <c r="M48">
        <f ca="1">[1]!RCHGetElementNumber(Ticker,6116+M$1)</f>
        <v>17551</v>
      </c>
      <c r="N48">
        <f ca="1">[1]!RCHGetElementNumber(Ticker,9846)</f>
        <v>17208</v>
      </c>
    </row>
    <row r="49" spans="2:14">
      <c r="B49" t="s">
        <v>100</v>
      </c>
      <c r="C49" s="29" t="s">
        <v>95</v>
      </c>
      <c r="D49">
        <f ca="1">[1]!RCHGetElementNumber(Ticker,6366+D$1)</f>
        <v>9321</v>
      </c>
      <c r="E49">
        <f ca="1">[1]!RCHGetElementNumber(Ticker,6366+E$1)</f>
        <v>8429</v>
      </c>
      <c r="F49">
        <f ca="1">[1]!RCHGetElementNumber(Ticker,6366+F$1)</f>
        <v>7341</v>
      </c>
      <c r="G49">
        <f ca="1">[1]!RCHGetElementNumber(Ticker,6366+G$1)</f>
        <v>7886</v>
      </c>
      <c r="H49">
        <f ca="1">[1]!RCHGetElementNumber(Ticker,6366+H$1)</f>
        <v>10971</v>
      </c>
      <c r="I49">
        <f ca="1">[1]!RCHGetElementNumber(Ticker,6366+I$1)</f>
        <v>9836</v>
      </c>
      <c r="J49">
        <f ca="1">[1]!RCHGetElementNumber(Ticker,6366+J$1)</f>
        <v>8890</v>
      </c>
      <c r="K49">
        <f ca="1">[1]!RCHGetElementNumber(Ticker,6366+K$1)</f>
        <v>13225</v>
      </c>
      <c r="L49">
        <f ca="1">[1]!RCHGetElementNumber(Ticker,6366+L$1)</f>
        <v>12988</v>
      </c>
      <c r="M49">
        <f ca="1">[1]!RCHGetElementNumber(Ticker,6366+M$1)</f>
        <v>13721</v>
      </c>
      <c r="N49">
        <f ca="1">[1]!RCHGetElementNumber(Ticker,10346)</f>
        <v>13583</v>
      </c>
    </row>
    <row r="50" spans="2:14">
      <c r="B50" t="s">
        <v>99</v>
      </c>
      <c r="C50" s="29" t="s">
        <v>98</v>
      </c>
      <c r="D50">
        <f ca="1">[1]!RCHGetElementNumber(Ticker,5346+D$1)</f>
        <v>15027</v>
      </c>
      <c r="E50">
        <f ca="1">[1]!RCHGetElementNumber(Ticker,5346+E$1)</f>
        <v>14851</v>
      </c>
      <c r="F50">
        <f ca="1">[1]!RCHGetElementNumber(Ticker,5346+F$1)</f>
        <v>13265</v>
      </c>
      <c r="G50">
        <f ca="1">[1]!RCHGetElementNumber(Ticker,5346+G$1)</f>
        <v>14132</v>
      </c>
      <c r="H50">
        <f ca="1">[1]!RCHGetElementNumber(Ticker,5346+H$1)</f>
        <v>15217</v>
      </c>
      <c r="I50">
        <f ca="1">[1]!RCHGetElementNumber(Ticker,5346+I$1)</f>
        <v>15841</v>
      </c>
      <c r="J50">
        <f ca="1">[1]!RCHGetElementNumber(Ticker,5346+J$1)</f>
        <v>16862</v>
      </c>
      <c r="K50">
        <f ca="1">[1]!RCHGetElementNumber(Ticker,5346+K$1)</f>
        <v>19614</v>
      </c>
      <c r="L50">
        <f ca="1">[1]!RCHGetElementNumber(Ticker,5346+L$1)</f>
        <v>21798</v>
      </c>
      <c r="M50">
        <f ca="1">[1]!RCHGetElementNumber(Ticker,5346+M$1)</f>
        <v>21138</v>
      </c>
      <c r="N50">
        <f ca="1">[1]!RCHGetElementNumber(Ticker,8306)+[1]!RCHGetElementNumber(Ticker,8307)+[1]!RCHGetElementNumber(Ticker,8308)+[1]!RCHGetElementNumber(Ticker,8309)</f>
        <v>21555</v>
      </c>
    </row>
    <row r="51" spans="2:14">
      <c r="B51" t="s">
        <v>97</v>
      </c>
      <c r="C51" s="29" t="s">
        <v>95</v>
      </c>
      <c r="D51">
        <f ca="1">[1]!RCHGetElementNumber(Ticker,6206+D$1)</f>
        <v>4168</v>
      </c>
      <c r="E51">
        <f ca="1">[1]!RCHGetElementNumber(Ticker,6206+E$1)</f>
        <v>4453</v>
      </c>
      <c r="F51">
        <f ca="1">[1]!RCHGetElementNumber(Ticker,6206+F$1)</f>
        <v>5911</v>
      </c>
      <c r="G51">
        <f ca="1">[1]!RCHGetElementNumber(Ticker,6206+G$1)</f>
        <v>6097</v>
      </c>
      <c r="H51">
        <f ca="1">[1]!RCHGetElementNumber(Ticker,6206+H$1)</f>
        <v>6091</v>
      </c>
      <c r="I51">
        <f ca="1">[1]!RCHGetElementNumber(Ticker,6206+I$1)</f>
        <v>5786</v>
      </c>
      <c r="J51">
        <f ca="1">[1]!RCHGetElementNumber(Ticker,6206+J$1)</f>
        <v>6903</v>
      </c>
      <c r="K51">
        <f ca="1">[1]!RCHGetElementNumber(Ticker,6206+K$1)</f>
        <v>8493</v>
      </c>
      <c r="L51">
        <f ca="1">[1]!RCHGetElementNumber(Ticker,6206+L$1)</f>
        <v>8326</v>
      </c>
      <c r="M51">
        <f ca="1">[1]!RCHGetElementNumber(Ticker,6206+M$1)</f>
        <v>9561</v>
      </c>
      <c r="N51">
        <f ca="1">[1]!RCHGetElementNumber(Ticker,10026)</f>
        <v>9036</v>
      </c>
    </row>
    <row r="52" spans="2:14">
      <c r="B52" t="s">
        <v>35</v>
      </c>
      <c r="C52" s="29" t="s">
        <v>95</v>
      </c>
      <c r="D52">
        <f ca="1">[1]!RCHGetElementNumber(Ticker,6306+D$1)</f>
        <v>4816</v>
      </c>
      <c r="E52">
        <f ca="1">[1]!RCHGetElementNumber(Ticker,6306+E$1)</f>
        <v>156</v>
      </c>
      <c r="F52">
        <f ca="1">[1]!RCHGetElementNumber(Ticker,6306+F$1)</f>
        <v>180</v>
      </c>
      <c r="G52">
        <f ca="1">[1]!RCHGetElementNumber(Ticker,6306+G$1)</f>
        <v>323</v>
      </c>
      <c r="H52">
        <f ca="1">[1]!RCHGetElementNumber(Ticker,6306+H$1)</f>
        <v>1490</v>
      </c>
      <c r="I52">
        <f ca="1">[1]!RCHGetElementNumber(Ticker,6306+I$1)</f>
        <v>28</v>
      </c>
      <c r="J52">
        <f ca="1">[1]!RCHGetElementNumber(Ticker,6306+J$1)</f>
        <v>33</v>
      </c>
      <c r="K52">
        <f ca="1">[1]!RCHGetElementNumber(Ticker,6306+K$1)</f>
        <v>6052</v>
      </c>
      <c r="L52">
        <f ca="1">[1]!RCHGetElementNumber(Ticker,6306+L$1)</f>
        <v>465</v>
      </c>
      <c r="M52">
        <f ca="1">[1]!RCHGetElementNumber(Ticker,6306+M$1)</f>
        <v>51</v>
      </c>
      <c r="N52">
        <f ca="1">[1]!RCHGetElementNumber(Ticker,10226)</f>
        <v>546</v>
      </c>
    </row>
    <row r="53" spans="2:14">
      <c r="B53" t="s">
        <v>40</v>
      </c>
      <c r="C53" s="29" t="s">
        <v>95</v>
      </c>
      <c r="D53">
        <f ca="1">[1]!RCHGetElementNumber(Ticker,6376+D$1)</f>
        <v>835</v>
      </c>
      <c r="E53">
        <f ca="1">[1]!RCHGetElementNumber(Ticker,6376+E$1)</f>
        <v>1219</v>
      </c>
      <c r="F53">
        <f ca="1">[1]!RCHGetElementNumber(Ticker,6376+F$1)</f>
        <v>2701</v>
      </c>
      <c r="G53">
        <f ca="1">[1]!RCHGetElementNumber(Ticker,6376+G$1)</f>
        <v>2517</v>
      </c>
      <c r="H53">
        <f ca="1">[1]!RCHGetElementNumber(Ticker,6376+H$1)</f>
        <v>1157</v>
      </c>
      <c r="I53">
        <f ca="1">[1]!RCHGetElementNumber(Ticker,6376+I$1)</f>
        <v>1154</v>
      </c>
      <c r="J53">
        <f ca="1">[1]!RCHGetElementNumber(Ticker,6376+J$1)</f>
        <v>1314</v>
      </c>
      <c r="K53">
        <f ca="1">[1]!RCHGetElementNumber(Ticker,6376+K$1)</f>
        <v>3277</v>
      </c>
      <c r="L53">
        <f ca="1">[1]!RCHGetElementNumber(Ticker,6376+L$1)</f>
        <v>2781</v>
      </c>
      <c r="M53">
        <f ca="1">[1]!RCHGetElementNumber(Ticker,6376+M$1)</f>
        <v>5059</v>
      </c>
      <c r="N53">
        <f ca="1">[1]!RCHGetElementNumber(Ticker,10366)</f>
        <v>4419</v>
      </c>
    </row>
    <row r="54" spans="2:14">
      <c r="B54" t="s">
        <v>33</v>
      </c>
      <c r="C54" s="29" t="s">
        <v>95</v>
      </c>
      <c r="D54">
        <f ca="1">[1]!RCHGetElementNumber(Ticker,6266+D$1)</f>
        <v>20834</v>
      </c>
      <c r="E54">
        <f ca="1">[1]!RCHGetElementNumber(Ticker,6266+E$1)</f>
        <v>22417</v>
      </c>
      <c r="F54">
        <f ca="1">[1]!RCHGetElementNumber(Ticker,6266+F$1)</f>
        <v>24501</v>
      </c>
      <c r="G54">
        <f ca="1">[1]!RCHGetElementNumber(Ticker,6266+G$1)</f>
        <v>27342</v>
      </c>
      <c r="H54">
        <f ca="1">[1]!RCHGetElementNumber(Ticker,6266+H$1)</f>
        <v>31327</v>
      </c>
      <c r="I54">
        <f ca="1">[1]!RCHGetElementNumber(Ticker,6266+I$1)</f>
        <v>29427</v>
      </c>
      <c r="J54">
        <f ca="1">[1]!RCHGetElementNumber(Ticker,6266+J$1)</f>
        <v>29963</v>
      </c>
      <c r="K54">
        <f ca="1">[1]!RCHGetElementNumber(Ticker,6266+K$1)</f>
        <v>43269</v>
      </c>
      <c r="L54">
        <f ca="1">[1]!RCHGetElementNumber(Ticker,6266+L$1)</f>
        <v>40519</v>
      </c>
      <c r="M54">
        <f ca="1">[1]!RCHGetElementNumber(Ticker,6266+M$1)</f>
        <v>48671</v>
      </c>
      <c r="N54">
        <f ca="1">[1]!RCHGetElementNumber(Ticker,10146)</f>
        <v>47403</v>
      </c>
    </row>
    <row r="55" spans="2:14">
      <c r="B55" t="s">
        <v>96</v>
      </c>
      <c r="C55" s="29" t="s">
        <v>95</v>
      </c>
      <c r="D55">
        <f ca="1">[1]!RCHGetElementNumber(Ticker,6076+D$1)</f>
        <v>1066</v>
      </c>
      <c r="E55">
        <f ca="1">[1]!RCHGetElementNumber(Ticker,6076+E$1)</f>
        <v>1055</v>
      </c>
      <c r="F55">
        <f ca="1">[1]!RCHGetElementNumber(Ticker,6076+F$1)</f>
        <v>1294</v>
      </c>
      <c r="G55">
        <f ca="1">[1]!RCHGetElementNumber(Ticker,6076+G$1)</f>
        <v>1252</v>
      </c>
      <c r="H55">
        <f ca="1">[1]!RCHGetElementNumber(Ticker,6076+H$1)</f>
        <v>1420</v>
      </c>
      <c r="I55">
        <f ca="1">[1]!RCHGetElementNumber(Ticker,6076+I$1)</f>
        <v>1424</v>
      </c>
      <c r="J55">
        <f ca="1">[1]!RCHGetElementNumber(Ticker,6076+J$1)</f>
        <v>1641</v>
      </c>
      <c r="K55">
        <f ca="1">[1]!RCHGetElementNumber(Ticker,6076+K$1)</f>
        <v>2220</v>
      </c>
      <c r="L55">
        <f ca="1">[1]!RCHGetElementNumber(Ticker,6076+L$1)</f>
        <v>2187</v>
      </c>
      <c r="M55">
        <f ca="1">[1]!RCHGetElementNumber(Ticker,6076+M$1)</f>
        <v>2354</v>
      </c>
      <c r="N55">
        <f ca="1">[1]!RCHGetElementNumber(Ticker,9766)</f>
        <v>2327</v>
      </c>
    </row>
    <row r="56" spans="2:14">
      <c r="B56" s="33" t="s">
        <v>120</v>
      </c>
      <c r="C56" s="29" t="s">
        <v>111</v>
      </c>
      <c r="D56" s="28">
        <f t="shared" ref="D56:N56" ca="1" si="9">D47*D44</f>
        <v>114176.56000000001</v>
      </c>
      <c r="E56" s="28">
        <f t="shared" ca="1" si="9"/>
        <v>88036.34199999999</v>
      </c>
      <c r="F56" s="28">
        <f t="shared" ca="1" si="9"/>
        <v>82481.98000000001</v>
      </c>
      <c r="G56" s="28">
        <f t="shared" ca="1" si="9"/>
        <v>105570.46</v>
      </c>
      <c r="H56" s="28">
        <f t="shared" ca="1" si="9"/>
        <v>88397.217000000004</v>
      </c>
      <c r="I56" s="28">
        <f t="shared" ca="1" si="9"/>
        <v>85118.17</v>
      </c>
      <c r="J56" s="28">
        <f t="shared" ca="1" si="9"/>
        <v>99952.159999999989</v>
      </c>
      <c r="K56" s="28">
        <f t="shared" ca="1" si="9"/>
        <v>125357.44</v>
      </c>
      <c r="L56" s="28">
        <f t="shared" ca="1" si="9"/>
        <v>96476.695999999996</v>
      </c>
      <c r="M56" s="28">
        <f t="shared" ca="1" si="9"/>
        <v>122266.27</v>
      </c>
      <c r="N56" s="28">
        <f t="shared" ca="1" si="9"/>
        <v>120834.4</v>
      </c>
    </row>
  </sheetData>
  <pageMargins left="0.7" right="0.7" top="0.75" bottom="0.75" header="0.3" footer="0.3"/>
  <pageSetup orientation="portrait" horizontalDpi="0" verticalDpi="0" r:id="rId1"/>
  <legacyDrawing r:id="rId2"/>
</worksheet>
</file>

<file path=xl/worksheets/sheet21.xml><?xml version="1.0" encoding="utf-8"?>
<worksheet xmlns="http://schemas.openxmlformats.org/spreadsheetml/2006/main" xmlns:r="http://schemas.openxmlformats.org/officeDocument/2006/relationships">
  <sheetPr codeName="Sheet8"/>
  <dimension ref="A1:K114"/>
  <sheetViews>
    <sheetView showGridLines="0" zoomScale="75" zoomScaleNormal="75" zoomScaleSheetLayoutView="85" workbookViewId="0">
      <pane ySplit="3" topLeftCell="A67" activePane="bottomLeft" state="frozen"/>
      <selection pane="bottomLeft" activeCell="H7" sqref="H7:H8 H11:H15 H18:H21 G22:G23 H26 H28:H31 G37:G42 G45:G52 G55:G58 G61:G63 A95:F95"/>
    </sheetView>
  </sheetViews>
  <sheetFormatPr defaultColWidth="0" defaultRowHeight="15" zeroHeight="1"/>
  <cols>
    <col min="1" max="1" width="12" style="1" customWidth="1"/>
    <col min="2" max="2" width="13.42578125" style="1" bestFit="1" customWidth="1"/>
    <col min="3" max="3" width="14.5703125" style="1" bestFit="1" customWidth="1"/>
    <col min="4" max="4" width="15" style="1" bestFit="1" customWidth="1"/>
    <col min="5" max="5" width="24.28515625" style="1" customWidth="1"/>
    <col min="6" max="6" width="13.140625" style="1" bestFit="1" customWidth="1"/>
    <col min="7" max="8" width="11.7109375" style="1" bestFit="1" customWidth="1"/>
    <col min="9" max="10" width="9.140625" style="1" customWidth="1"/>
    <col min="11" max="11" width="0" style="1" hidden="1" customWidth="1"/>
    <col min="12" max="12" width="9.140625" style="1" customWidth="1"/>
    <col min="13" max="16384" width="0" style="1" hidden="1"/>
  </cols>
  <sheetData>
    <row r="1" spans="1:11">
      <c r="A1" s="1165" t="s">
        <v>5</v>
      </c>
      <c r="B1" s="1165"/>
      <c r="C1" s="1165"/>
      <c r="D1" s="1165"/>
      <c r="E1" s="1165"/>
      <c r="F1" s="1165"/>
      <c r="G1" s="1165"/>
      <c r="H1" s="1165"/>
      <c r="I1" s="1166" t="s">
        <v>6</v>
      </c>
      <c r="J1" s="1166"/>
    </row>
    <row r="2" spans="1:11" ht="21">
      <c r="A2" s="1168" t="str">
        <f ca="1">'DCF Valuation'!A2</f>
        <v>Coca-Cola Co</v>
      </c>
      <c r="B2" s="1168"/>
      <c r="C2" s="1168"/>
      <c r="D2" s="1168"/>
      <c r="E2" s="1168"/>
      <c r="I2" s="1167" t="e">
        <f>#REF!</f>
        <v>#REF!</v>
      </c>
      <c r="J2" s="1167"/>
    </row>
    <row r="3" spans="1:11" ht="16.5">
      <c r="A3" s="109">
        <f ca="1">Statements!A4</f>
        <v>40369</v>
      </c>
      <c r="E3" s="111" t="s">
        <v>226</v>
      </c>
      <c r="J3" s="142" t="s">
        <v>233</v>
      </c>
    </row>
    <row r="4" spans="1:11" ht="26.25" customHeight="1">
      <c r="A4" s="1161" t="s">
        <v>133</v>
      </c>
      <c r="B4" s="1161"/>
      <c r="C4" s="1161"/>
      <c r="D4" s="1161"/>
      <c r="E4" s="1161"/>
      <c r="F4" s="1161"/>
      <c r="G4" s="1161"/>
      <c r="H4" s="1161"/>
    </row>
    <row r="5" spans="1:11">
      <c r="K5" s="1">
        <v>0</v>
      </c>
    </row>
    <row r="6" spans="1:11" ht="15.75" thickBot="1">
      <c r="A6" s="1169" t="s">
        <v>134</v>
      </c>
      <c r="B6" s="1169"/>
      <c r="C6" s="1169"/>
      <c r="D6" s="1170"/>
      <c r="E6" s="110" t="s">
        <v>221</v>
      </c>
      <c r="F6" s="48" t="s">
        <v>135</v>
      </c>
      <c r="G6" s="48"/>
      <c r="H6" s="49" t="s">
        <v>137</v>
      </c>
      <c r="K6" s="1">
        <v>1</v>
      </c>
    </row>
    <row r="7" spans="1:11" ht="30">
      <c r="A7" s="1171" t="s">
        <v>138</v>
      </c>
      <c r="B7" s="1172"/>
      <c r="C7" s="1172"/>
      <c r="D7" s="1173"/>
      <c r="E7" s="50" t="s">
        <v>139</v>
      </c>
      <c r="F7" s="51">
        <f ca="1">'DCF Valuation'!G7</f>
        <v>-0.58530976550634706</v>
      </c>
      <c r="G7" s="52">
        <f ca="1">IF(ISBLANK(H7),IF(F7&gt;=70%,3,IF(F7&gt;=50%,2,IF(F7&gt;=25%,1,0))),H7)</f>
        <v>0</v>
      </c>
      <c r="H7" s="53"/>
      <c r="K7" s="1">
        <v>2</v>
      </c>
    </row>
    <row r="8" spans="1:11">
      <c r="A8" s="1148" t="s">
        <v>140</v>
      </c>
      <c r="B8" s="1174"/>
      <c r="C8" s="1174"/>
      <c r="D8" s="1175"/>
      <c r="E8" s="54" t="s">
        <v>141</v>
      </c>
      <c r="F8" s="55" t="e">
        <f ca="1">'Graham Valuation'!#REF!</f>
        <v>#REF!</v>
      </c>
      <c r="G8" s="56" t="e">
        <f ca="1">IF(ISBLANK(H8),IF(F8&gt;=75%,2,IF(F8&gt;=66%,1,0)),H8)</f>
        <v>#REF!</v>
      </c>
      <c r="H8" s="53"/>
      <c r="K8" s="1">
        <v>3</v>
      </c>
    </row>
    <row r="9" spans="1:11">
      <c r="A9" s="1176"/>
      <c r="B9" s="1176"/>
      <c r="C9" s="1176"/>
      <c r="D9" s="1176"/>
      <c r="E9" s="57"/>
      <c r="F9" s="58"/>
      <c r="G9" s="58"/>
      <c r="H9" s="59"/>
      <c r="K9" s="1">
        <v>4</v>
      </c>
    </row>
    <row r="10" spans="1:11" ht="15.75" thickBot="1">
      <c r="A10" s="1163" t="s">
        <v>142</v>
      </c>
      <c r="B10" s="1163"/>
      <c r="C10" s="1163"/>
      <c r="D10" s="1164"/>
      <c r="E10" s="110" t="s">
        <v>221</v>
      </c>
      <c r="F10" s="60" t="s">
        <v>135</v>
      </c>
      <c r="G10" s="48" t="s">
        <v>136</v>
      </c>
      <c r="H10" s="49" t="s">
        <v>137</v>
      </c>
      <c r="K10" s="1">
        <v>5</v>
      </c>
    </row>
    <row r="11" spans="1:11">
      <c r="A11" s="1159" t="s">
        <v>143</v>
      </c>
      <c r="B11" s="1159"/>
      <c r="C11" s="1159"/>
      <c r="D11" s="1160"/>
      <c r="E11" s="61">
        <v>0.1</v>
      </c>
      <c r="F11" s="62">
        <f ca="1">DCFData!K71</f>
        <v>9.5283211231669496E-2</v>
      </c>
      <c r="G11" s="52">
        <f ca="1">IF(ISBLANK(H11),IF(F11&gt;=20%,2,IF(F11&gt;=10%,1,0)),H11)</f>
        <v>0</v>
      </c>
      <c r="H11" s="53"/>
    </row>
    <row r="12" spans="1:11">
      <c r="A12" s="1148" t="s">
        <v>144</v>
      </c>
      <c r="B12" s="1148"/>
      <c r="C12" s="1148"/>
      <c r="D12" s="1152"/>
      <c r="E12" s="64">
        <v>0.3</v>
      </c>
      <c r="F12" s="65">
        <f ca="1">DCFData!K68</f>
        <v>0.64461945458742553</v>
      </c>
      <c r="G12" s="66">
        <f ca="1">IF(ISBLANK(H12),IF(F12&gt;=50%,2,IF(F12&gt;=30%,1,0)),H12)</f>
        <v>2</v>
      </c>
      <c r="H12" s="53"/>
    </row>
    <row r="13" spans="1:11">
      <c r="A13" s="1159" t="s">
        <v>145</v>
      </c>
      <c r="B13" s="1159"/>
      <c r="C13" s="1159"/>
      <c r="D13" s="1160"/>
      <c r="E13" s="67">
        <v>0.15</v>
      </c>
      <c r="F13" s="68">
        <f ca="1">DCFData!K69</f>
        <v>0.26187313184988376</v>
      </c>
      <c r="G13" s="69">
        <f ca="1">IF(ISBLANK(H13),IF(F13&gt;=30%,2,IF(F13&gt;=15%,1,0)),H13)</f>
        <v>1</v>
      </c>
      <c r="H13" s="53"/>
    </row>
    <row r="14" spans="1:11">
      <c r="A14" s="1148" t="s">
        <v>146</v>
      </c>
      <c r="B14" s="1148"/>
      <c r="C14" s="1148"/>
      <c r="D14" s="1152"/>
      <c r="E14" s="64">
        <v>0.1</v>
      </c>
      <c r="F14" s="65">
        <f ca="1">DCFData!K70</f>
        <v>0.21087257617728533</v>
      </c>
      <c r="G14" s="66">
        <f ca="1">IF(ISBLANK(H14),IF(F14&gt;=15%,2,IF(F14&gt;=10%,1,0)),H14)</f>
        <v>2</v>
      </c>
      <c r="H14" s="53"/>
    </row>
    <row r="15" spans="1:11">
      <c r="A15" s="1159" t="s">
        <v>147</v>
      </c>
      <c r="B15" s="1159"/>
      <c r="C15" s="1159"/>
      <c r="D15" s="1160"/>
      <c r="E15" s="67">
        <v>0.1</v>
      </c>
      <c r="F15" s="68" t="e">
        <f ca="1">'Graham Valuation'!#REF!</f>
        <v>#REF!</v>
      </c>
      <c r="G15" s="69" t="e">
        <f ca="1">IF(ISBLANK(H15),IF(F15&gt;=20%,2,IF(F15&gt;=10%,1,0)),H15)</f>
        <v>#REF!</v>
      </c>
      <c r="H15" s="53"/>
    </row>
    <row r="16" spans="1:11">
      <c r="A16" s="70"/>
      <c r="B16" s="70"/>
      <c r="C16" s="70"/>
      <c r="D16" s="70"/>
      <c r="E16" s="71"/>
      <c r="F16" s="72"/>
      <c r="G16" s="17"/>
    </row>
    <row r="17" spans="1:8" ht="15.75" thickBot="1">
      <c r="A17" s="1163" t="s">
        <v>148</v>
      </c>
      <c r="B17" s="1163"/>
      <c r="C17" s="1163"/>
      <c r="D17" s="1164"/>
      <c r="E17" s="110" t="s">
        <v>221</v>
      </c>
      <c r="F17" s="60" t="s">
        <v>135</v>
      </c>
      <c r="G17" s="48" t="s">
        <v>136</v>
      </c>
      <c r="H17" s="49" t="s">
        <v>137</v>
      </c>
    </row>
    <row r="18" spans="1:8">
      <c r="A18" s="1159" t="s">
        <v>149</v>
      </c>
      <c r="B18" s="1159"/>
      <c r="C18" s="1159"/>
      <c r="D18" s="1160"/>
      <c r="E18" s="61">
        <v>0.15</v>
      </c>
      <c r="F18" s="73">
        <f ca="1">DCFData!K73</f>
        <v>6.2084512134693126E-2</v>
      </c>
      <c r="G18" s="69">
        <f ca="1">IF(ISBLANK(H18),IF(F18&gt;=25%,2,IF(F18&gt;=E18,1,0)),H18)</f>
        <v>0</v>
      </c>
      <c r="H18" s="63"/>
    </row>
    <row r="19" spans="1:8">
      <c r="A19" s="1148" t="s">
        <v>150</v>
      </c>
      <c r="B19" s="1148"/>
      <c r="C19" s="1148"/>
      <c r="D19" s="1152"/>
      <c r="E19" s="64">
        <v>0.13</v>
      </c>
      <c r="F19" s="65">
        <f ca="1">DCFData!K64</f>
        <v>0.30833099579242634</v>
      </c>
      <c r="G19" s="66">
        <f ca="1">IF(ISBLANK(H19),IF(F19&gt;=20%,2,IF(F19&gt;=E19,1,0)),H19)</f>
        <v>2</v>
      </c>
      <c r="H19" s="63"/>
    </row>
    <row r="20" spans="1:8">
      <c r="A20" s="1159" t="s">
        <v>151</v>
      </c>
      <c r="B20" s="1159"/>
      <c r="C20" s="1159"/>
      <c r="D20" s="1160"/>
      <c r="E20" s="67">
        <v>0.1</v>
      </c>
      <c r="F20" s="68">
        <f ca="1">DCFData!K63</f>
        <v>4.8281426550994988E-2</v>
      </c>
      <c r="G20" s="69">
        <f ca="1">IF(ISBLANK(H20),IF(F20&gt;=20%,2,IF(F20&gt;=E20,1,0)),H20)</f>
        <v>0</v>
      </c>
      <c r="H20" s="63"/>
    </row>
    <row r="21" spans="1:8">
      <c r="A21" s="1148" t="s">
        <v>152</v>
      </c>
      <c r="B21" s="1148"/>
      <c r="C21" s="1148"/>
      <c r="D21" s="1152"/>
      <c r="E21" s="74">
        <v>7.0000000000000007E-2</v>
      </c>
      <c r="F21" s="65">
        <f ca="1">DCFData!K65</f>
        <v>0.19142311524410494</v>
      </c>
      <c r="G21" s="66">
        <f ca="1">IF(ISBLANK(H21),IF(F21&gt;=15%,2,IF(F21&gt;=E21,1,0)),H21)</f>
        <v>2</v>
      </c>
      <c r="H21" s="63"/>
    </row>
    <row r="22" spans="1:8">
      <c r="A22" s="1159" t="s">
        <v>153</v>
      </c>
      <c r="B22" s="1159"/>
      <c r="C22" s="1159"/>
      <c r="D22" s="1160"/>
      <c r="E22" s="75" t="s">
        <v>154</v>
      </c>
      <c r="F22" s="68" t="s">
        <v>155</v>
      </c>
      <c r="G22" s="76"/>
      <c r="H22" s="77" t="s">
        <v>155</v>
      </c>
    </row>
    <row r="23" spans="1:8">
      <c r="A23" s="1148" t="s">
        <v>156</v>
      </c>
      <c r="B23" s="1148"/>
      <c r="C23" s="1148"/>
      <c r="D23" s="1152"/>
      <c r="E23" s="78" t="s">
        <v>154</v>
      </c>
      <c r="F23" s="65" t="s">
        <v>155</v>
      </c>
      <c r="G23" s="76"/>
      <c r="H23" s="79" t="s">
        <v>155</v>
      </c>
    </row>
    <row r="24" spans="1:8">
      <c r="A24" s="70"/>
      <c r="B24" s="70"/>
      <c r="C24" s="70"/>
      <c r="D24" s="70"/>
      <c r="E24" s="71"/>
      <c r="F24" s="80"/>
      <c r="G24" s="17"/>
    </row>
    <row r="25" spans="1:8" ht="15.75" thickBot="1">
      <c r="A25" s="1163" t="s">
        <v>75</v>
      </c>
      <c r="B25" s="1163"/>
      <c r="C25" s="1163"/>
      <c r="D25" s="1164"/>
      <c r="E25" s="47" t="s">
        <v>157</v>
      </c>
      <c r="F25" s="60" t="s">
        <v>135</v>
      </c>
      <c r="G25" s="48" t="s">
        <v>136</v>
      </c>
      <c r="H25" s="48" t="s">
        <v>137</v>
      </c>
    </row>
    <row r="26" spans="1:8">
      <c r="A26" s="1159" t="s">
        <v>158</v>
      </c>
      <c r="B26" s="1159"/>
      <c r="C26" s="1159"/>
      <c r="D26" s="1160"/>
      <c r="E26" s="50" t="s">
        <v>159</v>
      </c>
      <c r="F26" s="81">
        <f ca="1">DCFData!K42</f>
        <v>1.2791341738940309</v>
      </c>
      <c r="G26" s="52">
        <f ca="1">IF(ISBLANK(H26),IF(F26&gt;=3,2,IF(F26&gt;=1.5,1,0)),H26)</f>
        <v>0</v>
      </c>
      <c r="H26" s="63"/>
    </row>
    <row r="27" spans="1:8">
      <c r="A27" s="1148" t="s">
        <v>160</v>
      </c>
      <c r="B27" s="1148"/>
      <c r="C27" s="1148"/>
      <c r="D27" s="1152"/>
      <c r="E27" s="54" t="s">
        <v>155</v>
      </c>
      <c r="F27" s="82" t="e">
        <f ca="1">'Graham Valuation'!#REF!</f>
        <v>#REF!</v>
      </c>
      <c r="G27" s="56" t="s">
        <v>155</v>
      </c>
      <c r="H27" s="83" t="s">
        <v>155</v>
      </c>
    </row>
    <row r="28" spans="1:8">
      <c r="A28" s="1159" t="s">
        <v>161</v>
      </c>
      <c r="B28" s="1159"/>
      <c r="C28" s="1159"/>
      <c r="D28" s="1160"/>
      <c r="E28" s="67" t="s">
        <v>162</v>
      </c>
      <c r="F28" s="84">
        <f ca="1">DCFData!K51</f>
        <v>0.96261946046211544</v>
      </c>
      <c r="G28" s="46">
        <f ca="1">IF(ISBLANK(H28),IF(F28&lt;=15%,2,IF(F28&lt;=100%,1,0)),H28)</f>
        <v>1</v>
      </c>
      <c r="H28" s="63"/>
    </row>
    <row r="29" spans="1:8">
      <c r="A29" s="1148" t="s">
        <v>163</v>
      </c>
      <c r="B29" s="1148"/>
      <c r="C29" s="1148"/>
      <c r="D29" s="1152"/>
      <c r="E29" s="54" t="s">
        <v>164</v>
      </c>
      <c r="F29" s="85">
        <f ca="1">DCFData!K57</f>
        <v>0.25414711796246647</v>
      </c>
      <c r="G29" s="66">
        <f ca="1">IF(ISBLANK(H29),IF(F29&gt;=20%,2,IF(F29&gt;=10%,1,0)),H29)</f>
        <v>2</v>
      </c>
      <c r="H29" s="63"/>
    </row>
    <row r="30" spans="1:8">
      <c r="A30" s="1159" t="s">
        <v>165</v>
      </c>
      <c r="B30" s="1159"/>
      <c r="C30" s="1159"/>
      <c r="D30" s="1160"/>
      <c r="E30" s="86" t="s">
        <v>166</v>
      </c>
      <c r="F30" s="87">
        <f ca="1">DCFData!K52</f>
        <v>0.16943532721548663</v>
      </c>
      <c r="G30" s="46">
        <f ca="1">IF(ISBLANK(H30),IF(F30&lt;=15%,2,IF(F30&lt;=30%,1,0)),H30)</f>
        <v>1</v>
      </c>
      <c r="H30" s="63"/>
    </row>
    <row r="31" spans="1:8">
      <c r="A31" s="1148" t="s">
        <v>167</v>
      </c>
      <c r="B31" s="1148"/>
      <c r="C31" s="1148"/>
      <c r="D31" s="1152"/>
      <c r="E31" s="54" t="s">
        <v>168</v>
      </c>
      <c r="F31" s="85">
        <f ca="1">Statements!S50/Statements!S52</f>
        <v>0.25979368394405417</v>
      </c>
      <c r="G31" s="66">
        <f ca="1">IF(ISBLANK(H31),IF(F31&lt;=10%,2,IF(F31&lt;=15%,1,0)),H31)</f>
        <v>0</v>
      </c>
      <c r="H31" s="63"/>
    </row>
    <row r="32" spans="1:8"/>
    <row r="33" spans="1:8" ht="30.75" customHeight="1">
      <c r="A33" s="1161" t="s">
        <v>169</v>
      </c>
      <c r="B33" s="1161"/>
      <c r="C33" s="1161"/>
      <c r="D33" s="1161"/>
      <c r="E33" s="1161"/>
      <c r="F33" s="1161"/>
      <c r="G33" s="1161"/>
      <c r="H33" s="1161"/>
    </row>
    <row r="34" spans="1:8" ht="175.5" customHeight="1">
      <c r="A34" s="1013" t="str">
        <f ca="1">[1]!RCHGetElementNumber(Ticker,1)</f>
        <v xml:space="preserve">The Coca-Cola Company is the owner and marketer of nonalcoholic beverage brands. It also manufactures, distributes and markets concentrates and syrups used to produce nonalcoholic beverages. The Company owns or licenses and markets more than 500 nonalcoholic beverage brands, primarily sparkling beverages but also a variety of still beverages, such as waters, enhanced waters, juices and juice drinks, ready-to-drink teas and coffees, and energy and sports drinks. It also manufactures, or authorizes bottling partners to manufacture, fountain syrups, which it sells to fountain retailers, such as restaurants and convenience stores, which use the fountain syrups to produce finished beverages for immediate consumption, or to fountain wholesalers or bottlers, which in turn sell and distribute the fountain syrups to fountain retailers. In addition, the Company manufactures certain finished beverages, such as juices and juice drinks and water products. </v>
      </c>
      <c r="B34" s="1013"/>
      <c r="C34" s="1013"/>
      <c r="D34" s="1013"/>
      <c r="E34" s="1013"/>
      <c r="F34" s="1013"/>
      <c r="G34" s="1013"/>
      <c r="H34" s="1013"/>
    </row>
    <row r="35" spans="1:8"/>
    <row r="36" spans="1:8">
      <c r="A36" s="1162" t="s">
        <v>170</v>
      </c>
      <c r="B36" s="1162"/>
      <c r="C36" s="1162"/>
      <c r="D36" s="1162"/>
      <c r="E36" s="1146" t="s">
        <v>171</v>
      </c>
      <c r="F36" s="1147"/>
      <c r="G36" s="88" t="s">
        <v>137</v>
      </c>
      <c r="H36" s="88" t="s">
        <v>172</v>
      </c>
    </row>
    <row r="37" spans="1:8">
      <c r="A37" s="1143" t="s">
        <v>173</v>
      </c>
      <c r="B37" s="1143"/>
      <c r="C37" s="1143"/>
      <c r="D37" s="1144"/>
      <c r="E37" s="1132"/>
      <c r="F37" s="1133"/>
      <c r="G37" s="76"/>
      <c r="H37" s="4" t="s">
        <v>174</v>
      </c>
    </row>
    <row r="38" spans="1:8">
      <c r="A38" s="1148" t="s">
        <v>175</v>
      </c>
      <c r="B38" s="1148"/>
      <c r="C38" s="1148"/>
      <c r="D38" s="1152"/>
      <c r="E38" s="1129"/>
      <c r="F38" s="1130"/>
      <c r="G38" s="76"/>
      <c r="H38" s="89" t="s">
        <v>174</v>
      </c>
    </row>
    <row r="39" spans="1:8">
      <c r="A39" s="1143" t="s">
        <v>176</v>
      </c>
      <c r="B39" s="1143"/>
      <c r="C39" s="1143"/>
      <c r="D39" s="1144"/>
      <c r="E39" s="1132"/>
      <c r="F39" s="1133"/>
      <c r="G39" s="76"/>
      <c r="H39" s="45" t="s">
        <v>174</v>
      </c>
    </row>
    <row r="40" spans="1:8">
      <c r="A40" s="1148" t="s">
        <v>177</v>
      </c>
      <c r="B40" s="1148"/>
      <c r="C40" s="1148"/>
      <c r="D40" s="1152"/>
      <c r="E40" s="1129"/>
      <c r="F40" s="1130"/>
      <c r="G40" s="76"/>
      <c r="H40" s="90" t="s">
        <v>174</v>
      </c>
    </row>
    <row r="41" spans="1:8">
      <c r="A41" s="1143" t="s">
        <v>178</v>
      </c>
      <c r="B41" s="1143"/>
      <c r="C41" s="1143"/>
      <c r="D41" s="1144"/>
      <c r="E41" s="1132"/>
      <c r="F41" s="1133"/>
      <c r="G41" s="76"/>
      <c r="H41" s="45" t="s">
        <v>174</v>
      </c>
    </row>
    <row r="42" spans="1:8">
      <c r="A42" s="1148" t="s">
        <v>179</v>
      </c>
      <c r="B42" s="1148"/>
      <c r="C42" s="1148"/>
      <c r="D42" s="1152"/>
      <c r="E42" s="1129"/>
      <c r="F42" s="1130"/>
      <c r="G42" s="76"/>
      <c r="H42" s="90" t="s">
        <v>174</v>
      </c>
    </row>
    <row r="43" spans="1:8">
      <c r="A43" s="1153"/>
      <c r="B43" s="1143"/>
      <c r="C43" s="1143"/>
      <c r="D43" s="1143"/>
      <c r="F43" s="2"/>
      <c r="G43" s="17"/>
    </row>
    <row r="44" spans="1:8">
      <c r="A44" s="1155" t="s">
        <v>180</v>
      </c>
      <c r="B44" s="1156"/>
      <c r="C44" s="1156"/>
      <c r="D44" s="1156"/>
      <c r="E44" s="1146" t="s">
        <v>171</v>
      </c>
      <c r="F44" s="1147"/>
      <c r="G44" s="88" t="s">
        <v>137</v>
      </c>
      <c r="H44" s="88" t="s">
        <v>172</v>
      </c>
    </row>
    <row r="45" spans="1:8" ht="88.5" customHeight="1">
      <c r="A45" s="1153" t="s">
        <v>181</v>
      </c>
      <c r="B45" s="1143"/>
      <c r="C45" s="1143"/>
      <c r="D45" s="1144"/>
      <c r="E45" s="1157" t="s">
        <v>231</v>
      </c>
      <c r="F45" s="1158"/>
      <c r="G45" s="76"/>
      <c r="H45" s="17" t="s">
        <v>174</v>
      </c>
    </row>
    <row r="46" spans="1:8">
      <c r="A46" s="1151" t="s">
        <v>182</v>
      </c>
      <c r="B46" s="1148"/>
      <c r="C46" s="1148"/>
      <c r="D46" s="1152"/>
      <c r="E46" s="1129"/>
      <c r="F46" s="1130"/>
      <c r="G46" s="76"/>
      <c r="H46" s="89" t="s">
        <v>183</v>
      </c>
    </row>
    <row r="47" spans="1:8">
      <c r="A47" s="1153" t="s">
        <v>184</v>
      </c>
      <c r="B47" s="1143"/>
      <c r="C47" s="1143"/>
      <c r="D47" s="1144"/>
      <c r="E47" s="1132"/>
      <c r="F47" s="1133"/>
      <c r="G47" s="76"/>
      <c r="H47" s="4" t="s">
        <v>183</v>
      </c>
    </row>
    <row r="48" spans="1:8">
      <c r="A48" s="1151" t="s">
        <v>185</v>
      </c>
      <c r="B48" s="1148"/>
      <c r="C48" s="1148"/>
      <c r="D48" s="1152"/>
      <c r="E48" s="1129"/>
      <c r="F48" s="1130"/>
      <c r="G48" s="76"/>
      <c r="H48" s="89" t="s">
        <v>183</v>
      </c>
    </row>
    <row r="49" spans="1:8">
      <c r="A49" s="1153" t="s">
        <v>186</v>
      </c>
      <c r="B49" s="1143"/>
      <c r="C49" s="1143"/>
      <c r="D49" s="1144"/>
      <c r="E49" s="1132"/>
      <c r="F49" s="1133"/>
      <c r="G49" s="76"/>
      <c r="H49" s="4" t="s">
        <v>183</v>
      </c>
    </row>
    <row r="50" spans="1:8">
      <c r="A50" s="1151" t="s">
        <v>187</v>
      </c>
      <c r="B50" s="1148"/>
      <c r="C50" s="1148"/>
      <c r="D50" s="1152"/>
      <c r="E50" s="1129"/>
      <c r="F50" s="1130"/>
      <c r="G50" s="91"/>
      <c r="H50" s="89" t="s">
        <v>174</v>
      </c>
    </row>
    <row r="51" spans="1:8">
      <c r="A51" s="1153" t="s">
        <v>188</v>
      </c>
      <c r="B51" s="1143"/>
      <c r="C51" s="1143"/>
      <c r="D51" s="1144"/>
      <c r="E51" s="1132"/>
      <c r="F51" s="1133"/>
      <c r="G51" s="76"/>
      <c r="H51" s="4" t="s">
        <v>183</v>
      </c>
    </row>
    <row r="52" spans="1:8">
      <c r="A52" s="1151" t="s">
        <v>189</v>
      </c>
      <c r="B52" s="1148"/>
      <c r="C52" s="1148"/>
      <c r="D52" s="1152"/>
      <c r="E52" s="1129"/>
      <c r="F52" s="1130"/>
      <c r="G52" s="76"/>
      <c r="H52" s="89" t="s">
        <v>183</v>
      </c>
    </row>
    <row r="53" spans="1:8">
      <c r="A53" s="1153"/>
      <c r="B53" s="1143"/>
      <c r="C53" s="1143"/>
      <c r="D53" s="1143"/>
      <c r="F53" s="2"/>
      <c r="G53" s="17"/>
    </row>
    <row r="54" spans="1:8">
      <c r="A54" s="1154" t="s">
        <v>190</v>
      </c>
      <c r="B54" s="1145"/>
      <c r="C54" s="1145"/>
      <c r="D54" s="1145"/>
      <c r="E54" s="1146" t="s">
        <v>171</v>
      </c>
      <c r="F54" s="1147"/>
      <c r="G54" s="92" t="s">
        <v>137</v>
      </c>
      <c r="H54" s="88" t="s">
        <v>172</v>
      </c>
    </row>
    <row r="55" spans="1:8">
      <c r="A55" s="1143" t="s">
        <v>191</v>
      </c>
      <c r="B55" s="1143"/>
      <c r="C55" s="1143"/>
      <c r="D55" s="1143"/>
      <c r="E55" s="1132"/>
      <c r="F55" s="1133"/>
      <c r="G55" s="76"/>
      <c r="H55" s="17" t="s">
        <v>183</v>
      </c>
    </row>
    <row r="56" spans="1:8">
      <c r="A56" s="1148" t="s">
        <v>192</v>
      </c>
      <c r="B56" s="1148"/>
      <c r="C56" s="1148"/>
      <c r="D56" s="1148"/>
      <c r="E56" s="1129"/>
      <c r="F56" s="1130"/>
      <c r="G56" s="76"/>
      <c r="H56" s="93" t="s">
        <v>183</v>
      </c>
    </row>
    <row r="57" spans="1:8">
      <c r="A57" s="1143" t="s">
        <v>193</v>
      </c>
      <c r="B57" s="1143"/>
      <c r="C57" s="1143"/>
      <c r="D57" s="1143"/>
      <c r="E57" s="1132"/>
      <c r="F57" s="1133"/>
      <c r="G57" s="76"/>
      <c r="H57" s="17" t="s">
        <v>183</v>
      </c>
    </row>
    <row r="58" spans="1:8">
      <c r="A58" s="1148" t="s">
        <v>194</v>
      </c>
      <c r="B58" s="1148"/>
      <c r="C58" s="1148"/>
      <c r="D58" s="1148"/>
      <c r="E58" s="1129"/>
      <c r="F58" s="1130"/>
      <c r="G58" s="76"/>
      <c r="H58" s="93" t="s">
        <v>183</v>
      </c>
    </row>
    <row r="59" spans="1:8">
      <c r="A59" s="1143"/>
      <c r="B59" s="1143"/>
      <c r="C59" s="1143"/>
      <c r="D59" s="1143"/>
      <c r="F59" s="2"/>
      <c r="G59" s="17"/>
    </row>
    <row r="60" spans="1:8">
      <c r="A60" s="1145" t="s">
        <v>90</v>
      </c>
      <c r="B60" s="1145"/>
      <c r="C60" s="1145"/>
      <c r="D60" s="1145"/>
      <c r="E60" s="1146" t="s">
        <v>171</v>
      </c>
      <c r="F60" s="1147"/>
      <c r="G60" s="92" t="s">
        <v>137</v>
      </c>
      <c r="H60" s="88" t="s">
        <v>172</v>
      </c>
    </row>
    <row r="61" spans="1:8">
      <c r="A61" s="1143" t="s">
        <v>195</v>
      </c>
      <c r="B61" s="1143"/>
      <c r="C61" s="1143"/>
      <c r="D61" s="1143"/>
      <c r="E61" s="1132"/>
      <c r="F61" s="1133"/>
      <c r="G61" s="76"/>
      <c r="H61" s="17" t="s">
        <v>183</v>
      </c>
    </row>
    <row r="62" spans="1:8">
      <c r="A62" s="1148" t="s">
        <v>196</v>
      </c>
      <c r="B62" s="1148"/>
      <c r="C62" s="1148"/>
      <c r="D62" s="1148"/>
      <c r="E62" s="1129"/>
      <c r="F62" s="1130"/>
      <c r="G62" s="76"/>
      <c r="H62" s="93" t="s">
        <v>183</v>
      </c>
    </row>
    <row r="63" spans="1:8">
      <c r="A63" s="1143" t="s">
        <v>197</v>
      </c>
      <c r="B63" s="1143"/>
      <c r="C63" s="1143"/>
      <c r="D63" s="1143"/>
      <c r="E63" s="1132"/>
      <c r="F63" s="1133"/>
      <c r="G63" s="76"/>
      <c r="H63" s="17" t="s">
        <v>183</v>
      </c>
    </row>
    <row r="64" spans="1:8">
      <c r="A64" s="1149"/>
      <c r="B64" s="1149"/>
      <c r="C64" s="1149"/>
      <c r="D64" s="1149"/>
      <c r="F64" s="2"/>
      <c r="G64" s="17"/>
    </row>
    <row r="65" spans="1:8">
      <c r="A65" s="1150" t="s">
        <v>198</v>
      </c>
      <c r="B65" s="1150"/>
      <c r="C65" s="1150"/>
      <c r="D65" s="1150"/>
      <c r="E65" s="1146" t="s">
        <v>171</v>
      </c>
      <c r="F65" s="1147"/>
      <c r="G65" s="92"/>
      <c r="H65" s="88"/>
    </row>
    <row r="66" spans="1:8">
      <c r="A66" s="1131" t="s">
        <v>199</v>
      </c>
      <c r="B66" s="1131"/>
      <c r="C66" s="1131"/>
      <c r="D66" s="1131"/>
      <c r="E66" s="1132" t="s">
        <v>222</v>
      </c>
      <c r="F66" s="1133"/>
      <c r="G66" s="94"/>
    </row>
    <row r="67" spans="1:8">
      <c r="A67" s="1128" t="s">
        <v>200</v>
      </c>
      <c r="B67" s="1128"/>
      <c r="C67" s="1128"/>
      <c r="D67" s="1128"/>
      <c r="E67" s="1129" t="s">
        <v>222</v>
      </c>
      <c r="F67" s="1130"/>
      <c r="G67" s="95"/>
      <c r="H67" s="96"/>
    </row>
    <row r="68" spans="1:8">
      <c r="A68" s="1131" t="s">
        <v>201</v>
      </c>
      <c r="B68" s="1131"/>
      <c r="C68" s="1131"/>
      <c r="D68" s="1131"/>
      <c r="E68" s="1132" t="s">
        <v>223</v>
      </c>
      <c r="F68" s="1133"/>
      <c r="G68" s="94"/>
    </row>
    <row r="69" spans="1:8">
      <c r="A69" s="1128" t="s">
        <v>202</v>
      </c>
      <c r="B69" s="1128"/>
      <c r="C69" s="1128"/>
      <c r="D69" s="1128"/>
      <c r="E69" s="1129" t="s">
        <v>222</v>
      </c>
      <c r="F69" s="1130"/>
      <c r="G69" s="95"/>
      <c r="H69" s="96"/>
    </row>
    <row r="70" spans="1:8">
      <c r="A70" s="1131" t="s">
        <v>203</v>
      </c>
      <c r="B70" s="1131"/>
      <c r="C70" s="1131"/>
      <c r="D70" s="1131"/>
      <c r="E70" s="1132" t="s">
        <v>222</v>
      </c>
      <c r="F70" s="1133"/>
      <c r="G70" s="94"/>
    </row>
    <row r="71" spans="1:8">
      <c r="A71" s="1128" t="s">
        <v>204</v>
      </c>
      <c r="B71" s="1128"/>
      <c r="C71" s="1128"/>
      <c r="D71" s="1128"/>
      <c r="E71" s="1129"/>
      <c r="F71" s="1130"/>
      <c r="G71" s="95"/>
      <c r="H71" s="96"/>
    </row>
    <row r="72" spans="1:8">
      <c r="A72" s="1131" t="s">
        <v>205</v>
      </c>
      <c r="B72" s="1131"/>
      <c r="C72" s="1131"/>
      <c r="D72" s="1131"/>
      <c r="E72" s="1132"/>
      <c r="F72" s="1133"/>
      <c r="G72" s="94"/>
    </row>
    <row r="73" spans="1:8">
      <c r="A73" s="1128" t="s">
        <v>206</v>
      </c>
      <c r="B73" s="1128"/>
      <c r="C73" s="1128"/>
      <c r="D73" s="1128"/>
      <c r="E73" s="1129"/>
      <c r="F73" s="1130"/>
      <c r="G73" s="95"/>
      <c r="H73" s="96"/>
    </row>
    <row r="74" spans="1:8">
      <c r="A74" s="1131" t="s">
        <v>207</v>
      </c>
      <c r="B74" s="1131"/>
      <c r="C74" s="1131"/>
      <c r="D74" s="1131"/>
      <c r="E74" s="1132"/>
      <c r="F74" s="1133"/>
      <c r="G74" s="94"/>
    </row>
    <row r="75" spans="1:8">
      <c r="A75" s="1128" t="s">
        <v>208</v>
      </c>
      <c r="B75" s="1128"/>
      <c r="C75" s="1128"/>
      <c r="D75" s="1128"/>
      <c r="E75" s="1129"/>
      <c r="F75" s="1130"/>
      <c r="G75" s="95"/>
      <c r="H75" s="96"/>
    </row>
    <row r="76" spans="1:8">
      <c r="A76" s="1131" t="s">
        <v>209</v>
      </c>
      <c r="B76" s="1131"/>
      <c r="C76" s="1131"/>
      <c r="D76" s="1131"/>
      <c r="E76" s="1132"/>
      <c r="F76" s="1133"/>
      <c r="G76" s="94"/>
    </row>
    <row r="77" spans="1:8">
      <c r="A77" s="1128" t="s">
        <v>210</v>
      </c>
      <c r="B77" s="1128"/>
      <c r="C77" s="1128"/>
      <c r="D77" s="1128"/>
      <c r="E77" s="1129"/>
      <c r="F77" s="1130"/>
      <c r="G77" s="95"/>
      <c r="H77" s="96"/>
    </row>
    <row r="78" spans="1:8">
      <c r="A78" s="1131" t="s">
        <v>211</v>
      </c>
      <c r="B78" s="1131"/>
      <c r="C78" s="1131"/>
      <c r="D78" s="1131"/>
      <c r="E78" s="1132"/>
      <c r="F78" s="1133"/>
      <c r="G78" s="94"/>
    </row>
    <row r="79" spans="1:8">
      <c r="A79" s="1128" t="s">
        <v>212</v>
      </c>
      <c r="B79" s="1128"/>
      <c r="C79" s="1128"/>
      <c r="D79" s="1128"/>
      <c r="E79" s="1129"/>
      <c r="F79" s="1130"/>
      <c r="G79" s="95"/>
      <c r="H79" s="96"/>
    </row>
    <row r="80" spans="1:8">
      <c r="A80" s="1131" t="s">
        <v>224</v>
      </c>
      <c r="B80" s="1131"/>
      <c r="C80" s="1131"/>
      <c r="D80" s="1131"/>
      <c r="E80" s="1132"/>
      <c r="F80" s="1133"/>
      <c r="G80" s="94"/>
    </row>
    <row r="81" spans="1:8">
      <c r="A81" s="1138" t="s">
        <v>225</v>
      </c>
      <c r="B81" s="1138"/>
      <c r="C81" s="1138"/>
      <c r="D81" s="1139"/>
      <c r="E81" s="1140"/>
      <c r="F81" s="1130"/>
      <c r="G81" s="95"/>
      <c r="H81" s="96"/>
    </row>
    <row r="82" spans="1:8"/>
    <row r="83" spans="1:8" ht="15.75" thickBot="1">
      <c r="A83" s="1134" t="s">
        <v>213</v>
      </c>
      <c r="B83" s="1134"/>
      <c r="C83" s="1134"/>
      <c r="D83" s="1135"/>
      <c r="E83" s="97" t="s">
        <v>214</v>
      </c>
    </row>
    <row r="84" spans="1:8">
      <c r="A84" s="1136" t="s">
        <v>134</v>
      </c>
      <c r="B84" s="1136"/>
      <c r="C84" s="1136"/>
      <c r="D84" s="1137"/>
      <c r="E84" s="98" t="e">
        <f ca="1">SUM(G7:G8)</f>
        <v>#REF!</v>
      </c>
    </row>
    <row r="85" spans="1:8">
      <c r="A85" s="1141" t="s">
        <v>142</v>
      </c>
      <c r="B85" s="1141"/>
      <c r="C85" s="1141"/>
      <c r="D85" s="1142"/>
      <c r="E85" s="99" t="e">
        <f ca="1">SUM(G11:G15)/2</f>
        <v>#REF!</v>
      </c>
    </row>
    <row r="86" spans="1:8">
      <c r="A86" s="1143" t="s">
        <v>148</v>
      </c>
      <c r="B86" s="1143"/>
      <c r="C86" s="1143"/>
      <c r="D86" s="1144"/>
      <c r="E86" s="98">
        <f ca="1">SUM(G18:G23)/2</f>
        <v>2</v>
      </c>
    </row>
    <row r="87" spans="1:8">
      <c r="A87" s="1141" t="s">
        <v>75</v>
      </c>
      <c r="B87" s="1141"/>
      <c r="C87" s="1141"/>
      <c r="D87" s="1142"/>
      <c r="E87" s="99">
        <f ca="1">SUM(G26:G31)/2</f>
        <v>2</v>
      </c>
    </row>
    <row r="88" spans="1:8">
      <c r="A88" s="1143" t="s">
        <v>170</v>
      </c>
      <c r="B88" s="1143"/>
      <c r="C88" s="1143"/>
      <c r="D88" s="1144"/>
      <c r="E88" s="98">
        <f>SUM(G37:G42)/12*5</f>
        <v>0</v>
      </c>
    </row>
    <row r="89" spans="1:8">
      <c r="A89" s="1141" t="s">
        <v>180</v>
      </c>
      <c r="B89" s="1141"/>
      <c r="C89" s="1141"/>
      <c r="D89" s="1142"/>
      <c r="E89" s="99">
        <f>SUM(G45:G52)/2</f>
        <v>0</v>
      </c>
    </row>
    <row r="90" spans="1:8">
      <c r="A90" s="1143" t="s">
        <v>190</v>
      </c>
      <c r="B90" s="1143"/>
      <c r="C90" s="1143"/>
      <c r="D90" s="1144"/>
      <c r="E90" s="98">
        <f>SUM(G55:G58)/4*5</f>
        <v>0</v>
      </c>
    </row>
    <row r="91" spans="1:8"/>
    <row r="92" spans="1:8"/>
    <row r="93" spans="1:8">
      <c r="A93" s="100" t="s">
        <v>215</v>
      </c>
      <c r="B93" s="100" t="s">
        <v>216</v>
      </c>
      <c r="C93" s="101" t="s">
        <v>217</v>
      </c>
      <c r="D93" s="100" t="s">
        <v>218</v>
      </c>
      <c r="E93" s="101" t="s">
        <v>219</v>
      </c>
      <c r="F93" s="100" t="s">
        <v>220</v>
      </c>
    </row>
    <row r="94" spans="1:8">
      <c r="A94" s="102" t="e">
        <f ca="1">IF(ISBLANK(A95),SUM(E84:E90)/40*5,A95)</f>
        <v>#REF!</v>
      </c>
      <c r="B94" s="102" t="e">
        <f ca="1">IF(ISBLANK(B95),E85,B95)</f>
        <v>#REF!</v>
      </c>
      <c r="C94" s="103" t="e">
        <f ca="1">IF(ISBLANK(C95),E84,C95)</f>
        <v>#REF!</v>
      </c>
      <c r="D94" s="102">
        <f>IF(ISBLANK(D95),(E89+E90)/10*5,D95)</f>
        <v>0</v>
      </c>
      <c r="E94" s="104">
        <f ca="1">IF(ISBLANK(E95),E87,E95)</f>
        <v>2</v>
      </c>
      <c r="F94" s="105">
        <f>IF(ISBLANK(F95),E88,F95)</f>
        <v>0</v>
      </c>
    </row>
    <row r="95" spans="1:8">
      <c r="A95" s="106"/>
      <c r="B95" s="107"/>
      <c r="C95" s="107"/>
      <c r="D95" s="107"/>
      <c r="E95" s="108"/>
      <c r="F95" s="107"/>
    </row>
    <row r="96" spans="1:8"/>
    <row r="97"/>
    <row r="98"/>
    <row r="99"/>
    <row r="100"/>
    <row r="101"/>
    <row r="102"/>
    <row r="103"/>
    <row r="104"/>
    <row r="105"/>
    <row r="106"/>
    <row r="107"/>
    <row r="108"/>
    <row r="109"/>
    <row r="110"/>
    <row r="111"/>
    <row r="112"/>
    <row r="113"/>
    <row r="114"/>
  </sheetData>
  <mergeCells count="127">
    <mergeCell ref="A7:D7"/>
    <mergeCell ref="A8:D8"/>
    <mergeCell ref="A9:D9"/>
    <mergeCell ref="A10:D10"/>
    <mergeCell ref="A11:D11"/>
    <mergeCell ref="A12:D12"/>
    <mergeCell ref="A1:H1"/>
    <mergeCell ref="I1:J1"/>
    <mergeCell ref="I2:J2"/>
    <mergeCell ref="A2:E2"/>
    <mergeCell ref="A4:H4"/>
    <mergeCell ref="A6:D6"/>
    <mergeCell ref="A20:D20"/>
    <mergeCell ref="A21:D21"/>
    <mergeCell ref="A22:D22"/>
    <mergeCell ref="A23:D23"/>
    <mergeCell ref="A25:D25"/>
    <mergeCell ref="A26:D26"/>
    <mergeCell ref="A13:D13"/>
    <mergeCell ref="A14:D14"/>
    <mergeCell ref="A15:D15"/>
    <mergeCell ref="A17:D17"/>
    <mergeCell ref="A18:D18"/>
    <mergeCell ref="A19:D19"/>
    <mergeCell ref="A34:H34"/>
    <mergeCell ref="A36:D36"/>
    <mergeCell ref="E36:F36"/>
    <mergeCell ref="A37:D37"/>
    <mergeCell ref="E37:F37"/>
    <mergeCell ref="A38:D38"/>
    <mergeCell ref="E38:F38"/>
    <mergeCell ref="A27:D27"/>
    <mergeCell ref="A28:D28"/>
    <mergeCell ref="A29:D29"/>
    <mergeCell ref="A30:D30"/>
    <mergeCell ref="A31:D31"/>
    <mergeCell ref="A33:H33"/>
    <mergeCell ref="A42:D42"/>
    <mergeCell ref="E42:F42"/>
    <mergeCell ref="A43:D43"/>
    <mergeCell ref="A44:D44"/>
    <mergeCell ref="E44:F44"/>
    <mergeCell ref="A45:D45"/>
    <mergeCell ref="E45:F45"/>
    <mergeCell ref="A39:D39"/>
    <mergeCell ref="E39:F39"/>
    <mergeCell ref="A40:D40"/>
    <mergeCell ref="E40:F40"/>
    <mergeCell ref="A41:D41"/>
    <mergeCell ref="E41:F41"/>
    <mergeCell ref="A49:D49"/>
    <mergeCell ref="E49:F49"/>
    <mergeCell ref="A50:D50"/>
    <mergeCell ref="E50:F50"/>
    <mergeCell ref="A51:D51"/>
    <mergeCell ref="E51:F51"/>
    <mergeCell ref="A46:D46"/>
    <mergeCell ref="E46:F46"/>
    <mergeCell ref="A47:D47"/>
    <mergeCell ref="E47:F47"/>
    <mergeCell ref="A48:D48"/>
    <mergeCell ref="E48:F48"/>
    <mergeCell ref="A56:D56"/>
    <mergeCell ref="E56:F56"/>
    <mergeCell ref="A57:D57"/>
    <mergeCell ref="E57:F57"/>
    <mergeCell ref="A58:D58"/>
    <mergeCell ref="E58:F58"/>
    <mergeCell ref="A52:D52"/>
    <mergeCell ref="E52:F52"/>
    <mergeCell ref="A53:D53"/>
    <mergeCell ref="A54:D54"/>
    <mergeCell ref="E54:F54"/>
    <mergeCell ref="A55:D55"/>
    <mergeCell ref="E55:F55"/>
    <mergeCell ref="A63:D63"/>
    <mergeCell ref="E63:F63"/>
    <mergeCell ref="A64:D64"/>
    <mergeCell ref="A65:D65"/>
    <mergeCell ref="E65:F65"/>
    <mergeCell ref="A66:D66"/>
    <mergeCell ref="E66:F66"/>
    <mergeCell ref="A59:D59"/>
    <mergeCell ref="A60:D60"/>
    <mergeCell ref="E60:F60"/>
    <mergeCell ref="A61:D61"/>
    <mergeCell ref="E61:F61"/>
    <mergeCell ref="A62:D62"/>
    <mergeCell ref="E62:F62"/>
    <mergeCell ref="A70:D70"/>
    <mergeCell ref="E70:F70"/>
    <mergeCell ref="A71:D71"/>
    <mergeCell ref="E71:F71"/>
    <mergeCell ref="A72:D72"/>
    <mergeCell ref="E72:F72"/>
    <mergeCell ref="A67:D67"/>
    <mergeCell ref="E67:F67"/>
    <mergeCell ref="A68:D68"/>
    <mergeCell ref="E68:F68"/>
    <mergeCell ref="A69:D69"/>
    <mergeCell ref="E69:F69"/>
    <mergeCell ref="A76:D76"/>
    <mergeCell ref="E76:F76"/>
    <mergeCell ref="A77:D77"/>
    <mergeCell ref="E77:F77"/>
    <mergeCell ref="A78:D78"/>
    <mergeCell ref="E78:F78"/>
    <mergeCell ref="A73:D73"/>
    <mergeCell ref="E73:F73"/>
    <mergeCell ref="A74:D74"/>
    <mergeCell ref="E74:F74"/>
    <mergeCell ref="A75:D75"/>
    <mergeCell ref="E75:F75"/>
    <mergeCell ref="A85:D85"/>
    <mergeCell ref="A86:D86"/>
    <mergeCell ref="A87:D87"/>
    <mergeCell ref="A88:D88"/>
    <mergeCell ref="A89:D89"/>
    <mergeCell ref="A90:D90"/>
    <mergeCell ref="A79:D79"/>
    <mergeCell ref="E79:F79"/>
    <mergeCell ref="A80:D80"/>
    <mergeCell ref="E80:F80"/>
    <mergeCell ref="A83:D83"/>
    <mergeCell ref="A84:D84"/>
    <mergeCell ref="A81:D81"/>
    <mergeCell ref="E81:F81"/>
  </mergeCells>
  <conditionalFormatting sqref="F11 F20 F14:F15 F29">
    <cfRule type="cellIs" dxfId="19" priority="19" stopIfTrue="1" operator="lessThan">
      <formula>0.1</formula>
    </cfRule>
    <cfRule type="cellIs" dxfId="18" priority="20" stopIfTrue="1" operator="greaterThanOrEqual">
      <formula>0.1</formula>
    </cfRule>
  </conditionalFormatting>
  <conditionalFormatting sqref="F26">
    <cfRule type="cellIs" dxfId="17" priority="17" stopIfTrue="1" operator="lessThan">
      <formula>1.5</formula>
    </cfRule>
    <cfRule type="cellIs" dxfId="16" priority="18" stopIfTrue="1" operator="greaterThanOrEqual">
      <formula>1.5</formula>
    </cfRule>
  </conditionalFormatting>
  <conditionalFormatting sqref="F18:F19 F13">
    <cfRule type="cellIs" dxfId="15" priority="15" stopIfTrue="1" operator="lessThan">
      <formula>0.15</formula>
    </cfRule>
    <cfRule type="cellIs" dxfId="14" priority="16" stopIfTrue="1" operator="greaterThanOrEqual">
      <formula>0.15</formula>
    </cfRule>
  </conditionalFormatting>
  <conditionalFormatting sqref="F8">
    <cfRule type="cellIs" dxfId="13" priority="13" stopIfTrue="1" operator="lessThan">
      <formula>0.66</formula>
    </cfRule>
    <cfRule type="cellIs" dxfId="12" priority="14" stopIfTrue="1" operator="greaterThanOrEqual">
      <formula>0.66</formula>
    </cfRule>
  </conditionalFormatting>
  <conditionalFormatting sqref="F7">
    <cfRule type="cellIs" dxfId="11" priority="1" stopIfTrue="1" operator="lessThanOrEqual">
      <formula>0.25</formula>
    </cfRule>
    <cfRule type="cellIs" dxfId="10" priority="12" stopIfTrue="1" operator="greaterThan">
      <formula>0.5</formula>
    </cfRule>
  </conditionalFormatting>
  <conditionalFormatting sqref="F12">
    <cfRule type="cellIs" dxfId="9" priority="10" stopIfTrue="1" operator="lessThan">
      <formula>0.3</formula>
    </cfRule>
    <cfRule type="cellIs" dxfId="8" priority="11" stopIfTrue="1" operator="greaterThanOrEqual">
      <formula>0.3</formula>
    </cfRule>
  </conditionalFormatting>
  <conditionalFormatting sqref="F28">
    <cfRule type="cellIs" dxfId="7" priority="8" stopIfTrue="1" operator="greaterThanOrEqual">
      <formula>1</formula>
    </cfRule>
    <cfRule type="cellIs" dxfId="6" priority="9" stopIfTrue="1" operator="lessThan">
      <formula>1</formula>
    </cfRule>
  </conditionalFormatting>
  <conditionalFormatting sqref="F30">
    <cfRule type="cellIs" dxfId="5" priority="6" stopIfTrue="1" operator="greaterThan">
      <formula>0.3</formula>
    </cfRule>
    <cfRule type="cellIs" dxfId="4" priority="7" stopIfTrue="1" operator="lessThanOrEqual">
      <formula>0.3</formula>
    </cfRule>
  </conditionalFormatting>
  <conditionalFormatting sqref="F31">
    <cfRule type="cellIs" dxfId="3" priority="4" stopIfTrue="1" operator="greaterThan">
      <formula>0.15</formula>
    </cfRule>
    <cfRule type="cellIs" dxfId="2" priority="5" stopIfTrue="1" operator="lessThanOrEqual">
      <formula>0.15</formula>
    </cfRule>
  </conditionalFormatting>
  <conditionalFormatting sqref="F21">
    <cfRule type="cellIs" dxfId="1" priority="2" stopIfTrue="1" operator="lessThan">
      <formula>0.07</formula>
    </cfRule>
    <cfRule type="cellIs" dxfId="0" priority="3" stopIfTrue="1" operator="greaterThanOrEqual">
      <formula>0.07</formula>
    </cfRule>
  </conditionalFormatting>
  <dataValidations count="3">
    <dataValidation type="list" allowBlank="1" showInputMessage="1" showErrorMessage="1" sqref="H7">
      <formula1>$K$5:$K$8</formula1>
    </dataValidation>
    <dataValidation type="list" allowBlank="1" showInputMessage="1" showErrorMessage="1" sqref="G22:G23 G61:G63 G55:G58 G51:G52 G46:G49">
      <formula1>$K$5:$K$6</formula1>
    </dataValidation>
    <dataValidation type="list" allowBlank="1" showInputMessage="1" showErrorMessage="1" sqref="H8 H18:H21 G37:G42 G50 G45 H11:H15 H26 H28:H31">
      <formula1>$K$5:$K$7</formula1>
    </dataValidation>
  </dataValidations>
  <pageMargins left="0.7" right="0.7" top="0.75" bottom="0.75" header="0.3" footer="0.3"/>
  <pageSetup scale="64" orientation="portrait" r:id="rId1"/>
  <rowBreaks count="1" manualBreakCount="1">
    <brk id="53" max="16383" man="1"/>
  </rowBreaks>
  <drawing r:id="rId2"/>
  <legacyDrawing r:id="rId3"/>
</worksheet>
</file>

<file path=xl/worksheets/sheet22.xml><?xml version="1.0" encoding="utf-8"?>
<worksheet xmlns="http://schemas.openxmlformats.org/spreadsheetml/2006/main" xmlns:r="http://schemas.openxmlformats.org/officeDocument/2006/relationships">
  <sheetPr codeName="Sheet3"/>
  <dimension ref="A1:R672"/>
  <sheetViews>
    <sheetView showGridLines="0" zoomScale="75" zoomScaleNormal="75" zoomScaleSheetLayoutView="90" workbookViewId="0">
      <selection activeCell="C9" sqref="C9"/>
    </sheetView>
  </sheetViews>
  <sheetFormatPr defaultColWidth="0" defaultRowHeight="15" zeroHeight="1"/>
  <cols>
    <col min="1" max="1" width="5.7109375" style="1" customWidth="1"/>
    <col min="2" max="2" width="13.28515625" style="1" customWidth="1"/>
    <col min="3" max="3" width="14" style="1" customWidth="1"/>
    <col min="4" max="4" width="9.42578125" style="1" customWidth="1"/>
    <col min="5" max="5" width="13.5703125" style="1" customWidth="1"/>
    <col min="6" max="6" width="1" style="1" customWidth="1"/>
    <col min="7" max="7" width="10.28515625" style="1" customWidth="1"/>
    <col min="8" max="8" width="13.42578125" style="1" customWidth="1"/>
    <col min="9" max="9" width="12.140625" style="1" customWidth="1"/>
    <col min="10" max="10" width="11.42578125" style="1" customWidth="1"/>
    <col min="11" max="11" width="10.85546875" style="1" customWidth="1"/>
    <col min="12" max="12" width="11.85546875" style="1" customWidth="1"/>
    <col min="13" max="13" width="12.85546875" style="1" customWidth="1"/>
    <col min="14" max="14" width="11.42578125" style="1" customWidth="1"/>
    <col min="15" max="15" width="11.5703125" style="1" customWidth="1"/>
    <col min="16" max="16" width="1.28515625" style="1" customWidth="1"/>
    <col min="17" max="18" width="9.140625" style="1" customWidth="1"/>
    <col min="19" max="16384" width="0" style="1" hidden="1"/>
  </cols>
  <sheetData>
    <row r="1" spans="1:18">
      <c r="A1" s="5"/>
      <c r="B1" s="5"/>
      <c r="C1" s="5"/>
      <c r="E1" s="38" t="s">
        <v>5</v>
      </c>
      <c r="F1" s="38"/>
      <c r="G1" s="39"/>
      <c r="H1" s="10"/>
      <c r="I1" s="10"/>
      <c r="J1" s="40"/>
      <c r="K1" s="41"/>
      <c r="L1" s="41"/>
      <c r="M1" s="41"/>
      <c r="N1" s="10"/>
      <c r="O1" s="10"/>
      <c r="P1" s="10"/>
      <c r="Q1" s="1178" t="s">
        <v>6</v>
      </c>
      <c r="R1" s="1178"/>
    </row>
    <row r="2" spans="1:18" ht="21">
      <c r="A2" s="6"/>
      <c r="B2" s="6"/>
      <c r="C2" s="6"/>
      <c r="E2" s="42" t="str">
        <f ca="1">Statements!A2</f>
        <v>Coca-Cola Co</v>
      </c>
      <c r="F2" s="42"/>
      <c r="G2" s="42"/>
      <c r="H2" s="10"/>
      <c r="I2" s="10"/>
      <c r="J2" s="43"/>
      <c r="K2" s="111" t="s">
        <v>226</v>
      </c>
      <c r="L2" s="41"/>
      <c r="M2" s="41"/>
      <c r="N2" s="10"/>
      <c r="O2" s="10"/>
      <c r="P2" s="10"/>
      <c r="Q2" s="1179" t="str">
        <f ca="1">Statements!$A$5</f>
        <v>KO</v>
      </c>
      <c r="R2" s="1179"/>
    </row>
    <row r="3" spans="1:18" ht="15.75">
      <c r="A3" s="7"/>
      <c r="B3" s="7"/>
      <c r="C3" s="7"/>
      <c r="E3" s="1180">
        <f ca="1">Statements!A4</f>
        <v>40369</v>
      </c>
      <c r="F3" s="1180"/>
      <c r="G3" s="1180"/>
      <c r="H3" s="10"/>
      <c r="I3" s="10"/>
      <c r="J3" s="44"/>
      <c r="K3" s="44"/>
      <c r="L3" s="41"/>
      <c r="M3" s="41"/>
      <c r="N3" s="10"/>
      <c r="O3" s="10"/>
      <c r="P3" s="10"/>
      <c r="Q3" s="141"/>
      <c r="R3" s="142" t="s">
        <v>233</v>
      </c>
    </row>
    <row r="4" spans="1:18" ht="6" customHeight="1">
      <c r="A4" s="3"/>
      <c r="B4" s="3"/>
      <c r="C4" s="3"/>
      <c r="D4" s="3"/>
      <c r="E4" s="19"/>
      <c r="F4" s="19"/>
      <c r="G4" s="19"/>
      <c r="H4" s="20"/>
      <c r="I4" s="21"/>
      <c r="J4" s="20"/>
      <c r="K4" s="22"/>
      <c r="L4" s="22"/>
      <c r="M4" s="22"/>
      <c r="N4" s="23"/>
      <c r="O4" s="24"/>
      <c r="P4" s="24"/>
      <c r="Q4" s="19"/>
      <c r="R4" s="19"/>
    </row>
    <row r="5" spans="1:18" ht="18">
      <c r="A5" s="9" t="s">
        <v>57</v>
      </c>
      <c r="B5" s="9" t="s">
        <v>9</v>
      </c>
      <c r="C5" s="9" t="s">
        <v>56</v>
      </c>
      <c r="D5" s="9" t="s">
        <v>60</v>
      </c>
      <c r="E5" s="1177" t="s">
        <v>59</v>
      </c>
      <c r="F5" s="1177"/>
      <c r="G5" s="1177"/>
      <c r="H5" s="1177"/>
      <c r="I5" s="1177"/>
      <c r="J5" s="1177"/>
      <c r="K5" s="1177"/>
      <c r="L5" s="1177"/>
      <c r="M5" s="1177"/>
      <c r="N5" s="1177"/>
      <c r="O5" s="1177"/>
      <c r="P5" s="1177"/>
      <c r="Q5" s="1177"/>
      <c r="R5" s="1177"/>
    </row>
    <row r="6" spans="1:18">
      <c r="A6" s="1">
        <f ca="1">'DCF Valuation'!C9</f>
        <v>2000</v>
      </c>
      <c r="B6" s="8">
        <f ca="1">NPV('DCF Valuation'!$G$3,'DCF Valuation'!C14:L14,'DCF Valuation'!B72:K72)+DCFData!B$36</f>
        <v>45033.256750967972</v>
      </c>
      <c r="C6" s="8">
        <f ca="1">IF(Statements!E$37=0,0,B6/Statements!E$37)</f>
        <v>18.107461500188169</v>
      </c>
      <c r="D6" s="8">
        <f ca="1">C6*(1-'DCF Valuation'!$E$3)</f>
        <v>9.0537307500940845</v>
      </c>
      <c r="E6" s="8"/>
      <c r="F6" s="8"/>
      <c r="G6" s="8"/>
      <c r="H6" s="8"/>
    </row>
    <row r="7" spans="1:18">
      <c r="A7" s="1">
        <f ca="1">A6+1</f>
        <v>2001</v>
      </c>
      <c r="B7" s="292">
        <f ca="1">NPV('DCF Valuation'!$G$3,'DCF Valuation'!D14:L14,'DCF Valuation'!B72:K72,'DCF Valuation'!B74)+DCFData!C$36</f>
        <v>49766.056858048833</v>
      </c>
      <c r="C7" s="8">
        <f ca="1">IF(Statements!F$37=0,0,B7/Statements!F$37)</f>
        <v>20.010477224788431</v>
      </c>
      <c r="D7" s="8">
        <f ca="1">C7*(1-'DCF Valuation'!$E$3)</f>
        <v>10.005238612394216</v>
      </c>
      <c r="E7" s="8"/>
      <c r="F7" s="8"/>
      <c r="G7" s="8"/>
      <c r="H7" s="8"/>
    </row>
    <row r="8" spans="1:18">
      <c r="A8" s="1">
        <f t="shared" ref="A8:A16" ca="1" si="0">A7+1</f>
        <v>2002</v>
      </c>
      <c r="B8" s="292">
        <f ca="1">NPV('DCF Valuation'!$G$3,'DCF Valuation'!E14:$L14,'DCF Valuation'!$B72:$K72,'DCF Valuation'!$B74:C74)+DCFData!D$36</f>
        <v>51217.603656888357</v>
      </c>
      <c r="C8" s="8">
        <f ca="1">IF(Statements!G$37=0,0,B8/Statements!G$37)</f>
        <v>20.627307151384759</v>
      </c>
      <c r="D8" s="8">
        <f ca="1">C8*(1-'DCF Valuation'!$E$3)</f>
        <v>10.31365357569238</v>
      </c>
      <c r="E8" s="8"/>
      <c r="F8" s="8"/>
      <c r="G8" s="8"/>
      <c r="H8" s="8"/>
    </row>
    <row r="9" spans="1:18">
      <c r="A9" s="1">
        <f t="shared" ca="1" si="0"/>
        <v>2003</v>
      </c>
      <c r="B9" s="292">
        <f ca="1">NPV('DCF Valuation'!$G$3,'DCF Valuation'!F14:$L14,'DCF Valuation'!$B72:$K72,'DCF Valuation'!$B74:D74)+DCFData!E$36</f>
        <v>56332.447870864809</v>
      </c>
      <c r="C9" s="8">
        <f ca="1">IF(Statements!H$37=0,0,B9/Statements!H$37)</f>
        <v>22.880766803763123</v>
      </c>
      <c r="D9" s="8">
        <f ca="1">C9*(1-'DCF Valuation'!$E$3)</f>
        <v>11.440383401881562</v>
      </c>
      <c r="E9" s="8"/>
      <c r="F9" s="8"/>
      <c r="G9" s="8"/>
      <c r="H9" s="8"/>
    </row>
    <row r="10" spans="1:18">
      <c r="A10" s="1">
        <f t="shared" ca="1" si="0"/>
        <v>2004</v>
      </c>
      <c r="B10" s="292">
        <f ca="1">NPV('DCF Valuation'!$G$3,'DCF Valuation'!G14:$L14,'DCF Valuation'!$B72:$K72,'DCF Valuation'!$B74:E74)+DCFData!F$36</f>
        <v>60635.874543772959</v>
      </c>
      <c r="C10" s="8">
        <f ca="1">IF(Statements!I$37=0,0,B10/Statements!I$37)</f>
        <v>24.9633077578316</v>
      </c>
      <c r="D10" s="8">
        <f ca="1">C10*(1-'DCF Valuation'!$E$3)</f>
        <v>12.4816538789158</v>
      </c>
      <c r="E10" s="8"/>
      <c r="F10" s="8"/>
      <c r="G10" s="8"/>
      <c r="H10" s="8"/>
    </row>
    <row r="11" spans="1:18">
      <c r="A11" s="1">
        <f t="shared" ca="1" si="0"/>
        <v>2005</v>
      </c>
      <c r="B11" s="292">
        <f ca="1">NPV('DCF Valuation'!$G$3,'DCF Valuation'!H14:$L14,'DCF Valuation'!$B72:$K72,'DCF Valuation'!$B74:F74)+DCFData!G$36</f>
        <v>63087.232005282196</v>
      </c>
      <c r="C11" s="8">
        <f ca="1">IF(Statements!J$37=0,0,B11/Statements!J$37)</f>
        <v>26.363239450598495</v>
      </c>
      <c r="D11" s="8">
        <f ca="1">C11*(1-'DCF Valuation'!$E$3)</f>
        <v>13.181619725299248</v>
      </c>
      <c r="E11" s="8"/>
      <c r="F11" s="8"/>
      <c r="G11" s="8"/>
      <c r="H11" s="8"/>
    </row>
    <row r="12" spans="1:18">
      <c r="A12" s="1">
        <f t="shared" ca="1" si="0"/>
        <v>2006</v>
      </c>
      <c r="B12" s="292">
        <f ca="1">NPV('DCF Valuation'!$G$3,'DCF Valuation'!I14:$L14,'DCF Valuation'!$B72:$K72,'DCF Valuation'!$B74:G74)+DCFData!H$36</f>
        <v>64711.860337660233</v>
      </c>
      <c r="C12" s="8">
        <f ca="1">IF(Statements!K$37=0,0,B12/Statements!K$37)</f>
        <v>27.536961845812865</v>
      </c>
      <c r="D12" s="8">
        <f ca="1">C12*(1-'DCF Valuation'!$E$3)</f>
        <v>13.768480922906432</v>
      </c>
      <c r="E12" s="8"/>
      <c r="F12" s="8"/>
      <c r="G12" s="8"/>
      <c r="H12" s="8"/>
    </row>
    <row r="13" spans="1:18">
      <c r="A13" s="1">
        <f t="shared" ca="1" si="0"/>
        <v>2007</v>
      </c>
      <c r="B13" s="292">
        <f ca="1">NPV('DCF Valuation'!$G$3,'DCF Valuation'!J14:$L14,'DCF Valuation'!$B72:$K72,'DCF Valuation'!$B74:H74)+DCFData!I$36</f>
        <v>65440.691284675981</v>
      </c>
      <c r="C13" s="8">
        <f ca="1">IF(Statements!L$37=0,0,B13/Statements!L$37)</f>
        <v>28.074084635210632</v>
      </c>
      <c r="D13" s="8">
        <f ca="1">C13*(1-'DCF Valuation'!$E$3)</f>
        <v>14.037042317605316</v>
      </c>
      <c r="E13" s="8"/>
      <c r="F13" s="8"/>
      <c r="G13" s="8"/>
      <c r="H13" s="8"/>
    </row>
    <row r="14" spans="1:18">
      <c r="A14" s="1">
        <f t="shared" ca="1" si="0"/>
        <v>2008</v>
      </c>
      <c r="B14" s="292">
        <f ca="1">NPV('DCF Valuation'!$G$3,'DCF Valuation'!K14:$L14,'DCF Valuation'!$B72:$K72,'DCF Valuation'!$B74:I74)+DCFData!J$36</f>
        <v>66382.640176528512</v>
      </c>
      <c r="C14" s="8">
        <f ca="1">IF(Statements!M$37=0,0,B14/Statements!M$37)</f>
        <v>28.417226102965973</v>
      </c>
      <c r="D14" s="8">
        <f ca="1">C14*(1-'DCF Valuation'!$E$3)</f>
        <v>14.208613051482986</v>
      </c>
      <c r="E14" s="8"/>
      <c r="F14" s="8"/>
      <c r="G14" s="8"/>
      <c r="H14" s="8"/>
    </row>
    <row r="15" spans="1:18">
      <c r="A15" s="1">
        <f t="shared" ca="1" si="0"/>
        <v>2009</v>
      </c>
      <c r="B15" s="292">
        <f ca="1">NPV('DCF Valuation'!$G$3,'DCF Valuation'!L14:$L14,'DCF Valuation'!$B72:$K72,'DCF Valuation'!$B74:J74)+DCFData!K$36</f>
        <v>73654.16491353407</v>
      </c>
      <c r="C15" s="8">
        <f ca="1">IF(Statements!N$37=0,0,B15/Statements!N$37)</f>
        <v>31.624802453213427</v>
      </c>
      <c r="D15" s="8">
        <f ca="1">C15*(1-'DCF Valuation'!$E$3)</f>
        <v>15.812401226606713</v>
      </c>
      <c r="E15" s="8"/>
      <c r="F15" s="8"/>
      <c r="G15" s="8"/>
      <c r="H15" s="8"/>
    </row>
    <row r="16" spans="1:18">
      <c r="A16" s="1">
        <f t="shared" ca="1" si="0"/>
        <v>2010</v>
      </c>
      <c r="B16" s="292">
        <f ca="1">NPV('DCF Valuation'!$G$3,'DCF Valuation'!B72:K72,'DCF Valuation'!B74:K74)+DCFData!K36</f>
        <v>76353.532056454977</v>
      </c>
      <c r="C16" s="8">
        <f ca="1">B16/'DCF Valuation'!B78</f>
        <v>33.053477080716441</v>
      </c>
      <c r="D16" s="8">
        <f ca="1">C16*(1-'DCF Valuation'!$E$3)</f>
        <v>16.52673854035822</v>
      </c>
      <c r="E16" s="8"/>
      <c r="F16" s="8"/>
      <c r="G16" s="8"/>
      <c r="H16" s="8"/>
    </row>
    <row r="17"/>
    <row r="18"/>
    <row r="19"/>
    <row r="20"/>
    <row r="21"/>
    <row r="22"/>
    <row r="23"/>
    <row r="24"/>
    <row r="25"/>
    <row r="26"/>
    <row r="27"/>
    <row r="28"/>
    <row r="29"/>
    <row r="30"/>
    <row r="31"/>
    <row r="32"/>
    <row r="33" spans="5:12"/>
    <row r="34" spans="5:12" ht="9.75" customHeight="1"/>
    <row r="35" spans="5:12"/>
    <row r="36" spans="5:12" ht="18.75" customHeight="1"/>
    <row r="37" spans="5:12" ht="30">
      <c r="E37" s="25" t="s">
        <v>58</v>
      </c>
      <c r="F37" s="25"/>
      <c r="G37" s="26" t="s">
        <v>71</v>
      </c>
      <c r="H37" s="25" t="s">
        <v>56</v>
      </c>
      <c r="I37" s="25" t="s">
        <v>60</v>
      </c>
    </row>
    <row r="38" spans="5:12">
      <c r="E38" s="16">
        <f t="array" aca="1" ref="E38:E611" ca="1">[1]!RCHGetYahooHistory(Q2,1997,1,2,YEAR(E3),MONTH(E3),DAY(E3),"w","d",0,0,0)</f>
        <v>40365</v>
      </c>
      <c r="F38" s="16"/>
      <c r="G38" s="17">
        <f t="array" aca="1" ref="G38:G611" ca="1">[1]!RCHGetYahooHistory(Q2,1997,1,2,YEAR(E3),MONTH(E3),DAY(E3),"w","a",0,0,0)</f>
        <v>52.4</v>
      </c>
      <c r="H38" s="8">
        <f t="shared" ref="H38:I40" ca="1" si="1">C$16</f>
        <v>33.053477080716441</v>
      </c>
      <c r="I38" s="8">
        <f t="shared" ca="1" si="1"/>
        <v>16.52673854035822</v>
      </c>
    </row>
    <row r="39" spans="5:12">
      <c r="E39" s="14">
        <f ca="1"/>
        <v>40357</v>
      </c>
      <c r="F39" s="14"/>
      <c r="G39" s="15">
        <f ca="1"/>
        <v>50.05</v>
      </c>
      <c r="H39" s="8">
        <f t="shared" ca="1" si="1"/>
        <v>33.053477080716441</v>
      </c>
      <c r="I39" s="8">
        <f t="shared" ca="1" si="1"/>
        <v>16.52673854035822</v>
      </c>
    </row>
    <row r="40" spans="5:12">
      <c r="E40" s="14">
        <f ca="1"/>
        <v>40350</v>
      </c>
      <c r="F40" s="14"/>
      <c r="G40" s="15">
        <f ca="1"/>
        <v>50.26</v>
      </c>
      <c r="H40" s="8">
        <f t="shared" ca="1" si="1"/>
        <v>33.053477080716441</v>
      </c>
      <c r="I40" s="8">
        <f t="shared" ca="1" si="1"/>
        <v>16.52673854035822</v>
      </c>
    </row>
    <row r="41" spans="5:12">
      <c r="E41" s="14">
        <f ca="1"/>
        <v>40343</v>
      </c>
      <c r="F41" s="14"/>
      <c r="G41" s="15">
        <f ca="1"/>
        <v>52.31</v>
      </c>
      <c r="H41" s="8">
        <f t="shared" ref="H41:H72" ca="1" si="2">C$16</f>
        <v>33.053477080716441</v>
      </c>
      <c r="I41" s="8">
        <f t="shared" ref="I41:I72" ca="1" si="3">D$16</f>
        <v>16.52673854035822</v>
      </c>
    </row>
    <row r="42" spans="5:12">
      <c r="E42" s="14">
        <f ca="1"/>
        <v>40336</v>
      </c>
      <c r="F42" s="14"/>
      <c r="G42" s="15">
        <f ca="1"/>
        <v>51.65</v>
      </c>
      <c r="H42" s="8">
        <f t="shared" ca="1" si="2"/>
        <v>33.053477080716441</v>
      </c>
      <c r="I42" s="8">
        <f t="shared" ca="1" si="3"/>
        <v>16.52673854035822</v>
      </c>
      <c r="L42"/>
    </row>
    <row r="43" spans="5:12">
      <c r="E43" s="14">
        <f ca="1"/>
        <v>40330</v>
      </c>
      <c r="F43" s="14"/>
      <c r="G43" s="15">
        <f ca="1"/>
        <v>50.84</v>
      </c>
      <c r="H43" s="8">
        <f ca="1">C$16</f>
        <v>33.053477080716441</v>
      </c>
      <c r="I43" s="8">
        <f t="shared" ca="1" si="3"/>
        <v>16.52673854035822</v>
      </c>
    </row>
    <row r="44" spans="5:12">
      <c r="E44" s="14">
        <f ca="1"/>
        <v>40322</v>
      </c>
      <c r="F44" s="14"/>
      <c r="G44" s="15">
        <f ca="1"/>
        <v>50.97</v>
      </c>
      <c r="H44" s="8">
        <f t="shared" ca="1" si="2"/>
        <v>33.053477080716441</v>
      </c>
      <c r="I44" s="8">
        <f t="shared" ca="1" si="3"/>
        <v>16.52673854035822</v>
      </c>
      <c r="L44" s="12"/>
    </row>
    <row r="45" spans="5:12">
      <c r="E45" s="14">
        <f ca="1"/>
        <v>40315</v>
      </c>
      <c r="F45" s="14"/>
      <c r="G45" s="15">
        <f ca="1"/>
        <v>51.16</v>
      </c>
      <c r="H45" s="8">
        <f t="shared" ca="1" si="2"/>
        <v>33.053477080716441</v>
      </c>
      <c r="I45" s="8">
        <f t="shared" ca="1" si="3"/>
        <v>16.52673854035822</v>
      </c>
    </row>
    <row r="46" spans="5:12">
      <c r="E46" s="14">
        <f ca="1"/>
        <v>40308</v>
      </c>
      <c r="F46" s="14"/>
      <c r="G46" s="15">
        <f ca="1"/>
        <v>52.89</v>
      </c>
      <c r="H46" s="8">
        <f t="shared" ca="1" si="2"/>
        <v>33.053477080716441</v>
      </c>
      <c r="I46" s="8">
        <f t="shared" ca="1" si="3"/>
        <v>16.52673854035822</v>
      </c>
    </row>
    <row r="47" spans="5:12">
      <c r="E47" s="14">
        <f ca="1"/>
        <v>40301</v>
      </c>
      <c r="F47" s="14"/>
      <c r="G47" s="15">
        <f ca="1"/>
        <v>52.23</v>
      </c>
      <c r="H47" s="8">
        <f t="shared" ca="1" si="2"/>
        <v>33.053477080716441</v>
      </c>
      <c r="I47" s="8">
        <f t="shared" ca="1" si="3"/>
        <v>16.52673854035822</v>
      </c>
    </row>
    <row r="48" spans="5:12">
      <c r="E48" s="14">
        <f ca="1"/>
        <v>40294</v>
      </c>
      <c r="F48" s="14"/>
      <c r="G48" s="15">
        <f ca="1"/>
        <v>53</v>
      </c>
      <c r="H48" s="8">
        <f t="shared" ca="1" si="2"/>
        <v>33.053477080716441</v>
      </c>
      <c r="I48" s="8">
        <f t="shared" ca="1" si="3"/>
        <v>16.52673854035822</v>
      </c>
    </row>
    <row r="49" spans="5:9">
      <c r="E49" s="14">
        <f ca="1"/>
        <v>40287</v>
      </c>
      <c r="F49" s="14"/>
      <c r="G49" s="15">
        <f ca="1"/>
        <v>53.43</v>
      </c>
      <c r="H49" s="8">
        <f t="shared" ca="1" si="2"/>
        <v>33.053477080716441</v>
      </c>
      <c r="I49" s="8">
        <f t="shared" ca="1" si="3"/>
        <v>16.52673854035822</v>
      </c>
    </row>
    <row r="50" spans="5:9">
      <c r="E50" s="14">
        <f ca="1"/>
        <v>40280</v>
      </c>
      <c r="F50" s="14"/>
      <c r="G50" s="15">
        <f ca="1"/>
        <v>54.51</v>
      </c>
      <c r="H50" s="8">
        <f t="shared" ca="1" si="2"/>
        <v>33.053477080716441</v>
      </c>
      <c r="I50" s="8">
        <f t="shared" ca="1" si="3"/>
        <v>16.52673854035822</v>
      </c>
    </row>
    <row r="51" spans="5:9">
      <c r="E51" s="14">
        <f ca="1"/>
        <v>40273</v>
      </c>
      <c r="F51" s="14"/>
      <c r="G51" s="15">
        <f ca="1"/>
        <v>54.13</v>
      </c>
      <c r="H51" s="8">
        <f t="shared" ca="1" si="2"/>
        <v>33.053477080716441</v>
      </c>
      <c r="I51" s="8">
        <f t="shared" ca="1" si="3"/>
        <v>16.52673854035822</v>
      </c>
    </row>
    <row r="52" spans="5:9">
      <c r="E52" s="14">
        <f ca="1"/>
        <v>40266</v>
      </c>
      <c r="F52" s="14"/>
      <c r="G52" s="15">
        <f ca="1"/>
        <v>54.84</v>
      </c>
      <c r="H52" s="8">
        <f t="shared" ca="1" si="2"/>
        <v>33.053477080716441</v>
      </c>
      <c r="I52" s="8">
        <f t="shared" ca="1" si="3"/>
        <v>16.52673854035822</v>
      </c>
    </row>
    <row r="53" spans="5:9">
      <c r="E53" s="14">
        <f ca="1"/>
        <v>40259</v>
      </c>
      <c r="F53" s="14"/>
      <c r="G53" s="15">
        <f ca="1"/>
        <v>54.19</v>
      </c>
      <c r="H53" s="8">
        <f t="shared" ca="1" si="2"/>
        <v>33.053477080716441</v>
      </c>
      <c r="I53" s="8">
        <f t="shared" ca="1" si="3"/>
        <v>16.52673854035822</v>
      </c>
    </row>
    <row r="54" spans="5:9">
      <c r="E54" s="14">
        <f ca="1"/>
        <v>40252</v>
      </c>
      <c r="F54" s="14"/>
      <c r="G54" s="15">
        <f ca="1"/>
        <v>54.29</v>
      </c>
      <c r="H54" s="8">
        <f ca="1">C16</f>
        <v>33.053477080716441</v>
      </c>
      <c r="I54" s="8">
        <f t="shared" ca="1" si="3"/>
        <v>16.52673854035822</v>
      </c>
    </row>
    <row r="55" spans="5:9">
      <c r="E55" s="14">
        <f ca="1"/>
        <v>40245</v>
      </c>
      <c r="F55" s="14"/>
      <c r="G55" s="15">
        <f ca="1"/>
        <v>52.9</v>
      </c>
      <c r="H55" s="8">
        <f t="shared" ca="1" si="2"/>
        <v>33.053477080716441</v>
      </c>
      <c r="I55" s="8">
        <f t="shared" ca="1" si="3"/>
        <v>16.52673854035822</v>
      </c>
    </row>
    <row r="56" spans="5:9">
      <c r="E56" s="14">
        <f ca="1"/>
        <v>40238</v>
      </c>
      <c r="F56" s="14"/>
      <c r="G56" s="15">
        <f ca="1"/>
        <v>53.8</v>
      </c>
      <c r="H56" s="8">
        <f t="shared" ca="1" si="2"/>
        <v>33.053477080716441</v>
      </c>
      <c r="I56" s="8">
        <f t="shared" ca="1" si="3"/>
        <v>16.52673854035822</v>
      </c>
    </row>
    <row r="57" spans="5:9">
      <c r="E57" s="14">
        <f ca="1"/>
        <v>40231</v>
      </c>
      <c r="F57" s="14"/>
      <c r="G57" s="15">
        <f ca="1"/>
        <v>51.85</v>
      </c>
      <c r="H57" s="8">
        <f t="shared" ca="1" si="2"/>
        <v>33.053477080716441</v>
      </c>
      <c r="I57" s="8">
        <f t="shared" ca="1" si="3"/>
        <v>16.52673854035822</v>
      </c>
    </row>
    <row r="58" spans="5:9">
      <c r="E58" s="14">
        <f ca="1"/>
        <v>40225</v>
      </c>
      <c r="F58" s="14"/>
      <c r="G58" s="15">
        <f ca="1"/>
        <v>54.8</v>
      </c>
      <c r="H58" s="8">
        <f t="shared" ca="1" si="2"/>
        <v>33.053477080716441</v>
      </c>
      <c r="I58" s="8">
        <f t="shared" ca="1" si="3"/>
        <v>16.52673854035822</v>
      </c>
    </row>
    <row r="59" spans="5:9">
      <c r="E59" s="14">
        <f ca="1"/>
        <v>40217</v>
      </c>
      <c r="F59" s="14"/>
      <c r="G59" s="15">
        <f ca="1"/>
        <v>53.09</v>
      </c>
      <c r="H59" s="8">
        <f t="shared" ca="1" si="2"/>
        <v>33.053477080716441</v>
      </c>
      <c r="I59" s="8">
        <f t="shared" ca="1" si="3"/>
        <v>16.52673854035822</v>
      </c>
    </row>
    <row r="60" spans="5:9">
      <c r="E60" s="14">
        <f ca="1"/>
        <v>40210</v>
      </c>
      <c r="F60" s="14"/>
      <c r="G60" s="15">
        <f ca="1"/>
        <v>52.22</v>
      </c>
      <c r="H60" s="8">
        <f t="shared" ca="1" si="2"/>
        <v>33.053477080716441</v>
      </c>
      <c r="I60" s="8">
        <f t="shared" ca="1" si="3"/>
        <v>16.52673854035822</v>
      </c>
    </row>
    <row r="61" spans="5:9">
      <c r="E61" s="14">
        <f ca="1"/>
        <v>40203</v>
      </c>
      <c r="F61" s="14"/>
      <c r="G61" s="15">
        <f ca="1"/>
        <v>53.36</v>
      </c>
      <c r="H61" s="8">
        <f t="shared" ca="1" si="2"/>
        <v>33.053477080716441</v>
      </c>
      <c r="I61" s="8">
        <f t="shared" ca="1" si="3"/>
        <v>16.52673854035822</v>
      </c>
    </row>
    <row r="62" spans="5:9">
      <c r="E62" s="14">
        <f ca="1"/>
        <v>40197</v>
      </c>
      <c r="F62" s="14"/>
      <c r="G62" s="15">
        <f ca="1"/>
        <v>53.35</v>
      </c>
      <c r="H62" s="8">
        <f t="shared" ca="1" si="2"/>
        <v>33.053477080716441</v>
      </c>
      <c r="I62" s="8">
        <f t="shared" ca="1" si="3"/>
        <v>16.52673854035822</v>
      </c>
    </row>
    <row r="63" spans="5:9">
      <c r="E63" s="14">
        <f ca="1"/>
        <v>40189</v>
      </c>
      <c r="F63" s="14"/>
      <c r="G63" s="15">
        <f ca="1"/>
        <v>55.36</v>
      </c>
      <c r="H63" s="8">
        <f t="shared" ca="1" si="2"/>
        <v>33.053477080716441</v>
      </c>
      <c r="I63" s="8">
        <f t="shared" ca="1" si="3"/>
        <v>16.52673854035822</v>
      </c>
    </row>
    <row r="64" spans="5:9">
      <c r="E64" s="14">
        <f ca="1"/>
        <v>40182</v>
      </c>
      <c r="F64" s="14"/>
      <c r="G64" s="15">
        <f ca="1"/>
        <v>54.24</v>
      </c>
      <c r="H64" s="8">
        <f t="shared" ca="1" si="2"/>
        <v>33.053477080716441</v>
      </c>
      <c r="I64" s="8">
        <f t="shared" ca="1" si="3"/>
        <v>16.52673854035822</v>
      </c>
    </row>
    <row r="65" spans="5:9">
      <c r="E65" s="14">
        <f ca="1"/>
        <v>40175</v>
      </c>
      <c r="F65" s="14"/>
      <c r="G65" s="15">
        <f ca="1"/>
        <v>56.06</v>
      </c>
      <c r="H65" s="8">
        <f t="shared" ca="1" si="2"/>
        <v>33.053477080716441</v>
      </c>
      <c r="I65" s="8">
        <f t="shared" ca="1" si="3"/>
        <v>16.52673854035822</v>
      </c>
    </row>
    <row r="66" spans="5:9">
      <c r="E66" s="14">
        <f ca="1"/>
        <v>40168</v>
      </c>
      <c r="F66" s="14"/>
      <c r="G66" s="15">
        <f ca="1"/>
        <v>56.5</v>
      </c>
      <c r="H66" s="8">
        <f t="shared" ca="1" si="2"/>
        <v>33.053477080716441</v>
      </c>
      <c r="I66" s="8">
        <f t="shared" ca="1" si="3"/>
        <v>16.52673854035822</v>
      </c>
    </row>
    <row r="67" spans="5:9">
      <c r="E67" s="14">
        <f ca="1"/>
        <v>40161</v>
      </c>
      <c r="F67" s="14"/>
      <c r="G67" s="15">
        <f ca="1"/>
        <v>55.98</v>
      </c>
      <c r="H67" s="8">
        <f t="shared" ca="1" si="2"/>
        <v>33.053477080716441</v>
      </c>
      <c r="I67" s="8">
        <f t="shared" ca="1" si="3"/>
        <v>16.52673854035822</v>
      </c>
    </row>
    <row r="68" spans="5:9">
      <c r="E68" s="14">
        <f ca="1"/>
        <v>40154</v>
      </c>
      <c r="F68" s="14"/>
      <c r="G68" s="15">
        <f ca="1"/>
        <v>58.14</v>
      </c>
      <c r="H68" s="8">
        <f t="shared" ca="1" si="2"/>
        <v>33.053477080716441</v>
      </c>
      <c r="I68" s="8">
        <f t="shared" ca="1" si="3"/>
        <v>16.52673854035822</v>
      </c>
    </row>
    <row r="69" spans="5:9">
      <c r="E69" s="14">
        <f ca="1"/>
        <v>40147</v>
      </c>
      <c r="F69" s="14"/>
      <c r="G69" s="15">
        <f ca="1"/>
        <v>56.54</v>
      </c>
      <c r="H69" s="8">
        <f t="shared" ca="1" si="2"/>
        <v>33.053477080716441</v>
      </c>
      <c r="I69" s="8">
        <f t="shared" ca="1" si="3"/>
        <v>16.52673854035822</v>
      </c>
    </row>
    <row r="70" spans="5:9">
      <c r="E70" s="14">
        <f ca="1"/>
        <v>40140</v>
      </c>
      <c r="F70" s="14"/>
      <c r="G70" s="15">
        <f ca="1"/>
        <v>56.24</v>
      </c>
      <c r="H70" s="8">
        <f t="shared" ca="1" si="2"/>
        <v>33.053477080716441</v>
      </c>
      <c r="I70" s="8">
        <f t="shared" ca="1" si="3"/>
        <v>16.52673854035822</v>
      </c>
    </row>
    <row r="71" spans="5:9">
      <c r="E71" s="14">
        <f ca="1"/>
        <v>40133</v>
      </c>
      <c r="F71" s="14"/>
      <c r="G71" s="15">
        <f ca="1"/>
        <v>56.14</v>
      </c>
      <c r="H71" s="8">
        <f t="shared" ca="1" si="2"/>
        <v>33.053477080716441</v>
      </c>
      <c r="I71" s="8">
        <f t="shared" ca="1" si="3"/>
        <v>16.52673854035822</v>
      </c>
    </row>
    <row r="72" spans="5:9">
      <c r="E72" s="14">
        <f ca="1"/>
        <v>40126</v>
      </c>
      <c r="F72" s="14"/>
      <c r="G72" s="15">
        <f ca="1"/>
        <v>55.14</v>
      </c>
      <c r="H72" s="8">
        <f t="shared" ca="1" si="2"/>
        <v>33.053477080716441</v>
      </c>
      <c r="I72" s="8">
        <f t="shared" ca="1" si="3"/>
        <v>16.52673854035822</v>
      </c>
    </row>
    <row r="73" spans="5:9">
      <c r="E73" s="14">
        <f ca="1"/>
        <v>40119</v>
      </c>
      <c r="F73" s="14"/>
      <c r="G73" s="15">
        <f ca="1"/>
        <v>53.22</v>
      </c>
      <c r="H73" s="8">
        <f t="shared" ref="H73:H93" ca="1" si="4">C$16</f>
        <v>33.053477080716441</v>
      </c>
      <c r="I73" s="8">
        <f t="shared" ref="I73:I93" ca="1" si="5">D$16</f>
        <v>16.52673854035822</v>
      </c>
    </row>
    <row r="74" spans="5:9">
      <c r="E74" s="14">
        <f ca="1"/>
        <v>40112</v>
      </c>
      <c r="F74" s="14"/>
      <c r="G74" s="15">
        <f ca="1"/>
        <v>52.06</v>
      </c>
      <c r="H74" s="8">
        <f t="shared" ca="1" si="4"/>
        <v>33.053477080716441</v>
      </c>
      <c r="I74" s="8">
        <f t="shared" ca="1" si="5"/>
        <v>16.52673854035822</v>
      </c>
    </row>
    <row r="75" spans="5:9">
      <c r="E75" s="14">
        <f ca="1"/>
        <v>40105</v>
      </c>
      <c r="F75" s="14"/>
      <c r="G75" s="15">
        <f ca="1"/>
        <v>52</v>
      </c>
      <c r="H75" s="8">
        <f t="shared" ca="1" si="4"/>
        <v>33.053477080716441</v>
      </c>
      <c r="I75" s="8">
        <f t="shared" ca="1" si="5"/>
        <v>16.52673854035822</v>
      </c>
    </row>
    <row r="76" spans="5:9">
      <c r="E76" s="14">
        <f ca="1"/>
        <v>40098</v>
      </c>
      <c r="F76" s="14"/>
      <c r="G76" s="15">
        <f ca="1"/>
        <v>53.72</v>
      </c>
      <c r="H76" s="8">
        <f t="shared" ca="1" si="4"/>
        <v>33.053477080716441</v>
      </c>
      <c r="I76" s="8">
        <f t="shared" ca="1" si="5"/>
        <v>16.52673854035822</v>
      </c>
    </row>
    <row r="77" spans="5:9">
      <c r="E77" s="14">
        <f ca="1"/>
        <v>40091</v>
      </c>
      <c r="F77" s="14"/>
      <c r="G77" s="15">
        <f ca="1"/>
        <v>53.37</v>
      </c>
      <c r="H77" s="8">
        <f t="shared" ca="1" si="4"/>
        <v>33.053477080716441</v>
      </c>
      <c r="I77" s="8">
        <f t="shared" ca="1" si="5"/>
        <v>16.52673854035822</v>
      </c>
    </row>
    <row r="78" spans="5:9">
      <c r="E78" s="14">
        <f ca="1"/>
        <v>40084</v>
      </c>
      <c r="F78" s="14"/>
      <c r="G78" s="15">
        <f ca="1"/>
        <v>52.61</v>
      </c>
      <c r="H78" s="8">
        <f t="shared" ca="1" si="4"/>
        <v>33.053477080716441</v>
      </c>
      <c r="I78" s="8">
        <f t="shared" ca="1" si="5"/>
        <v>16.52673854035822</v>
      </c>
    </row>
    <row r="79" spans="5:9">
      <c r="E79" s="14">
        <f ca="1"/>
        <v>40077</v>
      </c>
      <c r="F79" s="14"/>
      <c r="G79" s="15">
        <f ca="1"/>
        <v>51.73</v>
      </c>
      <c r="H79" s="8">
        <f t="shared" ca="1" si="4"/>
        <v>33.053477080716441</v>
      </c>
      <c r="I79" s="8">
        <f t="shared" ca="1" si="5"/>
        <v>16.52673854035822</v>
      </c>
    </row>
    <row r="80" spans="5:9">
      <c r="E80" s="14">
        <f ca="1"/>
        <v>40070</v>
      </c>
      <c r="F80" s="14"/>
      <c r="G80" s="15">
        <f ca="1"/>
        <v>52.5</v>
      </c>
      <c r="H80" s="8">
        <f t="shared" ca="1" si="4"/>
        <v>33.053477080716441</v>
      </c>
      <c r="I80" s="8">
        <f t="shared" ca="1" si="5"/>
        <v>16.52673854035822</v>
      </c>
    </row>
    <row r="81" spans="5:9">
      <c r="E81" s="14">
        <f ca="1"/>
        <v>40064</v>
      </c>
      <c r="F81" s="14"/>
      <c r="G81" s="15">
        <f ca="1"/>
        <v>50.31</v>
      </c>
      <c r="H81" s="8">
        <f t="shared" ca="1" si="4"/>
        <v>33.053477080716441</v>
      </c>
      <c r="I81" s="8">
        <f t="shared" ca="1" si="5"/>
        <v>16.52673854035822</v>
      </c>
    </row>
    <row r="82" spans="5:9">
      <c r="E82" s="14">
        <f ca="1"/>
        <v>40056</v>
      </c>
      <c r="F82" s="14"/>
      <c r="G82" s="15">
        <f ca="1"/>
        <v>48.39</v>
      </c>
      <c r="H82" s="8">
        <f t="shared" ca="1" si="4"/>
        <v>33.053477080716441</v>
      </c>
      <c r="I82" s="8">
        <f t="shared" ca="1" si="5"/>
        <v>16.52673854035822</v>
      </c>
    </row>
    <row r="83" spans="5:9">
      <c r="E83" s="14">
        <f ca="1"/>
        <v>40049</v>
      </c>
      <c r="F83" s="14"/>
      <c r="G83" s="15">
        <f ca="1"/>
        <v>47.52</v>
      </c>
      <c r="H83" s="8">
        <f t="shared" ca="1" si="4"/>
        <v>33.053477080716441</v>
      </c>
      <c r="I83" s="8">
        <f t="shared" ca="1" si="5"/>
        <v>16.52673854035822</v>
      </c>
    </row>
    <row r="84" spans="5:9">
      <c r="E84" s="14">
        <f ca="1"/>
        <v>40042</v>
      </c>
      <c r="F84" s="14"/>
      <c r="G84" s="15">
        <f ca="1"/>
        <v>48.35</v>
      </c>
      <c r="H84" s="8">
        <f t="shared" ca="1" si="4"/>
        <v>33.053477080716441</v>
      </c>
      <c r="I84" s="8">
        <f t="shared" ca="1" si="5"/>
        <v>16.52673854035822</v>
      </c>
    </row>
    <row r="85" spans="5:9">
      <c r="E85" s="14">
        <f ca="1"/>
        <v>40035</v>
      </c>
      <c r="F85" s="14"/>
      <c r="G85" s="15">
        <f ca="1"/>
        <v>46.95</v>
      </c>
      <c r="H85" s="8">
        <f t="shared" ca="1" si="4"/>
        <v>33.053477080716441</v>
      </c>
      <c r="I85" s="8">
        <f t="shared" ca="1" si="5"/>
        <v>16.52673854035822</v>
      </c>
    </row>
    <row r="86" spans="5:9">
      <c r="E86" s="14">
        <f ca="1"/>
        <v>40028</v>
      </c>
      <c r="F86" s="14"/>
      <c r="G86" s="15">
        <f ca="1"/>
        <v>47.8</v>
      </c>
      <c r="H86" s="8">
        <f t="shared" ca="1" si="4"/>
        <v>33.053477080716441</v>
      </c>
      <c r="I86" s="8">
        <f t="shared" ca="1" si="5"/>
        <v>16.52673854035822</v>
      </c>
    </row>
    <row r="87" spans="5:9">
      <c r="E87" s="14">
        <f ca="1"/>
        <v>40021</v>
      </c>
      <c r="F87" s="14"/>
      <c r="G87" s="15">
        <f ca="1"/>
        <v>48.28</v>
      </c>
      <c r="H87" s="8">
        <f t="shared" ca="1" si="4"/>
        <v>33.053477080716441</v>
      </c>
      <c r="I87" s="8">
        <f t="shared" ca="1" si="5"/>
        <v>16.52673854035822</v>
      </c>
    </row>
    <row r="88" spans="5:9">
      <c r="E88" s="14">
        <f ca="1"/>
        <v>40014</v>
      </c>
      <c r="F88" s="14"/>
      <c r="G88" s="15">
        <f ca="1"/>
        <v>47.82</v>
      </c>
      <c r="H88" s="8">
        <f t="shared" ca="1" si="4"/>
        <v>33.053477080716441</v>
      </c>
      <c r="I88" s="8">
        <f t="shared" ca="1" si="5"/>
        <v>16.52673854035822</v>
      </c>
    </row>
    <row r="89" spans="5:9">
      <c r="E89" s="14">
        <f ca="1"/>
        <v>40007</v>
      </c>
      <c r="F89" s="14"/>
      <c r="G89" s="15">
        <f ca="1"/>
        <v>48.75</v>
      </c>
      <c r="H89" s="8">
        <f t="shared" ca="1" si="4"/>
        <v>33.053477080716441</v>
      </c>
      <c r="I89" s="8">
        <f t="shared" ca="1" si="5"/>
        <v>16.52673854035822</v>
      </c>
    </row>
    <row r="90" spans="5:9">
      <c r="E90" s="14">
        <f ca="1"/>
        <v>40000</v>
      </c>
      <c r="F90" s="14"/>
      <c r="G90" s="15">
        <f ca="1"/>
        <v>46.8</v>
      </c>
      <c r="H90" s="8">
        <f t="shared" ca="1" si="4"/>
        <v>33.053477080716441</v>
      </c>
      <c r="I90" s="8">
        <f t="shared" ca="1" si="5"/>
        <v>16.52673854035822</v>
      </c>
    </row>
    <row r="91" spans="5:9">
      <c r="E91" s="14">
        <f ca="1"/>
        <v>39993</v>
      </c>
      <c r="F91" s="14"/>
      <c r="G91" s="15">
        <f ca="1"/>
        <v>47.35</v>
      </c>
      <c r="H91" s="8">
        <f t="shared" ca="1" si="4"/>
        <v>33.053477080716441</v>
      </c>
      <c r="I91" s="8">
        <f t="shared" ca="1" si="5"/>
        <v>16.52673854035822</v>
      </c>
    </row>
    <row r="92" spans="5:9">
      <c r="E92" s="14">
        <f ca="1"/>
        <v>39986</v>
      </c>
      <c r="F92" s="14"/>
      <c r="G92" s="15">
        <f ca="1"/>
        <v>46.62</v>
      </c>
      <c r="H92" s="8">
        <f t="shared" ca="1" si="4"/>
        <v>33.053477080716441</v>
      </c>
      <c r="I92" s="8">
        <f t="shared" ca="1" si="5"/>
        <v>16.52673854035822</v>
      </c>
    </row>
    <row r="93" spans="5:9">
      <c r="E93" s="14">
        <f ca="1"/>
        <v>39979</v>
      </c>
      <c r="F93" s="14"/>
      <c r="G93" s="15">
        <f ca="1"/>
        <v>47.28</v>
      </c>
      <c r="H93" s="8">
        <f t="shared" ca="1" si="4"/>
        <v>33.053477080716441</v>
      </c>
      <c r="I93" s="8">
        <f t="shared" ca="1" si="5"/>
        <v>16.52673854035822</v>
      </c>
    </row>
    <row r="94" spans="5:9">
      <c r="E94" s="14">
        <f ca="1"/>
        <v>39972</v>
      </c>
      <c r="F94" s="14"/>
      <c r="G94" s="15">
        <f ca="1"/>
        <v>47.36</v>
      </c>
      <c r="H94" s="8">
        <f t="shared" ref="H94:H125" ca="1" si="6">C$15</f>
        <v>31.624802453213427</v>
      </c>
      <c r="I94" s="8">
        <f t="shared" ref="I94:I125" ca="1" si="7">D$15</f>
        <v>15.812401226606713</v>
      </c>
    </row>
    <row r="95" spans="5:9">
      <c r="E95" s="14">
        <f ca="1"/>
        <v>39965</v>
      </c>
      <c r="F95" s="14"/>
      <c r="G95" s="15">
        <f ca="1"/>
        <v>47.49</v>
      </c>
      <c r="H95" s="8">
        <f t="shared" ca="1" si="6"/>
        <v>31.624802453213427</v>
      </c>
      <c r="I95" s="8">
        <f t="shared" ca="1" si="7"/>
        <v>15.812401226606713</v>
      </c>
    </row>
    <row r="96" spans="5:9">
      <c r="E96" s="14">
        <f ca="1"/>
        <v>39959</v>
      </c>
      <c r="F96" s="14"/>
      <c r="G96" s="15">
        <f ca="1"/>
        <v>47.22</v>
      </c>
      <c r="H96" s="8">
        <f t="shared" ca="1" si="6"/>
        <v>31.624802453213427</v>
      </c>
      <c r="I96" s="8">
        <f t="shared" ca="1" si="7"/>
        <v>15.812401226606713</v>
      </c>
    </row>
    <row r="97" spans="5:9">
      <c r="E97" s="14">
        <f ca="1"/>
        <v>39951</v>
      </c>
      <c r="F97" s="14"/>
      <c r="G97" s="15">
        <f ca="1"/>
        <v>45.43</v>
      </c>
      <c r="H97" s="8">
        <f t="shared" ca="1" si="6"/>
        <v>31.624802453213427</v>
      </c>
      <c r="I97" s="8">
        <f t="shared" ca="1" si="7"/>
        <v>15.812401226606713</v>
      </c>
    </row>
    <row r="98" spans="5:9">
      <c r="E98" s="14">
        <f ca="1"/>
        <v>39944</v>
      </c>
      <c r="F98" s="14"/>
      <c r="G98" s="15">
        <f ca="1"/>
        <v>43.18</v>
      </c>
      <c r="H98" s="8">
        <f t="shared" ca="1" si="6"/>
        <v>31.624802453213427</v>
      </c>
      <c r="I98" s="8">
        <f t="shared" ca="1" si="7"/>
        <v>15.812401226606713</v>
      </c>
    </row>
    <row r="99" spans="5:9">
      <c r="E99" s="14">
        <f ca="1"/>
        <v>39937</v>
      </c>
      <c r="F99" s="14"/>
      <c r="G99" s="15">
        <f ca="1"/>
        <v>41.22</v>
      </c>
      <c r="H99" s="8">
        <f t="shared" ca="1" si="6"/>
        <v>31.624802453213427</v>
      </c>
      <c r="I99" s="8">
        <f t="shared" ca="1" si="7"/>
        <v>15.812401226606713</v>
      </c>
    </row>
    <row r="100" spans="5:9">
      <c r="E100" s="14">
        <f ca="1"/>
        <v>39930</v>
      </c>
      <c r="F100" s="14"/>
      <c r="G100" s="15">
        <f ca="1"/>
        <v>40.79</v>
      </c>
      <c r="H100" s="8">
        <f t="shared" ca="1" si="6"/>
        <v>31.624802453213427</v>
      </c>
      <c r="I100" s="8">
        <f t="shared" ca="1" si="7"/>
        <v>15.812401226606713</v>
      </c>
    </row>
    <row r="101" spans="5:9">
      <c r="E101" s="14">
        <f ca="1"/>
        <v>39923</v>
      </c>
      <c r="F101" s="14"/>
      <c r="G101" s="15">
        <f ca="1"/>
        <v>41.1</v>
      </c>
      <c r="H101" s="8">
        <f t="shared" ca="1" si="6"/>
        <v>31.624802453213427</v>
      </c>
      <c r="I101" s="8">
        <f t="shared" ca="1" si="7"/>
        <v>15.812401226606713</v>
      </c>
    </row>
    <row r="102" spans="5:9">
      <c r="E102" s="14">
        <f ca="1"/>
        <v>39916</v>
      </c>
      <c r="F102" s="14"/>
      <c r="G102" s="15">
        <f ca="1"/>
        <v>43.24</v>
      </c>
      <c r="H102" s="8">
        <f t="shared" ca="1" si="6"/>
        <v>31.624802453213427</v>
      </c>
      <c r="I102" s="8">
        <f t="shared" ca="1" si="7"/>
        <v>15.812401226606713</v>
      </c>
    </row>
    <row r="103" spans="5:9">
      <c r="E103" s="14">
        <f ca="1"/>
        <v>39909</v>
      </c>
      <c r="F103" s="14"/>
      <c r="G103" s="15">
        <f ca="1"/>
        <v>43.21</v>
      </c>
      <c r="H103" s="8">
        <f t="shared" ca="1" si="6"/>
        <v>31.624802453213427</v>
      </c>
      <c r="I103" s="8">
        <f t="shared" ca="1" si="7"/>
        <v>15.812401226606713</v>
      </c>
    </row>
    <row r="104" spans="5:9">
      <c r="E104" s="14">
        <f ca="1"/>
        <v>39902</v>
      </c>
      <c r="F104" s="14"/>
      <c r="G104" s="15">
        <f ca="1"/>
        <v>43.19</v>
      </c>
      <c r="H104" s="8">
        <f t="shared" ca="1" si="6"/>
        <v>31.624802453213427</v>
      </c>
      <c r="I104" s="8">
        <f t="shared" ca="1" si="7"/>
        <v>15.812401226606713</v>
      </c>
    </row>
    <row r="105" spans="5:9">
      <c r="E105" s="14">
        <f ca="1"/>
        <v>39895</v>
      </c>
      <c r="F105" s="14"/>
      <c r="G105" s="15">
        <f ca="1"/>
        <v>43.32</v>
      </c>
      <c r="H105" s="8">
        <f t="shared" ca="1" si="6"/>
        <v>31.624802453213427</v>
      </c>
      <c r="I105" s="8">
        <f t="shared" ca="1" si="7"/>
        <v>15.812401226606713</v>
      </c>
    </row>
    <row r="106" spans="5:9">
      <c r="E106" s="14">
        <f ca="1"/>
        <v>39888</v>
      </c>
      <c r="F106" s="14"/>
      <c r="G106" s="15">
        <f ca="1"/>
        <v>40.96</v>
      </c>
      <c r="H106" s="8">
        <f t="shared" ca="1" si="6"/>
        <v>31.624802453213427</v>
      </c>
      <c r="I106" s="8">
        <f t="shared" ca="1" si="7"/>
        <v>15.812401226606713</v>
      </c>
    </row>
    <row r="107" spans="5:9">
      <c r="E107" s="14">
        <f ca="1"/>
        <v>39881</v>
      </c>
      <c r="F107" s="14"/>
      <c r="G107" s="15">
        <f ca="1"/>
        <v>39.590000000000003</v>
      </c>
      <c r="H107" s="8">
        <f t="shared" ca="1" si="6"/>
        <v>31.624802453213427</v>
      </c>
      <c r="I107" s="8">
        <f t="shared" ca="1" si="7"/>
        <v>15.812401226606713</v>
      </c>
    </row>
    <row r="108" spans="5:9">
      <c r="E108" s="14">
        <f ca="1"/>
        <v>39874</v>
      </c>
      <c r="F108" s="14"/>
      <c r="G108" s="15">
        <f ca="1"/>
        <v>37.159999999999997</v>
      </c>
      <c r="H108" s="8">
        <f t="shared" ca="1" si="6"/>
        <v>31.624802453213427</v>
      </c>
      <c r="I108" s="8">
        <f t="shared" ca="1" si="7"/>
        <v>15.812401226606713</v>
      </c>
    </row>
    <row r="109" spans="5:9">
      <c r="E109" s="14">
        <f ca="1"/>
        <v>39867</v>
      </c>
      <c r="F109" s="14"/>
      <c r="G109" s="15">
        <f ca="1"/>
        <v>38.83</v>
      </c>
      <c r="H109" s="8">
        <f t="shared" ca="1" si="6"/>
        <v>31.624802453213427</v>
      </c>
      <c r="I109" s="8">
        <f t="shared" ca="1" si="7"/>
        <v>15.812401226606713</v>
      </c>
    </row>
    <row r="110" spans="5:9">
      <c r="E110" s="14">
        <f ca="1"/>
        <v>39861</v>
      </c>
      <c r="F110" s="14"/>
      <c r="G110" s="15">
        <f ca="1"/>
        <v>40.72</v>
      </c>
      <c r="H110" s="8">
        <f t="shared" ca="1" si="6"/>
        <v>31.624802453213427</v>
      </c>
      <c r="I110" s="8">
        <f t="shared" ca="1" si="7"/>
        <v>15.812401226606713</v>
      </c>
    </row>
    <row r="111" spans="5:9">
      <c r="E111" s="14">
        <f ca="1"/>
        <v>39853</v>
      </c>
      <c r="F111" s="14"/>
      <c r="G111" s="15">
        <f ca="1"/>
        <v>41.68</v>
      </c>
      <c r="H111" s="8">
        <f t="shared" ca="1" si="6"/>
        <v>31.624802453213427</v>
      </c>
      <c r="I111" s="8">
        <f t="shared" ca="1" si="7"/>
        <v>15.812401226606713</v>
      </c>
    </row>
    <row r="112" spans="5:9">
      <c r="E112" s="14">
        <f ca="1"/>
        <v>39846</v>
      </c>
      <c r="F112" s="14"/>
      <c r="G112" s="15">
        <f ca="1"/>
        <v>41.39</v>
      </c>
      <c r="H112" s="8">
        <f t="shared" ca="1" si="6"/>
        <v>31.624802453213427</v>
      </c>
      <c r="I112" s="8">
        <f t="shared" ca="1" si="7"/>
        <v>15.812401226606713</v>
      </c>
    </row>
    <row r="113" spans="5:9">
      <c r="E113" s="14">
        <f ca="1"/>
        <v>39839</v>
      </c>
      <c r="F113" s="14"/>
      <c r="G113" s="15">
        <f ca="1"/>
        <v>40.6</v>
      </c>
      <c r="H113" s="8">
        <f t="shared" ca="1" si="6"/>
        <v>31.624802453213427</v>
      </c>
      <c r="I113" s="8">
        <f t="shared" ca="1" si="7"/>
        <v>15.812401226606713</v>
      </c>
    </row>
    <row r="114" spans="5:9">
      <c r="E114" s="14">
        <f ca="1"/>
        <v>39833</v>
      </c>
      <c r="F114" s="14"/>
      <c r="G114" s="15">
        <f ca="1"/>
        <v>40.11</v>
      </c>
      <c r="H114" s="8">
        <f t="shared" ca="1" si="6"/>
        <v>31.624802453213427</v>
      </c>
      <c r="I114" s="8">
        <f t="shared" ca="1" si="7"/>
        <v>15.812401226606713</v>
      </c>
    </row>
    <row r="115" spans="5:9">
      <c r="E115" s="14">
        <f ca="1"/>
        <v>39825</v>
      </c>
      <c r="F115" s="14"/>
      <c r="G115" s="15">
        <f ca="1"/>
        <v>41.67</v>
      </c>
      <c r="H115" s="8">
        <f t="shared" ca="1" si="6"/>
        <v>31.624802453213427</v>
      </c>
      <c r="I115" s="8">
        <f t="shared" ca="1" si="7"/>
        <v>15.812401226606713</v>
      </c>
    </row>
    <row r="116" spans="5:9">
      <c r="E116" s="14">
        <f ca="1"/>
        <v>39818</v>
      </c>
      <c r="F116" s="14"/>
      <c r="G116" s="15">
        <f ca="1"/>
        <v>42.39</v>
      </c>
      <c r="H116" s="8">
        <f t="shared" ca="1" si="6"/>
        <v>31.624802453213427</v>
      </c>
      <c r="I116" s="8">
        <f t="shared" ca="1" si="7"/>
        <v>15.812401226606713</v>
      </c>
    </row>
    <row r="117" spans="5:9">
      <c r="E117" s="14">
        <f ca="1"/>
        <v>39811</v>
      </c>
      <c r="F117" s="14"/>
      <c r="G117" s="15">
        <f ca="1"/>
        <v>43.63</v>
      </c>
      <c r="H117" s="8">
        <f t="shared" ca="1" si="6"/>
        <v>31.624802453213427</v>
      </c>
      <c r="I117" s="8">
        <f t="shared" ca="1" si="7"/>
        <v>15.812401226606713</v>
      </c>
    </row>
    <row r="118" spans="5:9">
      <c r="E118" s="14">
        <f ca="1"/>
        <v>39804</v>
      </c>
      <c r="F118" s="14"/>
      <c r="G118" s="15">
        <f ca="1"/>
        <v>42.37</v>
      </c>
      <c r="H118" s="8">
        <f t="shared" ca="1" si="6"/>
        <v>31.624802453213427</v>
      </c>
      <c r="I118" s="8">
        <f t="shared" ca="1" si="7"/>
        <v>15.812401226606713</v>
      </c>
    </row>
    <row r="119" spans="5:9">
      <c r="E119" s="14">
        <f ca="1"/>
        <v>39797</v>
      </c>
      <c r="F119" s="14"/>
      <c r="G119" s="15">
        <f ca="1"/>
        <v>42.23</v>
      </c>
      <c r="H119" s="8">
        <f t="shared" ca="1" si="6"/>
        <v>31.624802453213427</v>
      </c>
      <c r="I119" s="8">
        <f t="shared" ca="1" si="7"/>
        <v>15.812401226606713</v>
      </c>
    </row>
    <row r="120" spans="5:9">
      <c r="E120" s="14">
        <f ca="1"/>
        <v>39790</v>
      </c>
      <c r="F120" s="14"/>
      <c r="G120" s="15">
        <f ca="1"/>
        <v>42.36</v>
      </c>
      <c r="H120" s="8">
        <f t="shared" ca="1" si="6"/>
        <v>31.624802453213427</v>
      </c>
      <c r="I120" s="8">
        <f t="shared" ca="1" si="7"/>
        <v>15.812401226606713</v>
      </c>
    </row>
    <row r="121" spans="5:9">
      <c r="E121" s="14">
        <f ca="1"/>
        <v>39783</v>
      </c>
      <c r="F121" s="14"/>
      <c r="G121" s="15">
        <f ca="1"/>
        <v>43.7</v>
      </c>
      <c r="H121" s="8">
        <f t="shared" ca="1" si="6"/>
        <v>31.624802453213427</v>
      </c>
      <c r="I121" s="8">
        <f t="shared" ca="1" si="7"/>
        <v>15.812401226606713</v>
      </c>
    </row>
    <row r="122" spans="5:9">
      <c r="E122" s="14">
        <f ca="1"/>
        <v>39776</v>
      </c>
      <c r="F122" s="14"/>
      <c r="G122" s="15">
        <f ca="1"/>
        <v>44.55</v>
      </c>
      <c r="H122" s="8">
        <f t="shared" ca="1" si="6"/>
        <v>31.624802453213427</v>
      </c>
      <c r="I122" s="8">
        <f t="shared" ca="1" si="7"/>
        <v>15.812401226606713</v>
      </c>
    </row>
    <row r="123" spans="5:9">
      <c r="E123" s="14">
        <f ca="1"/>
        <v>39769</v>
      </c>
      <c r="F123" s="14"/>
      <c r="G123" s="15">
        <f ca="1"/>
        <v>41.47</v>
      </c>
      <c r="H123" s="8">
        <f t="shared" ca="1" si="6"/>
        <v>31.624802453213427</v>
      </c>
      <c r="I123" s="8">
        <f t="shared" ca="1" si="7"/>
        <v>15.812401226606713</v>
      </c>
    </row>
    <row r="124" spans="5:9">
      <c r="E124" s="14">
        <f ca="1"/>
        <v>39762</v>
      </c>
      <c r="F124" s="14"/>
      <c r="G124" s="15">
        <f ca="1"/>
        <v>42.43</v>
      </c>
      <c r="H124" s="8">
        <f t="shared" ca="1" si="6"/>
        <v>31.624802453213427</v>
      </c>
      <c r="I124" s="8">
        <f t="shared" ca="1" si="7"/>
        <v>15.812401226606713</v>
      </c>
    </row>
    <row r="125" spans="5:9">
      <c r="E125" s="14">
        <f ca="1"/>
        <v>39755</v>
      </c>
      <c r="F125" s="14"/>
      <c r="G125" s="15">
        <f ca="1"/>
        <v>43.59</v>
      </c>
      <c r="H125" s="8">
        <f t="shared" ca="1" si="6"/>
        <v>31.624802453213427</v>
      </c>
      <c r="I125" s="8">
        <f t="shared" ca="1" si="7"/>
        <v>15.812401226606713</v>
      </c>
    </row>
    <row r="126" spans="5:9">
      <c r="E126" s="14">
        <f ca="1"/>
        <v>39748</v>
      </c>
      <c r="F126" s="14"/>
      <c r="G126" s="15">
        <f ca="1"/>
        <v>41.52</v>
      </c>
      <c r="H126" s="8">
        <f t="shared" ref="H126:H145" ca="1" si="8">C$15</f>
        <v>31.624802453213427</v>
      </c>
      <c r="I126" s="8">
        <f t="shared" ref="I126:I145" ca="1" si="9">D$15</f>
        <v>15.812401226606713</v>
      </c>
    </row>
    <row r="127" spans="5:9">
      <c r="E127" s="14">
        <f ca="1"/>
        <v>39741</v>
      </c>
      <c r="F127" s="14"/>
      <c r="G127" s="15">
        <f ca="1"/>
        <v>39.21</v>
      </c>
      <c r="H127" s="8">
        <f t="shared" ca="1" si="8"/>
        <v>31.624802453213427</v>
      </c>
      <c r="I127" s="8">
        <f t="shared" ca="1" si="9"/>
        <v>15.812401226606713</v>
      </c>
    </row>
    <row r="128" spans="5:9">
      <c r="E128" s="14">
        <f ca="1"/>
        <v>39734</v>
      </c>
      <c r="F128" s="14"/>
      <c r="G128" s="15">
        <f ca="1"/>
        <v>41.66</v>
      </c>
      <c r="H128" s="8">
        <f t="shared" ca="1" si="8"/>
        <v>31.624802453213427</v>
      </c>
      <c r="I128" s="8">
        <f t="shared" ca="1" si="9"/>
        <v>15.812401226606713</v>
      </c>
    </row>
    <row r="129" spans="5:9">
      <c r="E129" s="14">
        <f ca="1"/>
        <v>39727</v>
      </c>
      <c r="F129" s="14"/>
      <c r="G129" s="15">
        <f ca="1"/>
        <v>39.11</v>
      </c>
      <c r="H129" s="8">
        <f t="shared" ca="1" si="8"/>
        <v>31.624802453213427</v>
      </c>
      <c r="I129" s="8">
        <f t="shared" ca="1" si="9"/>
        <v>15.812401226606713</v>
      </c>
    </row>
    <row r="130" spans="5:9">
      <c r="E130" s="14">
        <f ca="1"/>
        <v>39720</v>
      </c>
      <c r="F130" s="14"/>
      <c r="G130" s="15">
        <f ca="1"/>
        <v>49.54</v>
      </c>
      <c r="H130" s="8">
        <f t="shared" ca="1" si="8"/>
        <v>31.624802453213427</v>
      </c>
      <c r="I130" s="8">
        <f t="shared" ca="1" si="9"/>
        <v>15.812401226606713</v>
      </c>
    </row>
    <row r="131" spans="5:9">
      <c r="E131" s="14">
        <f ca="1"/>
        <v>39713</v>
      </c>
      <c r="F131" s="14"/>
      <c r="G131" s="15">
        <f ca="1"/>
        <v>49.46</v>
      </c>
      <c r="H131" s="8">
        <f t="shared" ca="1" si="8"/>
        <v>31.624802453213427</v>
      </c>
      <c r="I131" s="8">
        <f t="shared" ca="1" si="9"/>
        <v>15.812401226606713</v>
      </c>
    </row>
    <row r="132" spans="5:9">
      <c r="E132" s="14">
        <f ca="1"/>
        <v>39706</v>
      </c>
      <c r="F132" s="14"/>
      <c r="G132" s="15">
        <f ca="1"/>
        <v>49.68</v>
      </c>
      <c r="H132" s="8">
        <f t="shared" ca="1" si="8"/>
        <v>31.624802453213427</v>
      </c>
      <c r="I132" s="8">
        <f t="shared" ca="1" si="9"/>
        <v>15.812401226606713</v>
      </c>
    </row>
    <row r="133" spans="5:9">
      <c r="E133" s="14">
        <f ca="1"/>
        <v>39699</v>
      </c>
      <c r="F133" s="14"/>
      <c r="G133" s="15">
        <f ca="1"/>
        <v>51.36</v>
      </c>
      <c r="H133" s="8">
        <f t="shared" ca="1" si="8"/>
        <v>31.624802453213427</v>
      </c>
      <c r="I133" s="8">
        <f t="shared" ca="1" si="9"/>
        <v>15.812401226606713</v>
      </c>
    </row>
    <row r="134" spans="5:9">
      <c r="E134" s="14">
        <f ca="1"/>
        <v>39693</v>
      </c>
      <c r="F134" s="14"/>
      <c r="G134" s="15">
        <f ca="1"/>
        <v>48.59</v>
      </c>
      <c r="H134" s="8">
        <f t="shared" ca="1" si="8"/>
        <v>31.624802453213427</v>
      </c>
      <c r="I134" s="8">
        <f t="shared" ca="1" si="9"/>
        <v>15.812401226606713</v>
      </c>
    </row>
    <row r="135" spans="5:9">
      <c r="E135" s="14">
        <f ca="1"/>
        <v>39685</v>
      </c>
      <c r="F135" s="14"/>
      <c r="G135" s="15">
        <f ca="1"/>
        <v>48.73</v>
      </c>
      <c r="H135" s="8">
        <f t="shared" ca="1" si="8"/>
        <v>31.624802453213427</v>
      </c>
      <c r="I135" s="8">
        <f t="shared" ca="1" si="9"/>
        <v>15.812401226606713</v>
      </c>
    </row>
    <row r="136" spans="5:9">
      <c r="E136" s="14">
        <f ca="1"/>
        <v>39678</v>
      </c>
      <c r="F136" s="14"/>
      <c r="G136" s="15">
        <f ca="1"/>
        <v>50.88</v>
      </c>
      <c r="H136" s="8">
        <f t="shared" ca="1" si="8"/>
        <v>31.624802453213427</v>
      </c>
      <c r="I136" s="8">
        <f t="shared" ca="1" si="9"/>
        <v>15.812401226606713</v>
      </c>
    </row>
    <row r="137" spans="5:9">
      <c r="E137" s="14">
        <f ca="1"/>
        <v>39671</v>
      </c>
      <c r="F137" s="14"/>
      <c r="G137" s="15">
        <f ca="1"/>
        <v>51.52</v>
      </c>
      <c r="H137" s="8">
        <f t="shared" ca="1" si="8"/>
        <v>31.624802453213427</v>
      </c>
      <c r="I137" s="8">
        <f t="shared" ca="1" si="9"/>
        <v>15.812401226606713</v>
      </c>
    </row>
    <row r="138" spans="5:9">
      <c r="E138" s="14">
        <f ca="1"/>
        <v>39664</v>
      </c>
      <c r="F138" s="14"/>
      <c r="G138" s="15">
        <f ca="1"/>
        <v>51.85</v>
      </c>
      <c r="H138" s="8">
        <f t="shared" ca="1" si="8"/>
        <v>31.624802453213427</v>
      </c>
      <c r="I138" s="8">
        <f t="shared" ca="1" si="9"/>
        <v>15.812401226606713</v>
      </c>
    </row>
    <row r="139" spans="5:9">
      <c r="E139" s="14">
        <f ca="1"/>
        <v>39657</v>
      </c>
      <c r="F139" s="14"/>
      <c r="G139" s="15">
        <f ca="1"/>
        <v>49.73</v>
      </c>
      <c r="H139" s="8">
        <f t="shared" ca="1" si="8"/>
        <v>31.624802453213427</v>
      </c>
      <c r="I139" s="8">
        <f t="shared" ca="1" si="9"/>
        <v>15.812401226606713</v>
      </c>
    </row>
    <row r="140" spans="5:9">
      <c r="E140" s="14">
        <f ca="1"/>
        <v>39650</v>
      </c>
      <c r="F140" s="14"/>
      <c r="G140" s="15">
        <f ca="1"/>
        <v>48.72</v>
      </c>
      <c r="H140" s="8">
        <f t="shared" ca="1" si="8"/>
        <v>31.624802453213427</v>
      </c>
      <c r="I140" s="8">
        <f t="shared" ca="1" si="9"/>
        <v>15.812401226606713</v>
      </c>
    </row>
    <row r="141" spans="5:9">
      <c r="E141" s="14">
        <f ca="1"/>
        <v>39643</v>
      </c>
      <c r="F141" s="14"/>
      <c r="G141" s="15">
        <f ca="1"/>
        <v>46.82</v>
      </c>
      <c r="H141" s="8">
        <f t="shared" ca="1" si="8"/>
        <v>31.624802453213427</v>
      </c>
      <c r="I141" s="8">
        <f t="shared" ca="1" si="9"/>
        <v>15.812401226606713</v>
      </c>
    </row>
    <row r="142" spans="5:9">
      <c r="E142" s="14">
        <f ca="1"/>
        <v>39636</v>
      </c>
      <c r="F142" s="14"/>
      <c r="G142" s="15">
        <f ca="1"/>
        <v>47.04</v>
      </c>
      <c r="H142" s="8">
        <f t="shared" ca="1" si="8"/>
        <v>31.624802453213427</v>
      </c>
      <c r="I142" s="8">
        <f t="shared" ca="1" si="9"/>
        <v>15.812401226606713</v>
      </c>
    </row>
    <row r="143" spans="5:9">
      <c r="E143" s="14">
        <f ca="1"/>
        <v>39629</v>
      </c>
      <c r="F143" s="14"/>
      <c r="G143" s="15">
        <f ca="1"/>
        <v>48.17</v>
      </c>
      <c r="H143" s="8">
        <f t="shared" ca="1" si="8"/>
        <v>31.624802453213427</v>
      </c>
      <c r="I143" s="8">
        <f t="shared" ca="1" si="9"/>
        <v>15.812401226606713</v>
      </c>
    </row>
    <row r="144" spans="5:9">
      <c r="E144" s="14">
        <f ca="1"/>
        <v>39622</v>
      </c>
      <c r="F144" s="14"/>
      <c r="G144" s="15">
        <f ca="1"/>
        <v>48.51</v>
      </c>
      <c r="H144" s="8">
        <f t="shared" ca="1" si="8"/>
        <v>31.624802453213427</v>
      </c>
      <c r="I144" s="8">
        <f t="shared" ca="1" si="9"/>
        <v>15.812401226606713</v>
      </c>
    </row>
    <row r="145" spans="5:9">
      <c r="E145" s="14">
        <f ca="1"/>
        <v>39615</v>
      </c>
      <c r="F145" s="14"/>
      <c r="G145" s="15">
        <f ca="1"/>
        <v>50.21</v>
      </c>
      <c r="H145" s="8">
        <f t="shared" ca="1" si="8"/>
        <v>31.624802453213427</v>
      </c>
      <c r="I145" s="8">
        <f t="shared" ca="1" si="9"/>
        <v>15.812401226606713</v>
      </c>
    </row>
    <row r="146" spans="5:9">
      <c r="E146" s="14">
        <f ca="1"/>
        <v>39608</v>
      </c>
      <c r="F146" s="14"/>
      <c r="G146" s="15">
        <f ca="1"/>
        <v>51.86</v>
      </c>
      <c r="H146" s="8">
        <f t="shared" ref="H146:H177" ca="1" si="10">C$14</f>
        <v>28.417226102965973</v>
      </c>
      <c r="I146" s="8">
        <f t="shared" ref="I146:I177" ca="1" si="11">D$14</f>
        <v>14.208613051482986</v>
      </c>
    </row>
    <row r="147" spans="5:9">
      <c r="E147" s="14">
        <f ca="1"/>
        <v>39601</v>
      </c>
      <c r="F147" s="14"/>
      <c r="G147" s="15">
        <f ca="1"/>
        <v>51.87</v>
      </c>
      <c r="H147" s="8">
        <f t="shared" ca="1" si="10"/>
        <v>28.417226102965973</v>
      </c>
      <c r="I147" s="8">
        <f t="shared" ca="1" si="11"/>
        <v>14.208613051482986</v>
      </c>
    </row>
    <row r="148" spans="5:9">
      <c r="E148" s="14">
        <f ca="1"/>
        <v>39595</v>
      </c>
      <c r="F148" s="14"/>
      <c r="G148" s="15">
        <f ca="1"/>
        <v>53.23</v>
      </c>
      <c r="H148" s="8">
        <f t="shared" ca="1" si="10"/>
        <v>28.417226102965973</v>
      </c>
      <c r="I148" s="8">
        <f t="shared" ca="1" si="11"/>
        <v>14.208613051482986</v>
      </c>
    </row>
    <row r="149" spans="5:9">
      <c r="E149" s="14">
        <f ca="1"/>
        <v>39587</v>
      </c>
      <c r="F149" s="14"/>
      <c r="G149" s="15">
        <f ca="1"/>
        <v>54.51</v>
      </c>
      <c r="H149" s="8">
        <f t="shared" ca="1" si="10"/>
        <v>28.417226102965973</v>
      </c>
      <c r="I149" s="8">
        <f t="shared" ca="1" si="11"/>
        <v>14.208613051482986</v>
      </c>
    </row>
    <row r="150" spans="5:9">
      <c r="E150" s="14">
        <f ca="1"/>
        <v>39580</v>
      </c>
      <c r="F150" s="14"/>
      <c r="G150" s="15">
        <f ca="1"/>
        <v>53.05</v>
      </c>
      <c r="H150" s="8">
        <f t="shared" ca="1" si="10"/>
        <v>28.417226102965973</v>
      </c>
      <c r="I150" s="8">
        <f t="shared" ca="1" si="11"/>
        <v>14.208613051482986</v>
      </c>
    </row>
    <row r="151" spans="5:9">
      <c r="E151" s="14">
        <f ca="1"/>
        <v>39573</v>
      </c>
      <c r="F151" s="14"/>
      <c r="G151" s="15">
        <f ca="1"/>
        <v>52.2</v>
      </c>
      <c r="H151" s="8">
        <f t="shared" ca="1" si="10"/>
        <v>28.417226102965973</v>
      </c>
      <c r="I151" s="8">
        <f t="shared" ca="1" si="11"/>
        <v>14.208613051482986</v>
      </c>
    </row>
    <row r="152" spans="5:9">
      <c r="E152" s="14">
        <f ca="1"/>
        <v>39566</v>
      </c>
      <c r="F152" s="14"/>
      <c r="G152" s="15">
        <f ca="1"/>
        <v>54.64</v>
      </c>
      <c r="H152" s="8">
        <f t="shared" ca="1" si="10"/>
        <v>28.417226102965973</v>
      </c>
      <c r="I152" s="8">
        <f t="shared" ca="1" si="11"/>
        <v>14.208613051482986</v>
      </c>
    </row>
    <row r="153" spans="5:9">
      <c r="E153" s="14">
        <f ca="1"/>
        <v>39559</v>
      </c>
      <c r="F153" s="14"/>
      <c r="G153" s="15">
        <f ca="1"/>
        <v>55.16</v>
      </c>
      <c r="H153" s="8">
        <f t="shared" ca="1" si="10"/>
        <v>28.417226102965973</v>
      </c>
      <c r="I153" s="8">
        <f t="shared" ca="1" si="11"/>
        <v>14.208613051482986</v>
      </c>
    </row>
    <row r="154" spans="5:9">
      <c r="E154" s="14">
        <f ca="1"/>
        <v>39552</v>
      </c>
      <c r="F154" s="14"/>
      <c r="G154" s="15">
        <f ca="1"/>
        <v>55.88</v>
      </c>
      <c r="H154" s="8">
        <f t="shared" ca="1" si="10"/>
        <v>28.417226102965973</v>
      </c>
      <c r="I154" s="8">
        <f t="shared" ca="1" si="11"/>
        <v>14.208613051482986</v>
      </c>
    </row>
    <row r="155" spans="5:9">
      <c r="E155" s="14">
        <f ca="1"/>
        <v>39545</v>
      </c>
      <c r="F155" s="14"/>
      <c r="G155" s="15">
        <f ca="1"/>
        <v>56.05</v>
      </c>
      <c r="H155" s="8">
        <f t="shared" ca="1" si="10"/>
        <v>28.417226102965973</v>
      </c>
      <c r="I155" s="8">
        <f t="shared" ca="1" si="11"/>
        <v>14.208613051482986</v>
      </c>
    </row>
    <row r="156" spans="5:9">
      <c r="E156" s="14">
        <f ca="1"/>
        <v>39538</v>
      </c>
      <c r="F156" s="14"/>
      <c r="G156" s="15">
        <f ca="1"/>
        <v>56.01</v>
      </c>
      <c r="H156" s="8">
        <f t="shared" ca="1" si="10"/>
        <v>28.417226102965973</v>
      </c>
      <c r="I156" s="8">
        <f t="shared" ca="1" si="11"/>
        <v>14.208613051482986</v>
      </c>
    </row>
    <row r="157" spans="5:9">
      <c r="E157" s="14">
        <f ca="1"/>
        <v>39531</v>
      </c>
      <c r="F157" s="14"/>
      <c r="G157" s="15">
        <f ca="1"/>
        <v>56.65</v>
      </c>
      <c r="H157" s="8">
        <f t="shared" ca="1" si="10"/>
        <v>28.417226102965973</v>
      </c>
      <c r="I157" s="8">
        <f t="shared" ca="1" si="11"/>
        <v>14.208613051482986</v>
      </c>
    </row>
    <row r="158" spans="5:9">
      <c r="E158" s="14">
        <f ca="1"/>
        <v>39524</v>
      </c>
      <c r="F158" s="14"/>
      <c r="G158" s="15">
        <f ca="1"/>
        <v>56.75</v>
      </c>
      <c r="H158" s="8">
        <f t="shared" ca="1" si="10"/>
        <v>28.417226102965973</v>
      </c>
      <c r="I158" s="8">
        <f t="shared" ca="1" si="11"/>
        <v>14.208613051482986</v>
      </c>
    </row>
    <row r="159" spans="5:9">
      <c r="E159" s="14">
        <f ca="1"/>
        <v>39517</v>
      </c>
      <c r="F159" s="14"/>
      <c r="G159" s="15">
        <f ca="1"/>
        <v>53.48</v>
      </c>
      <c r="H159" s="8">
        <f t="shared" ca="1" si="10"/>
        <v>28.417226102965973</v>
      </c>
      <c r="I159" s="8">
        <f t="shared" ca="1" si="11"/>
        <v>14.208613051482986</v>
      </c>
    </row>
    <row r="160" spans="5:9">
      <c r="E160" s="14">
        <f ca="1"/>
        <v>39510</v>
      </c>
      <c r="F160" s="14"/>
      <c r="G160" s="15">
        <f ca="1"/>
        <v>54.36</v>
      </c>
      <c r="H160" s="8">
        <f t="shared" ca="1" si="10"/>
        <v>28.417226102965973</v>
      </c>
      <c r="I160" s="8">
        <f t="shared" ca="1" si="11"/>
        <v>14.208613051482986</v>
      </c>
    </row>
    <row r="161" spans="5:9">
      <c r="E161" s="14">
        <f ca="1"/>
        <v>39503</v>
      </c>
      <c r="F161" s="14"/>
      <c r="G161" s="15">
        <f ca="1"/>
        <v>54</v>
      </c>
      <c r="H161" s="8">
        <f t="shared" ca="1" si="10"/>
        <v>28.417226102965973</v>
      </c>
      <c r="I161" s="8">
        <f t="shared" ca="1" si="11"/>
        <v>14.208613051482986</v>
      </c>
    </row>
    <row r="162" spans="5:9">
      <c r="E162" s="14">
        <f ca="1"/>
        <v>39497</v>
      </c>
      <c r="F162" s="14"/>
      <c r="G162" s="15">
        <f ca="1"/>
        <v>53.82</v>
      </c>
      <c r="H162" s="8">
        <f t="shared" ca="1" si="10"/>
        <v>28.417226102965973</v>
      </c>
      <c r="I162" s="8">
        <f t="shared" ca="1" si="11"/>
        <v>14.208613051482986</v>
      </c>
    </row>
    <row r="163" spans="5:9">
      <c r="E163" s="14">
        <f ca="1"/>
        <v>39489</v>
      </c>
      <c r="F163" s="14"/>
      <c r="G163" s="15">
        <f ca="1"/>
        <v>54.28</v>
      </c>
      <c r="H163" s="8">
        <f t="shared" ca="1" si="10"/>
        <v>28.417226102965973</v>
      </c>
      <c r="I163" s="8">
        <f t="shared" ca="1" si="11"/>
        <v>14.208613051482986</v>
      </c>
    </row>
    <row r="164" spans="5:9">
      <c r="E164" s="14">
        <f ca="1"/>
        <v>39482</v>
      </c>
      <c r="F164" s="14"/>
      <c r="G164" s="15">
        <f ca="1"/>
        <v>54.73</v>
      </c>
      <c r="H164" s="8">
        <f t="shared" ca="1" si="10"/>
        <v>28.417226102965973</v>
      </c>
      <c r="I164" s="8">
        <f t="shared" ca="1" si="11"/>
        <v>14.208613051482986</v>
      </c>
    </row>
    <row r="165" spans="5:9">
      <c r="E165" s="14">
        <f ca="1"/>
        <v>39475</v>
      </c>
      <c r="F165" s="14"/>
      <c r="G165" s="15">
        <f ca="1"/>
        <v>54.74</v>
      </c>
      <c r="H165" s="8">
        <f t="shared" ca="1" si="10"/>
        <v>28.417226102965973</v>
      </c>
      <c r="I165" s="8">
        <f t="shared" ca="1" si="11"/>
        <v>14.208613051482986</v>
      </c>
    </row>
    <row r="166" spans="5:9">
      <c r="E166" s="14">
        <f ca="1"/>
        <v>39469</v>
      </c>
      <c r="F166" s="14"/>
      <c r="G166" s="15">
        <f ca="1"/>
        <v>53.95</v>
      </c>
      <c r="H166" s="8">
        <f t="shared" ca="1" si="10"/>
        <v>28.417226102965973</v>
      </c>
      <c r="I166" s="8">
        <f t="shared" ca="1" si="11"/>
        <v>14.208613051482986</v>
      </c>
    </row>
    <row r="167" spans="5:9">
      <c r="E167" s="14">
        <f ca="1"/>
        <v>39461</v>
      </c>
      <c r="F167" s="14"/>
      <c r="G167" s="15">
        <f ca="1"/>
        <v>56.11</v>
      </c>
      <c r="H167" s="8">
        <f t="shared" ca="1" si="10"/>
        <v>28.417226102965973</v>
      </c>
      <c r="I167" s="8">
        <f t="shared" ca="1" si="11"/>
        <v>14.208613051482986</v>
      </c>
    </row>
    <row r="168" spans="5:9">
      <c r="E168" s="14">
        <f ca="1"/>
        <v>39454</v>
      </c>
      <c r="F168" s="14"/>
      <c r="G168" s="15">
        <f ca="1"/>
        <v>58.9</v>
      </c>
      <c r="H168" s="8">
        <f t="shared" ca="1" si="10"/>
        <v>28.417226102965973</v>
      </c>
      <c r="I168" s="8">
        <f t="shared" ca="1" si="11"/>
        <v>14.208613051482986</v>
      </c>
    </row>
    <row r="169" spans="5:9">
      <c r="E169" s="14">
        <f ca="1"/>
        <v>39447</v>
      </c>
      <c r="F169" s="14"/>
      <c r="G169" s="15">
        <f ca="1"/>
        <v>57.13</v>
      </c>
      <c r="H169" s="8">
        <f t="shared" ca="1" si="10"/>
        <v>28.417226102965973</v>
      </c>
      <c r="I169" s="8">
        <f t="shared" ca="1" si="11"/>
        <v>14.208613051482986</v>
      </c>
    </row>
    <row r="170" spans="5:9">
      <c r="E170" s="14">
        <f ca="1"/>
        <v>39440</v>
      </c>
      <c r="F170" s="14"/>
      <c r="G170" s="15">
        <f ca="1"/>
        <v>57.52</v>
      </c>
      <c r="H170" s="8">
        <f t="shared" ca="1" si="10"/>
        <v>28.417226102965973</v>
      </c>
      <c r="I170" s="8">
        <f t="shared" ca="1" si="11"/>
        <v>14.208613051482986</v>
      </c>
    </row>
    <row r="171" spans="5:9">
      <c r="E171" s="14">
        <f ca="1"/>
        <v>39433</v>
      </c>
      <c r="F171" s="14"/>
      <c r="G171" s="15">
        <f ca="1"/>
        <v>58.26</v>
      </c>
      <c r="H171" s="8">
        <f t="shared" ca="1" si="10"/>
        <v>28.417226102965973</v>
      </c>
      <c r="I171" s="8">
        <f t="shared" ca="1" si="11"/>
        <v>14.208613051482986</v>
      </c>
    </row>
    <row r="172" spans="5:9">
      <c r="E172" s="14">
        <f ca="1"/>
        <v>39426</v>
      </c>
      <c r="F172" s="14"/>
      <c r="G172" s="15">
        <f ca="1"/>
        <v>58.94</v>
      </c>
      <c r="H172" s="8">
        <f t="shared" ca="1" si="10"/>
        <v>28.417226102965973</v>
      </c>
      <c r="I172" s="8">
        <f t="shared" ca="1" si="11"/>
        <v>14.208613051482986</v>
      </c>
    </row>
    <row r="173" spans="5:9">
      <c r="E173" s="14">
        <f ca="1"/>
        <v>39419</v>
      </c>
      <c r="F173" s="14"/>
      <c r="G173" s="15">
        <f ca="1"/>
        <v>58.33</v>
      </c>
      <c r="H173" s="8">
        <f t="shared" ca="1" si="10"/>
        <v>28.417226102965973</v>
      </c>
      <c r="I173" s="8">
        <f t="shared" ca="1" si="11"/>
        <v>14.208613051482986</v>
      </c>
    </row>
    <row r="174" spans="5:9">
      <c r="E174" s="14">
        <f ca="1"/>
        <v>39412</v>
      </c>
      <c r="F174" s="14"/>
      <c r="G174" s="15">
        <f ca="1"/>
        <v>57.36</v>
      </c>
      <c r="H174" s="8">
        <f t="shared" ca="1" si="10"/>
        <v>28.417226102965973</v>
      </c>
      <c r="I174" s="8">
        <f t="shared" ca="1" si="11"/>
        <v>14.208613051482986</v>
      </c>
    </row>
    <row r="175" spans="5:9">
      <c r="E175" s="14">
        <f ca="1"/>
        <v>39405</v>
      </c>
      <c r="F175" s="14"/>
      <c r="G175" s="15">
        <f ca="1"/>
        <v>57.24</v>
      </c>
      <c r="H175" s="8">
        <f t="shared" ca="1" si="10"/>
        <v>28.417226102965973</v>
      </c>
      <c r="I175" s="8">
        <f t="shared" ca="1" si="11"/>
        <v>14.208613051482986</v>
      </c>
    </row>
    <row r="176" spans="5:9">
      <c r="E176" s="14">
        <f ca="1"/>
        <v>39398</v>
      </c>
      <c r="F176" s="14"/>
      <c r="G176" s="15">
        <f ca="1"/>
        <v>57.53</v>
      </c>
      <c r="H176" s="8">
        <f t="shared" ca="1" si="10"/>
        <v>28.417226102965973</v>
      </c>
      <c r="I176" s="8">
        <f t="shared" ca="1" si="11"/>
        <v>14.208613051482986</v>
      </c>
    </row>
    <row r="177" spans="5:9">
      <c r="E177" s="14">
        <f ca="1"/>
        <v>39391</v>
      </c>
      <c r="F177" s="14"/>
      <c r="G177" s="15">
        <f ca="1"/>
        <v>55.89</v>
      </c>
      <c r="H177" s="8">
        <f t="shared" ca="1" si="10"/>
        <v>28.417226102965973</v>
      </c>
      <c r="I177" s="8">
        <f t="shared" ca="1" si="11"/>
        <v>14.208613051482986</v>
      </c>
    </row>
    <row r="178" spans="5:9">
      <c r="E178" s="14">
        <f ca="1"/>
        <v>39384</v>
      </c>
      <c r="F178" s="14"/>
      <c r="G178" s="15">
        <f ca="1"/>
        <v>55.59</v>
      </c>
      <c r="H178" s="8">
        <f t="shared" ref="H178:H197" ca="1" si="12">C$14</f>
        <v>28.417226102965973</v>
      </c>
      <c r="I178" s="8">
        <f t="shared" ref="I178:I197" ca="1" si="13">D$14</f>
        <v>14.208613051482986</v>
      </c>
    </row>
    <row r="179" spans="5:9">
      <c r="E179" s="14">
        <f ca="1"/>
        <v>39377</v>
      </c>
      <c r="F179" s="14"/>
      <c r="G179" s="15">
        <f ca="1"/>
        <v>56.57</v>
      </c>
      <c r="H179" s="8">
        <f t="shared" ca="1" si="12"/>
        <v>28.417226102965973</v>
      </c>
      <c r="I179" s="8">
        <f t="shared" ca="1" si="13"/>
        <v>14.208613051482986</v>
      </c>
    </row>
    <row r="180" spans="5:9">
      <c r="E180" s="14">
        <f ca="1"/>
        <v>39370</v>
      </c>
      <c r="F180" s="14"/>
      <c r="G180" s="15">
        <f ca="1"/>
        <v>53.98</v>
      </c>
      <c r="H180" s="8">
        <f t="shared" ca="1" si="12"/>
        <v>28.417226102965973</v>
      </c>
      <c r="I180" s="8">
        <f t="shared" ca="1" si="13"/>
        <v>14.208613051482986</v>
      </c>
    </row>
    <row r="181" spans="5:9">
      <c r="E181" s="14">
        <f ca="1"/>
        <v>39363</v>
      </c>
      <c r="F181" s="14"/>
      <c r="G181" s="15">
        <f ca="1"/>
        <v>53.1</v>
      </c>
      <c r="H181" s="8">
        <f t="shared" ca="1" si="12"/>
        <v>28.417226102965973</v>
      </c>
      <c r="I181" s="8">
        <f t="shared" ca="1" si="13"/>
        <v>14.208613051482986</v>
      </c>
    </row>
    <row r="182" spans="5:9">
      <c r="E182" s="14">
        <f ca="1"/>
        <v>39356</v>
      </c>
      <c r="F182" s="14"/>
      <c r="G182" s="15">
        <f ca="1"/>
        <v>53.35</v>
      </c>
      <c r="H182" s="8">
        <f t="shared" ca="1" si="12"/>
        <v>28.417226102965973</v>
      </c>
      <c r="I182" s="8">
        <f t="shared" ca="1" si="13"/>
        <v>14.208613051482986</v>
      </c>
    </row>
    <row r="183" spans="5:9">
      <c r="E183" s="14">
        <f ca="1"/>
        <v>39349</v>
      </c>
      <c r="F183" s="14"/>
      <c r="G183" s="15">
        <f ca="1"/>
        <v>52.8</v>
      </c>
      <c r="H183" s="8">
        <f t="shared" ca="1" si="12"/>
        <v>28.417226102965973</v>
      </c>
      <c r="I183" s="8">
        <f t="shared" ca="1" si="13"/>
        <v>14.208613051482986</v>
      </c>
    </row>
    <row r="184" spans="5:9">
      <c r="E184" s="14">
        <f ca="1"/>
        <v>39342</v>
      </c>
      <c r="F184" s="14"/>
      <c r="G184" s="15">
        <f ca="1"/>
        <v>51.95</v>
      </c>
      <c r="H184" s="8">
        <f t="shared" ca="1" si="12"/>
        <v>28.417226102965973</v>
      </c>
      <c r="I184" s="8">
        <f t="shared" ca="1" si="13"/>
        <v>14.208613051482986</v>
      </c>
    </row>
    <row r="185" spans="5:9">
      <c r="E185" s="14">
        <f ca="1"/>
        <v>39335</v>
      </c>
      <c r="F185" s="14"/>
      <c r="G185" s="15">
        <f ca="1"/>
        <v>51.82</v>
      </c>
      <c r="H185" s="8">
        <f t="shared" ca="1" si="12"/>
        <v>28.417226102965973</v>
      </c>
      <c r="I185" s="8">
        <f t="shared" ca="1" si="13"/>
        <v>14.208613051482986</v>
      </c>
    </row>
    <row r="186" spans="5:9">
      <c r="E186" s="14">
        <f ca="1"/>
        <v>39329</v>
      </c>
      <c r="F186" s="14"/>
      <c r="G186" s="15">
        <f ca="1"/>
        <v>49.85</v>
      </c>
      <c r="H186" s="8">
        <f t="shared" ca="1" si="12"/>
        <v>28.417226102965973</v>
      </c>
      <c r="I186" s="8">
        <f t="shared" ca="1" si="13"/>
        <v>14.208613051482986</v>
      </c>
    </row>
    <row r="187" spans="5:9">
      <c r="E187" s="14">
        <f ca="1"/>
        <v>39321</v>
      </c>
      <c r="F187" s="14"/>
      <c r="G187" s="15">
        <f ca="1"/>
        <v>49.11</v>
      </c>
      <c r="H187" s="8">
        <f t="shared" ca="1" si="12"/>
        <v>28.417226102965973</v>
      </c>
      <c r="I187" s="8">
        <f t="shared" ca="1" si="13"/>
        <v>14.208613051482986</v>
      </c>
    </row>
    <row r="188" spans="5:9">
      <c r="E188" s="14">
        <f ca="1"/>
        <v>39314</v>
      </c>
      <c r="F188" s="14"/>
      <c r="G188" s="15">
        <f ca="1"/>
        <v>49.31</v>
      </c>
      <c r="H188" s="8">
        <f t="shared" ca="1" si="12"/>
        <v>28.417226102965973</v>
      </c>
      <c r="I188" s="8">
        <f t="shared" ca="1" si="13"/>
        <v>14.208613051482986</v>
      </c>
    </row>
    <row r="189" spans="5:9">
      <c r="E189" s="14">
        <f ca="1"/>
        <v>39307</v>
      </c>
      <c r="F189" s="14"/>
      <c r="G189" s="15">
        <f ca="1"/>
        <v>49.72</v>
      </c>
      <c r="H189" s="8">
        <f t="shared" ca="1" si="12"/>
        <v>28.417226102965973</v>
      </c>
      <c r="I189" s="8">
        <f t="shared" ca="1" si="13"/>
        <v>14.208613051482986</v>
      </c>
    </row>
    <row r="190" spans="5:9">
      <c r="E190" s="14">
        <f ca="1"/>
        <v>39300</v>
      </c>
      <c r="F190" s="14"/>
      <c r="G190" s="15">
        <f ca="1"/>
        <v>50.2</v>
      </c>
      <c r="H190" s="8">
        <f t="shared" ca="1" si="12"/>
        <v>28.417226102965973</v>
      </c>
      <c r="I190" s="8">
        <f t="shared" ca="1" si="13"/>
        <v>14.208613051482986</v>
      </c>
    </row>
    <row r="191" spans="5:9">
      <c r="E191" s="14">
        <f ca="1"/>
        <v>39293</v>
      </c>
      <c r="F191" s="14"/>
      <c r="G191" s="15">
        <f ca="1"/>
        <v>48.65</v>
      </c>
      <c r="H191" s="8">
        <f t="shared" ca="1" si="12"/>
        <v>28.417226102965973</v>
      </c>
      <c r="I191" s="8">
        <f t="shared" ca="1" si="13"/>
        <v>14.208613051482986</v>
      </c>
    </row>
    <row r="192" spans="5:9">
      <c r="E192" s="14">
        <f ca="1"/>
        <v>39286</v>
      </c>
      <c r="F192" s="14"/>
      <c r="G192" s="15">
        <f ca="1"/>
        <v>47.74</v>
      </c>
      <c r="H192" s="8">
        <f t="shared" ca="1" si="12"/>
        <v>28.417226102965973</v>
      </c>
      <c r="I192" s="8">
        <f t="shared" ca="1" si="13"/>
        <v>14.208613051482986</v>
      </c>
    </row>
    <row r="193" spans="5:9">
      <c r="E193" s="14">
        <f ca="1"/>
        <v>39279</v>
      </c>
      <c r="F193" s="14"/>
      <c r="G193" s="15">
        <f ca="1"/>
        <v>48.59</v>
      </c>
      <c r="H193" s="8">
        <f t="shared" ca="1" si="12"/>
        <v>28.417226102965973</v>
      </c>
      <c r="I193" s="8">
        <f t="shared" ca="1" si="13"/>
        <v>14.208613051482986</v>
      </c>
    </row>
    <row r="194" spans="5:9">
      <c r="E194" s="14">
        <f ca="1"/>
        <v>39272</v>
      </c>
      <c r="F194" s="14"/>
      <c r="G194" s="15">
        <f ca="1"/>
        <v>48.5</v>
      </c>
      <c r="H194" s="8">
        <f t="shared" ca="1" si="12"/>
        <v>28.417226102965973</v>
      </c>
      <c r="I194" s="8">
        <f t="shared" ca="1" si="13"/>
        <v>14.208613051482986</v>
      </c>
    </row>
    <row r="195" spans="5:9">
      <c r="E195" s="14">
        <f ca="1"/>
        <v>39265</v>
      </c>
      <c r="F195" s="14"/>
      <c r="G195" s="15">
        <f ca="1"/>
        <v>48.03</v>
      </c>
      <c r="H195" s="8">
        <f t="shared" ca="1" si="12"/>
        <v>28.417226102965973</v>
      </c>
      <c r="I195" s="8">
        <f t="shared" ca="1" si="13"/>
        <v>14.208613051482986</v>
      </c>
    </row>
    <row r="196" spans="5:9">
      <c r="E196" s="14">
        <f ca="1"/>
        <v>39258</v>
      </c>
      <c r="F196" s="14"/>
      <c r="G196" s="15">
        <f ca="1"/>
        <v>47.76</v>
      </c>
      <c r="H196" s="8">
        <f t="shared" ca="1" si="12"/>
        <v>28.417226102965973</v>
      </c>
      <c r="I196" s="8">
        <f t="shared" ca="1" si="13"/>
        <v>14.208613051482986</v>
      </c>
    </row>
    <row r="197" spans="5:9">
      <c r="E197" s="14">
        <f ca="1"/>
        <v>39251</v>
      </c>
      <c r="F197" s="14"/>
      <c r="G197" s="15">
        <f ca="1"/>
        <v>47.13</v>
      </c>
      <c r="H197" s="8">
        <f t="shared" ca="1" si="12"/>
        <v>28.417226102965973</v>
      </c>
      <c r="I197" s="8">
        <f t="shared" ca="1" si="13"/>
        <v>14.208613051482986</v>
      </c>
    </row>
    <row r="198" spans="5:9">
      <c r="E198" s="14">
        <f ca="1"/>
        <v>39244</v>
      </c>
      <c r="F198" s="14"/>
      <c r="G198" s="15">
        <f ca="1"/>
        <v>47.1</v>
      </c>
      <c r="H198" s="8">
        <f t="shared" ref="H198:H229" ca="1" si="14">C$13</f>
        <v>28.074084635210632</v>
      </c>
      <c r="I198" s="8">
        <f t="shared" ref="I198:I229" ca="1" si="15">D$13</f>
        <v>14.037042317605316</v>
      </c>
    </row>
    <row r="199" spans="5:9">
      <c r="E199" s="14">
        <f ca="1"/>
        <v>39237</v>
      </c>
      <c r="F199" s="14"/>
      <c r="G199" s="15">
        <f ca="1"/>
        <v>46.87</v>
      </c>
      <c r="H199" s="8">
        <f t="shared" ca="1" si="14"/>
        <v>28.074084635210632</v>
      </c>
      <c r="I199" s="8">
        <f t="shared" ca="1" si="15"/>
        <v>14.037042317605316</v>
      </c>
    </row>
    <row r="200" spans="5:9">
      <c r="E200" s="14">
        <f ca="1"/>
        <v>39231</v>
      </c>
      <c r="F200" s="14"/>
      <c r="G200" s="15">
        <f ca="1"/>
        <v>47.89</v>
      </c>
      <c r="H200" s="8">
        <f t="shared" ca="1" si="14"/>
        <v>28.074084635210632</v>
      </c>
      <c r="I200" s="8">
        <f t="shared" ca="1" si="15"/>
        <v>14.037042317605316</v>
      </c>
    </row>
    <row r="201" spans="5:9">
      <c r="E201" s="14">
        <f ca="1"/>
        <v>39223</v>
      </c>
      <c r="F201" s="14"/>
      <c r="G201" s="15">
        <f ca="1"/>
        <v>47.07</v>
      </c>
      <c r="H201" s="8">
        <f t="shared" ca="1" si="14"/>
        <v>28.074084635210632</v>
      </c>
      <c r="I201" s="8">
        <f t="shared" ca="1" si="15"/>
        <v>14.037042317605316</v>
      </c>
    </row>
    <row r="202" spans="5:9">
      <c r="E202" s="14">
        <f ca="1"/>
        <v>39216</v>
      </c>
      <c r="F202" s="14"/>
      <c r="G202" s="15">
        <f ca="1"/>
        <v>47.74</v>
      </c>
      <c r="H202" s="8">
        <f t="shared" ca="1" si="14"/>
        <v>28.074084635210632</v>
      </c>
      <c r="I202" s="8">
        <f t="shared" ca="1" si="15"/>
        <v>14.037042317605316</v>
      </c>
    </row>
    <row r="203" spans="5:9">
      <c r="E203" s="14">
        <f ca="1"/>
        <v>39209</v>
      </c>
      <c r="F203" s="14"/>
      <c r="G203" s="15">
        <f ca="1"/>
        <v>47.79</v>
      </c>
      <c r="H203" s="8">
        <f t="shared" ca="1" si="14"/>
        <v>28.074084635210632</v>
      </c>
      <c r="I203" s="8">
        <f t="shared" ca="1" si="15"/>
        <v>14.037042317605316</v>
      </c>
    </row>
    <row r="204" spans="5:9">
      <c r="E204" s="14">
        <f ca="1"/>
        <v>39202</v>
      </c>
      <c r="F204" s="14"/>
      <c r="G204" s="15">
        <f ca="1"/>
        <v>48.26</v>
      </c>
      <c r="H204" s="8">
        <f t="shared" ca="1" si="14"/>
        <v>28.074084635210632</v>
      </c>
      <c r="I204" s="8">
        <f t="shared" ca="1" si="15"/>
        <v>14.037042317605316</v>
      </c>
    </row>
    <row r="205" spans="5:9">
      <c r="E205" s="14">
        <f ca="1"/>
        <v>39195</v>
      </c>
      <c r="F205" s="14"/>
      <c r="G205" s="15">
        <f ca="1"/>
        <v>47.22</v>
      </c>
      <c r="H205" s="8">
        <f t="shared" ca="1" si="14"/>
        <v>28.074084635210632</v>
      </c>
      <c r="I205" s="8">
        <f t="shared" ca="1" si="15"/>
        <v>14.037042317605316</v>
      </c>
    </row>
    <row r="206" spans="5:9">
      <c r="E206" s="14">
        <f ca="1"/>
        <v>39188</v>
      </c>
      <c r="F206" s="14"/>
      <c r="G206" s="15">
        <f ca="1"/>
        <v>47.25</v>
      </c>
      <c r="H206" s="8">
        <f t="shared" ca="1" si="14"/>
        <v>28.074084635210632</v>
      </c>
      <c r="I206" s="8">
        <f t="shared" ca="1" si="15"/>
        <v>14.037042317605316</v>
      </c>
    </row>
    <row r="207" spans="5:9">
      <c r="E207" s="14">
        <f ca="1"/>
        <v>39181</v>
      </c>
      <c r="F207" s="14"/>
      <c r="G207" s="15">
        <f ca="1"/>
        <v>45.24</v>
      </c>
      <c r="H207" s="8">
        <f t="shared" ca="1" si="14"/>
        <v>28.074084635210632</v>
      </c>
      <c r="I207" s="8">
        <f t="shared" ca="1" si="15"/>
        <v>14.037042317605316</v>
      </c>
    </row>
    <row r="208" spans="5:9">
      <c r="E208" s="14">
        <f ca="1"/>
        <v>39174</v>
      </c>
      <c r="F208" s="14"/>
      <c r="G208" s="15">
        <f ca="1"/>
        <v>44.92</v>
      </c>
      <c r="H208" s="8">
        <f t="shared" ca="1" si="14"/>
        <v>28.074084635210632</v>
      </c>
      <c r="I208" s="8">
        <f t="shared" ca="1" si="15"/>
        <v>14.037042317605316</v>
      </c>
    </row>
    <row r="209" spans="5:9">
      <c r="E209" s="14">
        <f ca="1"/>
        <v>39167</v>
      </c>
      <c r="F209" s="14"/>
      <c r="G209" s="15">
        <f ca="1"/>
        <v>43.54</v>
      </c>
      <c r="H209" s="8">
        <f t="shared" ca="1" si="14"/>
        <v>28.074084635210632</v>
      </c>
      <c r="I209" s="8">
        <f t="shared" ca="1" si="15"/>
        <v>14.037042317605316</v>
      </c>
    </row>
    <row r="210" spans="5:9">
      <c r="E210" s="14">
        <f ca="1"/>
        <v>39160</v>
      </c>
      <c r="F210" s="14"/>
      <c r="G210" s="15">
        <f ca="1"/>
        <v>43.58</v>
      </c>
      <c r="H210" s="8">
        <f t="shared" ca="1" si="14"/>
        <v>28.074084635210632</v>
      </c>
      <c r="I210" s="8">
        <f t="shared" ca="1" si="15"/>
        <v>14.037042317605316</v>
      </c>
    </row>
    <row r="211" spans="5:9">
      <c r="E211" s="14">
        <f ca="1"/>
        <v>39153</v>
      </c>
      <c r="F211" s="14"/>
      <c r="G211" s="15">
        <f ca="1"/>
        <v>42.82</v>
      </c>
      <c r="H211" s="8">
        <f t="shared" ca="1" si="14"/>
        <v>28.074084635210632</v>
      </c>
      <c r="I211" s="8">
        <f t="shared" ca="1" si="15"/>
        <v>14.037042317605316</v>
      </c>
    </row>
    <row r="212" spans="5:9">
      <c r="E212" s="14">
        <f ca="1"/>
        <v>39146</v>
      </c>
      <c r="F212" s="14"/>
      <c r="G212" s="15">
        <f ca="1"/>
        <v>42.84</v>
      </c>
      <c r="H212" s="8">
        <f t="shared" ca="1" si="14"/>
        <v>28.074084635210632</v>
      </c>
      <c r="I212" s="8">
        <f t="shared" ca="1" si="15"/>
        <v>14.037042317605316</v>
      </c>
    </row>
    <row r="213" spans="5:9">
      <c r="E213" s="14">
        <f ca="1"/>
        <v>39139</v>
      </c>
      <c r="F213" s="14"/>
      <c r="G213" s="15">
        <f ca="1"/>
        <v>41.33</v>
      </c>
      <c r="H213" s="8">
        <f t="shared" ca="1" si="14"/>
        <v>28.074084635210632</v>
      </c>
      <c r="I213" s="8">
        <f t="shared" ca="1" si="15"/>
        <v>14.037042317605316</v>
      </c>
    </row>
    <row r="214" spans="5:9">
      <c r="E214" s="14">
        <f ca="1"/>
        <v>39133</v>
      </c>
      <c r="F214" s="14"/>
      <c r="G214" s="15">
        <f ca="1"/>
        <v>42.56</v>
      </c>
      <c r="H214" s="8">
        <f t="shared" ca="1" si="14"/>
        <v>28.074084635210632</v>
      </c>
      <c r="I214" s="8">
        <f t="shared" ca="1" si="15"/>
        <v>14.037042317605316</v>
      </c>
    </row>
    <row r="215" spans="5:9">
      <c r="E215" s="14">
        <f ca="1"/>
        <v>39125</v>
      </c>
      <c r="F215" s="14"/>
      <c r="G215" s="15">
        <f ca="1"/>
        <v>43.11</v>
      </c>
      <c r="H215" s="8">
        <f t="shared" ca="1" si="14"/>
        <v>28.074084635210632</v>
      </c>
      <c r="I215" s="8">
        <f t="shared" ca="1" si="15"/>
        <v>14.037042317605316</v>
      </c>
    </row>
    <row r="216" spans="5:9">
      <c r="E216" s="14">
        <f ca="1"/>
        <v>39118</v>
      </c>
      <c r="F216" s="14"/>
      <c r="G216" s="15">
        <f ca="1"/>
        <v>43.01</v>
      </c>
      <c r="H216" s="8">
        <f t="shared" ca="1" si="14"/>
        <v>28.074084635210632</v>
      </c>
      <c r="I216" s="8">
        <f t="shared" ca="1" si="15"/>
        <v>14.037042317605316</v>
      </c>
    </row>
    <row r="217" spans="5:9">
      <c r="E217" s="14">
        <f ca="1"/>
        <v>39111</v>
      </c>
      <c r="F217" s="14"/>
      <c r="G217" s="15">
        <f ca="1"/>
        <v>43.45</v>
      </c>
      <c r="H217" s="8">
        <f t="shared" ca="1" si="14"/>
        <v>28.074084635210632</v>
      </c>
      <c r="I217" s="8">
        <f t="shared" ca="1" si="15"/>
        <v>14.037042317605316</v>
      </c>
    </row>
    <row r="218" spans="5:9">
      <c r="E218" s="14">
        <f ca="1"/>
        <v>39104</v>
      </c>
      <c r="F218" s="14"/>
      <c r="G218" s="15">
        <f ca="1"/>
        <v>43.08</v>
      </c>
      <c r="H218" s="8">
        <f t="shared" ca="1" si="14"/>
        <v>28.074084635210632</v>
      </c>
      <c r="I218" s="8">
        <f t="shared" ca="1" si="15"/>
        <v>14.037042317605316</v>
      </c>
    </row>
    <row r="219" spans="5:9">
      <c r="E219" s="14">
        <f ca="1"/>
        <v>39098</v>
      </c>
      <c r="F219" s="14"/>
      <c r="G219" s="15">
        <f ca="1"/>
        <v>43.46</v>
      </c>
      <c r="H219" s="8">
        <f t="shared" ca="1" si="14"/>
        <v>28.074084635210632</v>
      </c>
      <c r="I219" s="8">
        <f t="shared" ca="1" si="15"/>
        <v>14.037042317605316</v>
      </c>
    </row>
    <row r="220" spans="5:9">
      <c r="E220" s="14">
        <f ca="1"/>
        <v>39090</v>
      </c>
      <c r="F220" s="14"/>
      <c r="G220" s="15">
        <f ca="1"/>
        <v>43.72</v>
      </c>
      <c r="H220" s="8">
        <f t="shared" ca="1" si="14"/>
        <v>28.074084635210632</v>
      </c>
      <c r="I220" s="8">
        <f t="shared" ca="1" si="15"/>
        <v>14.037042317605316</v>
      </c>
    </row>
    <row r="221" spans="5:9">
      <c r="E221" s="14">
        <f ca="1"/>
        <v>39085</v>
      </c>
      <c r="F221" s="14"/>
      <c r="G221" s="15">
        <f ca="1"/>
        <v>43.46</v>
      </c>
      <c r="H221" s="8">
        <f t="shared" ca="1" si="14"/>
        <v>28.074084635210632</v>
      </c>
      <c r="I221" s="8">
        <f t="shared" ca="1" si="15"/>
        <v>14.037042317605316</v>
      </c>
    </row>
    <row r="222" spans="5:9">
      <c r="E222" s="14">
        <f ca="1"/>
        <v>39077</v>
      </c>
      <c r="F222" s="14"/>
      <c r="G222" s="15">
        <f ca="1"/>
        <v>43.45</v>
      </c>
      <c r="H222" s="8">
        <f t="shared" ca="1" si="14"/>
        <v>28.074084635210632</v>
      </c>
      <c r="I222" s="8">
        <f t="shared" ca="1" si="15"/>
        <v>14.037042317605316</v>
      </c>
    </row>
    <row r="223" spans="5:9">
      <c r="E223" s="14">
        <f ca="1"/>
        <v>39069</v>
      </c>
      <c r="F223" s="14"/>
      <c r="G223" s="15">
        <f ca="1"/>
        <v>43.57</v>
      </c>
      <c r="H223" s="8">
        <f t="shared" ca="1" si="14"/>
        <v>28.074084635210632</v>
      </c>
      <c r="I223" s="8">
        <f t="shared" ca="1" si="15"/>
        <v>14.037042317605316</v>
      </c>
    </row>
    <row r="224" spans="5:9">
      <c r="E224" s="14">
        <f ca="1"/>
        <v>39062</v>
      </c>
      <c r="F224" s="14"/>
      <c r="G224" s="15">
        <f ca="1"/>
        <v>44.07</v>
      </c>
      <c r="H224" s="8">
        <f t="shared" ca="1" si="14"/>
        <v>28.074084635210632</v>
      </c>
      <c r="I224" s="8">
        <f t="shared" ca="1" si="15"/>
        <v>14.037042317605316</v>
      </c>
    </row>
    <row r="225" spans="5:9">
      <c r="E225" s="14">
        <f ca="1"/>
        <v>39055</v>
      </c>
      <c r="F225" s="14"/>
      <c r="G225" s="15">
        <f ca="1"/>
        <v>44.05</v>
      </c>
      <c r="H225" s="8">
        <f t="shared" ca="1" si="14"/>
        <v>28.074084635210632</v>
      </c>
      <c r="I225" s="8">
        <f t="shared" ca="1" si="15"/>
        <v>14.037042317605316</v>
      </c>
    </row>
    <row r="226" spans="5:9">
      <c r="E226" s="14">
        <f ca="1"/>
        <v>39048</v>
      </c>
      <c r="F226" s="14"/>
      <c r="G226" s="15">
        <f ca="1"/>
        <v>41.94</v>
      </c>
      <c r="H226" s="8">
        <f t="shared" ca="1" si="14"/>
        <v>28.074084635210632</v>
      </c>
      <c r="I226" s="8">
        <f t="shared" ca="1" si="15"/>
        <v>14.037042317605316</v>
      </c>
    </row>
    <row r="227" spans="5:9">
      <c r="E227" s="14">
        <f ca="1"/>
        <v>39041</v>
      </c>
      <c r="F227" s="14"/>
      <c r="G227" s="15">
        <f ca="1"/>
        <v>41.98</v>
      </c>
      <c r="H227" s="8">
        <f t="shared" ca="1" si="14"/>
        <v>28.074084635210632</v>
      </c>
      <c r="I227" s="8">
        <f t="shared" ca="1" si="15"/>
        <v>14.037042317605316</v>
      </c>
    </row>
    <row r="228" spans="5:9">
      <c r="E228" s="14">
        <f ca="1"/>
        <v>39034</v>
      </c>
      <c r="F228" s="14"/>
      <c r="G228" s="15">
        <f ca="1"/>
        <v>42.28</v>
      </c>
      <c r="H228" s="8">
        <f t="shared" ca="1" si="14"/>
        <v>28.074084635210632</v>
      </c>
      <c r="I228" s="8">
        <f t="shared" ca="1" si="15"/>
        <v>14.037042317605316</v>
      </c>
    </row>
    <row r="229" spans="5:9">
      <c r="E229" s="14">
        <f ca="1"/>
        <v>39027</v>
      </c>
      <c r="F229" s="14"/>
      <c r="G229" s="15">
        <f ca="1"/>
        <v>41.57</v>
      </c>
      <c r="H229" s="8">
        <f t="shared" ca="1" si="14"/>
        <v>28.074084635210632</v>
      </c>
      <c r="I229" s="8">
        <f t="shared" ca="1" si="15"/>
        <v>14.037042317605316</v>
      </c>
    </row>
    <row r="230" spans="5:9">
      <c r="E230" s="14">
        <f ca="1"/>
        <v>39020</v>
      </c>
      <c r="F230" s="14"/>
      <c r="G230" s="15">
        <f ca="1"/>
        <v>41.6</v>
      </c>
      <c r="H230" s="8">
        <f t="shared" ref="H230:H249" ca="1" si="16">C$13</f>
        <v>28.074084635210632</v>
      </c>
      <c r="I230" s="8">
        <f t="shared" ref="I230:I249" ca="1" si="17">D$13</f>
        <v>14.037042317605316</v>
      </c>
    </row>
    <row r="231" spans="5:9">
      <c r="E231" s="14">
        <f ca="1"/>
        <v>39013</v>
      </c>
      <c r="F231" s="14"/>
      <c r="G231" s="15">
        <f ca="1"/>
        <v>41.93</v>
      </c>
      <c r="H231" s="8">
        <f t="shared" ca="1" si="16"/>
        <v>28.074084635210632</v>
      </c>
      <c r="I231" s="8">
        <f t="shared" ca="1" si="17"/>
        <v>14.037042317605316</v>
      </c>
    </row>
    <row r="232" spans="5:9">
      <c r="E232" s="14">
        <f ca="1"/>
        <v>39006</v>
      </c>
      <c r="F232" s="14"/>
      <c r="G232" s="15">
        <f ca="1"/>
        <v>41.82</v>
      </c>
      <c r="H232" s="8">
        <f t="shared" ca="1" si="16"/>
        <v>28.074084635210632</v>
      </c>
      <c r="I232" s="8">
        <f t="shared" ca="1" si="17"/>
        <v>14.037042317605316</v>
      </c>
    </row>
    <row r="233" spans="5:9">
      <c r="E233" s="14">
        <f ca="1"/>
        <v>38999</v>
      </c>
      <c r="F233" s="14"/>
      <c r="G233" s="15">
        <f ca="1"/>
        <v>39.380000000000003</v>
      </c>
      <c r="H233" s="8">
        <f t="shared" ca="1" si="16"/>
        <v>28.074084635210632</v>
      </c>
      <c r="I233" s="8">
        <f t="shared" ca="1" si="17"/>
        <v>14.037042317605316</v>
      </c>
    </row>
    <row r="234" spans="5:9">
      <c r="E234" s="14">
        <f ca="1"/>
        <v>38992</v>
      </c>
      <c r="F234" s="14"/>
      <c r="G234" s="15">
        <f ca="1"/>
        <v>40.04</v>
      </c>
      <c r="H234" s="8">
        <f t="shared" ca="1" si="16"/>
        <v>28.074084635210632</v>
      </c>
      <c r="I234" s="8">
        <f t="shared" ca="1" si="17"/>
        <v>14.037042317605316</v>
      </c>
    </row>
    <row r="235" spans="5:9">
      <c r="E235" s="14">
        <f ca="1"/>
        <v>38985</v>
      </c>
      <c r="F235" s="14"/>
      <c r="G235" s="15">
        <f ca="1"/>
        <v>39.97</v>
      </c>
      <c r="H235" s="8">
        <f t="shared" ca="1" si="16"/>
        <v>28.074084635210632</v>
      </c>
      <c r="I235" s="8">
        <f t="shared" ca="1" si="17"/>
        <v>14.037042317605316</v>
      </c>
    </row>
    <row r="236" spans="5:9">
      <c r="E236" s="14">
        <f ca="1"/>
        <v>38978</v>
      </c>
      <c r="F236" s="14"/>
      <c r="G236" s="15">
        <f ca="1"/>
        <v>39.35</v>
      </c>
      <c r="H236" s="8">
        <f t="shared" ca="1" si="16"/>
        <v>28.074084635210632</v>
      </c>
      <c r="I236" s="8">
        <f t="shared" ca="1" si="17"/>
        <v>14.037042317605316</v>
      </c>
    </row>
    <row r="237" spans="5:9">
      <c r="E237" s="14">
        <f ca="1"/>
        <v>38971</v>
      </c>
      <c r="F237" s="14"/>
      <c r="G237" s="15">
        <f ca="1"/>
        <v>39.9</v>
      </c>
      <c r="H237" s="8">
        <f t="shared" ca="1" si="16"/>
        <v>28.074084635210632</v>
      </c>
      <c r="I237" s="8">
        <f t="shared" ca="1" si="17"/>
        <v>14.037042317605316</v>
      </c>
    </row>
    <row r="238" spans="5:9">
      <c r="E238" s="14">
        <f ca="1"/>
        <v>38965</v>
      </c>
      <c r="F238" s="14"/>
      <c r="G238" s="15">
        <f ca="1"/>
        <v>39.619999999999997</v>
      </c>
      <c r="H238" s="8">
        <f t="shared" ca="1" si="16"/>
        <v>28.074084635210632</v>
      </c>
      <c r="I238" s="8">
        <f t="shared" ca="1" si="17"/>
        <v>14.037042317605316</v>
      </c>
    </row>
    <row r="239" spans="5:9">
      <c r="E239" s="14">
        <f ca="1"/>
        <v>38957</v>
      </c>
      <c r="F239" s="14"/>
      <c r="G239" s="15">
        <f ca="1"/>
        <v>40.04</v>
      </c>
      <c r="H239" s="8">
        <f t="shared" ca="1" si="16"/>
        <v>28.074084635210632</v>
      </c>
      <c r="I239" s="8">
        <f t="shared" ca="1" si="17"/>
        <v>14.037042317605316</v>
      </c>
    </row>
    <row r="240" spans="5:9">
      <c r="E240" s="14">
        <f ca="1"/>
        <v>38950</v>
      </c>
      <c r="F240" s="14"/>
      <c r="G240" s="15">
        <f ca="1"/>
        <v>39.549999999999997</v>
      </c>
      <c r="H240" s="8">
        <f t="shared" ca="1" si="16"/>
        <v>28.074084635210632</v>
      </c>
      <c r="I240" s="8">
        <f t="shared" ca="1" si="17"/>
        <v>14.037042317605316</v>
      </c>
    </row>
    <row r="241" spans="5:9">
      <c r="E241" s="14">
        <f ca="1"/>
        <v>38943</v>
      </c>
      <c r="F241" s="14"/>
      <c r="G241" s="15">
        <f ca="1"/>
        <v>39.369999999999997</v>
      </c>
      <c r="H241" s="8">
        <f t="shared" ca="1" si="16"/>
        <v>28.074084635210632</v>
      </c>
      <c r="I241" s="8">
        <f t="shared" ca="1" si="17"/>
        <v>14.037042317605316</v>
      </c>
    </row>
    <row r="242" spans="5:9">
      <c r="E242" s="14">
        <f ca="1"/>
        <v>38936</v>
      </c>
      <c r="F242" s="14"/>
      <c r="G242" s="15">
        <f ca="1"/>
        <v>38.880000000000003</v>
      </c>
      <c r="H242" s="8">
        <f t="shared" ca="1" si="16"/>
        <v>28.074084635210632</v>
      </c>
      <c r="I242" s="8">
        <f t="shared" ca="1" si="17"/>
        <v>14.037042317605316</v>
      </c>
    </row>
    <row r="243" spans="5:9">
      <c r="E243" s="14">
        <f ca="1"/>
        <v>38929</v>
      </c>
      <c r="F243" s="14"/>
      <c r="G243" s="15">
        <f ca="1"/>
        <v>38.96</v>
      </c>
      <c r="H243" s="8">
        <f t="shared" ca="1" si="16"/>
        <v>28.074084635210632</v>
      </c>
      <c r="I243" s="8">
        <f t="shared" ca="1" si="17"/>
        <v>14.037042317605316</v>
      </c>
    </row>
    <row r="244" spans="5:9">
      <c r="E244" s="14">
        <f ca="1"/>
        <v>38922</v>
      </c>
      <c r="F244" s="14"/>
      <c r="G244" s="15">
        <f ca="1"/>
        <v>39.549999999999997</v>
      </c>
      <c r="H244" s="8">
        <f t="shared" ca="1" si="16"/>
        <v>28.074084635210632</v>
      </c>
      <c r="I244" s="8">
        <f t="shared" ca="1" si="17"/>
        <v>14.037042317605316</v>
      </c>
    </row>
    <row r="245" spans="5:9">
      <c r="E245" s="14">
        <f ca="1"/>
        <v>38915</v>
      </c>
      <c r="F245" s="14"/>
      <c r="G245" s="15">
        <f ca="1"/>
        <v>39</v>
      </c>
      <c r="H245" s="8">
        <f t="shared" ca="1" si="16"/>
        <v>28.074084635210632</v>
      </c>
      <c r="I245" s="8">
        <f t="shared" ca="1" si="17"/>
        <v>14.037042317605316</v>
      </c>
    </row>
    <row r="246" spans="5:9">
      <c r="E246" s="14">
        <f ca="1"/>
        <v>38908</v>
      </c>
      <c r="F246" s="14"/>
      <c r="G246" s="15">
        <f ca="1"/>
        <v>37.89</v>
      </c>
      <c r="H246" s="8">
        <f t="shared" ca="1" si="16"/>
        <v>28.074084635210632</v>
      </c>
      <c r="I246" s="8">
        <f t="shared" ca="1" si="17"/>
        <v>14.037042317605316</v>
      </c>
    </row>
    <row r="247" spans="5:9">
      <c r="E247" s="14">
        <f ca="1"/>
        <v>38901</v>
      </c>
      <c r="F247" s="14"/>
      <c r="G247" s="15">
        <f ca="1"/>
        <v>38.36</v>
      </c>
      <c r="H247" s="8">
        <f t="shared" ca="1" si="16"/>
        <v>28.074084635210632</v>
      </c>
      <c r="I247" s="8">
        <f t="shared" ca="1" si="17"/>
        <v>14.037042317605316</v>
      </c>
    </row>
    <row r="248" spans="5:9">
      <c r="E248" s="14">
        <f ca="1"/>
        <v>38894</v>
      </c>
      <c r="F248" s="14"/>
      <c r="G248" s="15">
        <f ca="1"/>
        <v>38.22</v>
      </c>
      <c r="H248" s="8">
        <f t="shared" ca="1" si="16"/>
        <v>28.074084635210632</v>
      </c>
      <c r="I248" s="8">
        <f t="shared" ca="1" si="17"/>
        <v>14.037042317605316</v>
      </c>
    </row>
    <row r="249" spans="5:9">
      <c r="E249" s="14">
        <f ca="1"/>
        <v>38887</v>
      </c>
      <c r="F249" s="14"/>
      <c r="G249" s="15">
        <f ca="1"/>
        <v>37.979999999999997</v>
      </c>
      <c r="H249" s="8">
        <f t="shared" ca="1" si="16"/>
        <v>28.074084635210632</v>
      </c>
      <c r="I249" s="8">
        <f t="shared" ca="1" si="17"/>
        <v>14.037042317605316</v>
      </c>
    </row>
    <row r="250" spans="5:9">
      <c r="E250" s="14">
        <f ca="1"/>
        <v>38880</v>
      </c>
      <c r="F250" s="14"/>
      <c r="G250" s="15">
        <f ca="1"/>
        <v>38.39</v>
      </c>
      <c r="H250" s="8">
        <f t="shared" ref="H250:H281" ca="1" si="18">C$12</f>
        <v>27.536961845812865</v>
      </c>
      <c r="I250" s="8">
        <f t="shared" ref="I250:I281" ca="1" si="19">D$12</f>
        <v>13.768480922906432</v>
      </c>
    </row>
    <row r="251" spans="5:9">
      <c r="E251" s="14">
        <f ca="1"/>
        <v>38873</v>
      </c>
      <c r="F251" s="14"/>
      <c r="G251" s="15">
        <f ca="1"/>
        <v>38.409999999999997</v>
      </c>
      <c r="H251" s="8">
        <f t="shared" ca="1" si="18"/>
        <v>27.536961845812865</v>
      </c>
      <c r="I251" s="8">
        <f t="shared" ca="1" si="19"/>
        <v>13.768480922906432</v>
      </c>
    </row>
    <row r="252" spans="5:9">
      <c r="E252" s="14">
        <f ca="1"/>
        <v>38867</v>
      </c>
      <c r="F252" s="14"/>
      <c r="G252" s="15">
        <f ca="1"/>
        <v>38.71</v>
      </c>
      <c r="H252" s="8">
        <f t="shared" ca="1" si="18"/>
        <v>27.536961845812865</v>
      </c>
      <c r="I252" s="8">
        <f t="shared" ca="1" si="19"/>
        <v>13.768480922906432</v>
      </c>
    </row>
    <row r="253" spans="5:9">
      <c r="E253" s="14">
        <f ca="1"/>
        <v>38859</v>
      </c>
      <c r="F253" s="14"/>
      <c r="G253" s="15">
        <f ca="1"/>
        <v>39.24</v>
      </c>
      <c r="H253" s="8">
        <f t="shared" ca="1" si="18"/>
        <v>27.536961845812865</v>
      </c>
      <c r="I253" s="8">
        <f t="shared" ca="1" si="19"/>
        <v>13.768480922906432</v>
      </c>
    </row>
    <row r="254" spans="5:9">
      <c r="E254" s="14">
        <f ca="1"/>
        <v>38852</v>
      </c>
      <c r="F254" s="14"/>
      <c r="G254" s="15">
        <f ca="1"/>
        <v>38.5</v>
      </c>
      <c r="H254" s="8">
        <f t="shared" ca="1" si="18"/>
        <v>27.536961845812865</v>
      </c>
      <c r="I254" s="8">
        <f t="shared" ca="1" si="19"/>
        <v>13.768480922906432</v>
      </c>
    </row>
    <row r="255" spans="5:9">
      <c r="E255" s="14">
        <f ca="1"/>
        <v>38845</v>
      </c>
      <c r="F255" s="14"/>
      <c r="G255" s="15">
        <f ca="1"/>
        <v>38.090000000000003</v>
      </c>
      <c r="H255" s="8">
        <f t="shared" ca="1" si="18"/>
        <v>27.536961845812865</v>
      </c>
      <c r="I255" s="8">
        <f t="shared" ca="1" si="19"/>
        <v>13.768480922906432</v>
      </c>
    </row>
    <row r="256" spans="5:9">
      <c r="E256" s="14">
        <f ca="1"/>
        <v>38838</v>
      </c>
      <c r="F256" s="14"/>
      <c r="G256" s="15">
        <f ca="1"/>
        <v>37.67</v>
      </c>
      <c r="H256" s="8">
        <f t="shared" ca="1" si="18"/>
        <v>27.536961845812865</v>
      </c>
      <c r="I256" s="8">
        <f t="shared" ca="1" si="19"/>
        <v>13.768480922906432</v>
      </c>
    </row>
    <row r="257" spans="5:9">
      <c r="E257" s="14">
        <f ca="1"/>
        <v>38831</v>
      </c>
      <c r="F257" s="14"/>
      <c r="G257" s="15">
        <f ca="1"/>
        <v>37.01</v>
      </c>
      <c r="H257" s="8">
        <f t="shared" ca="1" si="18"/>
        <v>27.536961845812865</v>
      </c>
      <c r="I257" s="8">
        <f t="shared" ca="1" si="19"/>
        <v>13.768480922906432</v>
      </c>
    </row>
    <row r="258" spans="5:9">
      <c r="E258" s="14">
        <f ca="1"/>
        <v>38824</v>
      </c>
      <c r="F258" s="14"/>
      <c r="G258" s="15">
        <f ca="1"/>
        <v>36.909999999999997</v>
      </c>
      <c r="H258" s="8">
        <f t="shared" ca="1" si="18"/>
        <v>27.536961845812865</v>
      </c>
      <c r="I258" s="8">
        <f t="shared" ca="1" si="19"/>
        <v>13.768480922906432</v>
      </c>
    </row>
    <row r="259" spans="5:9">
      <c r="E259" s="14">
        <f ca="1"/>
        <v>38817</v>
      </c>
      <c r="F259" s="14"/>
      <c r="G259" s="15">
        <f ca="1"/>
        <v>36.39</v>
      </c>
      <c r="H259" s="8">
        <f t="shared" ca="1" si="18"/>
        <v>27.536961845812865</v>
      </c>
      <c r="I259" s="8">
        <f t="shared" ca="1" si="19"/>
        <v>13.768480922906432</v>
      </c>
    </row>
    <row r="260" spans="5:9">
      <c r="E260" s="14">
        <f ca="1"/>
        <v>38810</v>
      </c>
      <c r="F260" s="14"/>
      <c r="G260" s="15">
        <f ca="1"/>
        <v>36.47</v>
      </c>
      <c r="H260" s="8">
        <f t="shared" ca="1" si="18"/>
        <v>27.536961845812865</v>
      </c>
      <c r="I260" s="8">
        <f t="shared" ca="1" si="19"/>
        <v>13.768480922906432</v>
      </c>
    </row>
    <row r="261" spans="5:9">
      <c r="E261" s="14">
        <f ca="1"/>
        <v>38803</v>
      </c>
      <c r="F261" s="14"/>
      <c r="G261" s="15">
        <f ca="1"/>
        <v>36.93</v>
      </c>
      <c r="H261" s="8">
        <f t="shared" ca="1" si="18"/>
        <v>27.536961845812865</v>
      </c>
      <c r="I261" s="8">
        <f t="shared" ca="1" si="19"/>
        <v>13.768480922906432</v>
      </c>
    </row>
    <row r="262" spans="5:9">
      <c r="E262" s="14">
        <f ca="1"/>
        <v>38796</v>
      </c>
      <c r="F262" s="14"/>
      <c r="G262" s="15">
        <f ca="1"/>
        <v>37.630000000000003</v>
      </c>
      <c r="H262" s="8">
        <f t="shared" ca="1" si="18"/>
        <v>27.536961845812865</v>
      </c>
      <c r="I262" s="8">
        <f t="shared" ca="1" si="19"/>
        <v>13.768480922906432</v>
      </c>
    </row>
    <row r="263" spans="5:9">
      <c r="E263" s="14">
        <f ca="1"/>
        <v>38789</v>
      </c>
      <c r="F263" s="14"/>
      <c r="G263" s="15">
        <f ca="1"/>
        <v>37.74</v>
      </c>
      <c r="H263" s="8">
        <f t="shared" ca="1" si="18"/>
        <v>27.536961845812865</v>
      </c>
      <c r="I263" s="8">
        <f t="shared" ca="1" si="19"/>
        <v>13.768480922906432</v>
      </c>
    </row>
    <row r="264" spans="5:9">
      <c r="E264" s="14">
        <f ca="1"/>
        <v>38782</v>
      </c>
      <c r="F264" s="14"/>
      <c r="G264" s="15">
        <f ca="1"/>
        <v>37.450000000000003</v>
      </c>
      <c r="H264" s="8">
        <f t="shared" ca="1" si="18"/>
        <v>27.536961845812865</v>
      </c>
      <c r="I264" s="8">
        <f t="shared" ca="1" si="19"/>
        <v>13.768480922906432</v>
      </c>
    </row>
    <row r="265" spans="5:9">
      <c r="E265" s="14">
        <f ca="1"/>
        <v>38775</v>
      </c>
      <c r="F265" s="14"/>
      <c r="G265" s="15">
        <f ca="1"/>
        <v>36.6</v>
      </c>
      <c r="H265" s="8">
        <f t="shared" ca="1" si="18"/>
        <v>27.536961845812865</v>
      </c>
      <c r="I265" s="8">
        <f t="shared" ca="1" si="19"/>
        <v>13.768480922906432</v>
      </c>
    </row>
    <row r="266" spans="5:9">
      <c r="E266" s="14">
        <f ca="1"/>
        <v>38769</v>
      </c>
      <c r="F266" s="14"/>
      <c r="G266" s="15">
        <f ca="1"/>
        <v>36.979999999999997</v>
      </c>
      <c r="H266" s="8">
        <f t="shared" ca="1" si="18"/>
        <v>27.536961845812865</v>
      </c>
      <c r="I266" s="8">
        <f t="shared" ca="1" si="19"/>
        <v>13.768480922906432</v>
      </c>
    </row>
    <row r="267" spans="5:9">
      <c r="E267" s="14">
        <f ca="1"/>
        <v>38761</v>
      </c>
      <c r="F267" s="14"/>
      <c r="G267" s="15">
        <f ca="1"/>
        <v>36.590000000000003</v>
      </c>
      <c r="H267" s="8">
        <f t="shared" ca="1" si="18"/>
        <v>27.536961845812865</v>
      </c>
      <c r="I267" s="8">
        <f t="shared" ca="1" si="19"/>
        <v>13.768480922906432</v>
      </c>
    </row>
    <row r="268" spans="5:9">
      <c r="E268" s="14">
        <f ca="1"/>
        <v>38754</v>
      </c>
      <c r="F268" s="14"/>
      <c r="G268" s="15">
        <f ca="1"/>
        <v>36.04</v>
      </c>
      <c r="H268" s="8">
        <f t="shared" ca="1" si="18"/>
        <v>27.536961845812865</v>
      </c>
      <c r="I268" s="8">
        <f t="shared" ca="1" si="19"/>
        <v>13.768480922906432</v>
      </c>
    </row>
    <row r="269" spans="5:9">
      <c r="E269" s="14">
        <f ca="1"/>
        <v>38747</v>
      </c>
      <c r="F269" s="14"/>
      <c r="G269" s="15">
        <f ca="1"/>
        <v>35.799999999999997</v>
      </c>
      <c r="H269" s="8">
        <f t="shared" ca="1" si="18"/>
        <v>27.536961845812865</v>
      </c>
      <c r="I269" s="8">
        <f t="shared" ca="1" si="19"/>
        <v>13.768480922906432</v>
      </c>
    </row>
    <row r="270" spans="5:9">
      <c r="E270" s="14">
        <f ca="1"/>
        <v>38740</v>
      </c>
      <c r="F270" s="14"/>
      <c r="G270" s="15">
        <f ca="1"/>
        <v>36.75</v>
      </c>
      <c r="H270" s="8">
        <f t="shared" ca="1" si="18"/>
        <v>27.536961845812865</v>
      </c>
      <c r="I270" s="8">
        <f t="shared" ca="1" si="19"/>
        <v>13.768480922906432</v>
      </c>
    </row>
    <row r="271" spans="5:9">
      <c r="E271" s="14">
        <f ca="1"/>
        <v>38734</v>
      </c>
      <c r="F271" s="14"/>
      <c r="G271" s="15">
        <f ca="1"/>
        <v>35.11</v>
      </c>
      <c r="H271" s="8">
        <f t="shared" ca="1" si="18"/>
        <v>27.536961845812865</v>
      </c>
      <c r="I271" s="8">
        <f t="shared" ca="1" si="19"/>
        <v>13.768480922906432</v>
      </c>
    </row>
    <row r="272" spans="5:9">
      <c r="E272" s="14">
        <f ca="1"/>
        <v>38726</v>
      </c>
      <c r="F272" s="14"/>
      <c r="G272" s="15">
        <f ca="1"/>
        <v>36.17</v>
      </c>
      <c r="H272" s="8">
        <f t="shared" ca="1" si="18"/>
        <v>27.536961845812865</v>
      </c>
      <c r="I272" s="8">
        <f t="shared" ca="1" si="19"/>
        <v>13.768480922906432</v>
      </c>
    </row>
    <row r="273" spans="5:9">
      <c r="E273" s="14">
        <f ca="1"/>
        <v>38720</v>
      </c>
      <c r="F273" s="14"/>
      <c r="G273" s="15">
        <f ca="1"/>
        <v>36.26</v>
      </c>
      <c r="H273" s="8">
        <f t="shared" ca="1" si="18"/>
        <v>27.536961845812865</v>
      </c>
      <c r="I273" s="8">
        <f t="shared" ca="1" si="19"/>
        <v>13.768480922906432</v>
      </c>
    </row>
    <row r="274" spans="5:9">
      <c r="E274" s="14">
        <f ca="1"/>
        <v>38713</v>
      </c>
      <c r="F274" s="14"/>
      <c r="G274" s="15">
        <f ca="1"/>
        <v>35.299999999999997</v>
      </c>
      <c r="H274" s="8">
        <f t="shared" ca="1" si="18"/>
        <v>27.536961845812865</v>
      </c>
      <c r="I274" s="8">
        <f t="shared" ca="1" si="19"/>
        <v>13.768480922906432</v>
      </c>
    </row>
    <row r="275" spans="5:9">
      <c r="E275" s="14">
        <f ca="1"/>
        <v>38705</v>
      </c>
      <c r="F275" s="14"/>
      <c r="G275" s="15">
        <f ca="1"/>
        <v>36.03</v>
      </c>
      <c r="H275" s="8">
        <f t="shared" ca="1" si="18"/>
        <v>27.536961845812865</v>
      </c>
      <c r="I275" s="8">
        <f t="shared" ca="1" si="19"/>
        <v>13.768480922906432</v>
      </c>
    </row>
    <row r="276" spans="5:9">
      <c r="E276" s="14">
        <f ca="1"/>
        <v>38698</v>
      </c>
      <c r="F276" s="14"/>
      <c r="G276" s="15">
        <f ca="1"/>
        <v>36.090000000000003</v>
      </c>
      <c r="H276" s="8">
        <f t="shared" ca="1" si="18"/>
        <v>27.536961845812865</v>
      </c>
      <c r="I276" s="8">
        <f t="shared" ca="1" si="19"/>
        <v>13.768480922906432</v>
      </c>
    </row>
    <row r="277" spans="5:9">
      <c r="E277" s="14">
        <f ca="1"/>
        <v>38691</v>
      </c>
      <c r="F277" s="14"/>
      <c r="G277" s="15">
        <f ca="1"/>
        <v>36.35</v>
      </c>
      <c r="H277" s="8">
        <f t="shared" ca="1" si="18"/>
        <v>27.536961845812865</v>
      </c>
      <c r="I277" s="8">
        <f t="shared" ca="1" si="19"/>
        <v>13.768480922906432</v>
      </c>
    </row>
    <row r="278" spans="5:9">
      <c r="E278" s="14">
        <f ca="1"/>
        <v>38684</v>
      </c>
      <c r="F278" s="14"/>
      <c r="G278" s="15">
        <f ca="1"/>
        <v>37.5</v>
      </c>
      <c r="H278" s="8">
        <f t="shared" ca="1" si="18"/>
        <v>27.536961845812865</v>
      </c>
      <c r="I278" s="8">
        <f t="shared" ca="1" si="19"/>
        <v>13.768480922906432</v>
      </c>
    </row>
    <row r="279" spans="5:9">
      <c r="E279" s="14">
        <f ca="1"/>
        <v>38677</v>
      </c>
      <c r="F279" s="14"/>
      <c r="G279" s="15">
        <f ca="1"/>
        <v>37.229999999999997</v>
      </c>
      <c r="H279" s="8">
        <f t="shared" ca="1" si="18"/>
        <v>27.536961845812865</v>
      </c>
      <c r="I279" s="8">
        <f t="shared" ca="1" si="19"/>
        <v>13.768480922906432</v>
      </c>
    </row>
    <row r="280" spans="5:9">
      <c r="E280" s="14">
        <f ca="1"/>
        <v>38670</v>
      </c>
      <c r="F280" s="14"/>
      <c r="G280" s="15">
        <f ca="1"/>
        <v>36.71</v>
      </c>
      <c r="H280" s="8">
        <f t="shared" ca="1" si="18"/>
        <v>27.536961845812865</v>
      </c>
      <c r="I280" s="8">
        <f t="shared" ca="1" si="19"/>
        <v>13.768480922906432</v>
      </c>
    </row>
    <row r="281" spans="5:9">
      <c r="E281" s="14">
        <f ca="1"/>
        <v>38663</v>
      </c>
      <c r="F281" s="14"/>
      <c r="G281" s="15">
        <f ca="1"/>
        <v>37.200000000000003</v>
      </c>
      <c r="H281" s="8">
        <f t="shared" ca="1" si="18"/>
        <v>27.536961845812865</v>
      </c>
      <c r="I281" s="8">
        <f t="shared" ca="1" si="19"/>
        <v>13.768480922906432</v>
      </c>
    </row>
    <row r="282" spans="5:9">
      <c r="E282" s="14">
        <f ca="1"/>
        <v>38656</v>
      </c>
      <c r="F282" s="14"/>
      <c r="G282" s="15">
        <f ca="1"/>
        <v>36.799999999999997</v>
      </c>
      <c r="H282" s="8">
        <f t="shared" ref="H282:H301" ca="1" si="20">C$12</f>
        <v>27.536961845812865</v>
      </c>
      <c r="I282" s="8">
        <f t="shared" ref="I282:I301" ca="1" si="21">D$12</f>
        <v>13.768480922906432</v>
      </c>
    </row>
    <row r="283" spans="5:9">
      <c r="E283" s="14">
        <f ca="1"/>
        <v>38649</v>
      </c>
      <c r="F283" s="14"/>
      <c r="G283" s="15">
        <f ca="1"/>
        <v>37.26</v>
      </c>
      <c r="H283" s="8">
        <f t="shared" ca="1" si="20"/>
        <v>27.536961845812865</v>
      </c>
      <c r="I283" s="8">
        <f t="shared" ca="1" si="21"/>
        <v>13.768480922906432</v>
      </c>
    </row>
    <row r="284" spans="5:9">
      <c r="E284" s="14">
        <f ca="1"/>
        <v>38642</v>
      </c>
      <c r="F284" s="14"/>
      <c r="G284" s="15">
        <f ca="1"/>
        <v>36.479999999999997</v>
      </c>
      <c r="H284" s="8">
        <f t="shared" ca="1" si="20"/>
        <v>27.536961845812865</v>
      </c>
      <c r="I284" s="8">
        <f t="shared" ca="1" si="21"/>
        <v>13.768480922906432</v>
      </c>
    </row>
    <row r="285" spans="5:9">
      <c r="E285" s="14">
        <f ca="1"/>
        <v>38635</v>
      </c>
      <c r="F285" s="14"/>
      <c r="G285" s="15">
        <f ca="1"/>
        <v>36.6</v>
      </c>
      <c r="H285" s="8">
        <f t="shared" ca="1" si="20"/>
        <v>27.536961845812865</v>
      </c>
      <c r="I285" s="8">
        <f t="shared" ca="1" si="21"/>
        <v>13.768480922906432</v>
      </c>
    </row>
    <row r="286" spans="5:9">
      <c r="E286" s="14">
        <f ca="1"/>
        <v>38628</v>
      </c>
      <c r="F286" s="14"/>
      <c r="G286" s="15">
        <f ca="1"/>
        <v>36.71</v>
      </c>
      <c r="H286" s="8">
        <f t="shared" ca="1" si="20"/>
        <v>27.536961845812865</v>
      </c>
      <c r="I286" s="8">
        <f t="shared" ca="1" si="21"/>
        <v>13.768480922906432</v>
      </c>
    </row>
    <row r="287" spans="5:9">
      <c r="E287" s="14">
        <f ca="1"/>
        <v>38621</v>
      </c>
      <c r="F287" s="14"/>
      <c r="G287" s="15">
        <f ca="1"/>
        <v>37.57</v>
      </c>
      <c r="H287" s="8">
        <f t="shared" ca="1" si="20"/>
        <v>27.536961845812865</v>
      </c>
      <c r="I287" s="8">
        <f t="shared" ca="1" si="21"/>
        <v>13.768480922906432</v>
      </c>
    </row>
    <row r="288" spans="5:9">
      <c r="E288" s="14">
        <f ca="1"/>
        <v>38614</v>
      </c>
      <c r="F288" s="14"/>
      <c r="G288" s="15">
        <f ca="1"/>
        <v>36.840000000000003</v>
      </c>
      <c r="H288" s="8">
        <f t="shared" ca="1" si="20"/>
        <v>27.536961845812865</v>
      </c>
      <c r="I288" s="8">
        <f t="shared" ca="1" si="21"/>
        <v>13.768480922906432</v>
      </c>
    </row>
    <row r="289" spans="5:9">
      <c r="E289" s="14">
        <f ca="1"/>
        <v>38607</v>
      </c>
      <c r="F289" s="14"/>
      <c r="G289" s="15">
        <f ca="1"/>
        <v>37.76</v>
      </c>
      <c r="H289" s="8">
        <f t="shared" ca="1" si="20"/>
        <v>27.536961845812865</v>
      </c>
      <c r="I289" s="8">
        <f t="shared" ca="1" si="21"/>
        <v>13.768480922906432</v>
      </c>
    </row>
    <row r="290" spans="5:9">
      <c r="E290" s="14">
        <f ca="1"/>
        <v>38601</v>
      </c>
      <c r="F290" s="14"/>
      <c r="G290" s="15">
        <f ca="1"/>
        <v>38.08</v>
      </c>
      <c r="H290" s="8">
        <f t="shared" ca="1" si="20"/>
        <v>27.536961845812865</v>
      </c>
      <c r="I290" s="8">
        <f t="shared" ca="1" si="21"/>
        <v>13.768480922906432</v>
      </c>
    </row>
    <row r="291" spans="5:9">
      <c r="E291" s="14">
        <f ca="1"/>
        <v>38593</v>
      </c>
      <c r="F291" s="14"/>
      <c r="G291" s="15">
        <f ca="1"/>
        <v>37.950000000000003</v>
      </c>
      <c r="H291" s="8">
        <f t="shared" ca="1" si="20"/>
        <v>27.536961845812865</v>
      </c>
      <c r="I291" s="8">
        <f t="shared" ca="1" si="21"/>
        <v>13.768480922906432</v>
      </c>
    </row>
    <row r="292" spans="5:9">
      <c r="E292" s="14">
        <f ca="1"/>
        <v>38586</v>
      </c>
      <c r="F292" s="14"/>
      <c r="G292" s="15">
        <f ca="1"/>
        <v>37.659999999999997</v>
      </c>
      <c r="H292" s="8">
        <f t="shared" ca="1" si="20"/>
        <v>27.536961845812865</v>
      </c>
      <c r="I292" s="8">
        <f t="shared" ca="1" si="21"/>
        <v>13.768480922906432</v>
      </c>
    </row>
    <row r="293" spans="5:9">
      <c r="E293" s="14">
        <f ca="1"/>
        <v>38579</v>
      </c>
      <c r="F293" s="14"/>
      <c r="G293" s="15">
        <f ca="1"/>
        <v>38.369999999999997</v>
      </c>
      <c r="H293" s="8">
        <f t="shared" ca="1" si="20"/>
        <v>27.536961845812865</v>
      </c>
      <c r="I293" s="8">
        <f t="shared" ca="1" si="21"/>
        <v>13.768480922906432</v>
      </c>
    </row>
    <row r="294" spans="5:9">
      <c r="E294" s="14">
        <f ca="1"/>
        <v>38572</v>
      </c>
      <c r="F294" s="14"/>
      <c r="G294" s="15">
        <f ca="1"/>
        <v>37.67</v>
      </c>
      <c r="H294" s="8">
        <f t="shared" ca="1" si="20"/>
        <v>27.536961845812865</v>
      </c>
      <c r="I294" s="8">
        <f t="shared" ca="1" si="21"/>
        <v>13.768480922906432</v>
      </c>
    </row>
    <row r="295" spans="5:9">
      <c r="E295" s="14">
        <f ca="1"/>
        <v>38565</v>
      </c>
      <c r="F295" s="14"/>
      <c r="G295" s="15">
        <f ca="1"/>
        <v>38.090000000000003</v>
      </c>
      <c r="H295" s="8">
        <f t="shared" ca="1" si="20"/>
        <v>27.536961845812865</v>
      </c>
      <c r="I295" s="8">
        <f t="shared" ca="1" si="21"/>
        <v>13.768480922906432</v>
      </c>
    </row>
    <row r="296" spans="5:9">
      <c r="E296" s="14">
        <f ca="1"/>
        <v>38558</v>
      </c>
      <c r="F296" s="14"/>
      <c r="G296" s="15">
        <f ca="1"/>
        <v>37.83</v>
      </c>
      <c r="H296" s="8">
        <f t="shared" ca="1" si="20"/>
        <v>27.536961845812865</v>
      </c>
      <c r="I296" s="8">
        <f t="shared" ca="1" si="21"/>
        <v>13.768480922906432</v>
      </c>
    </row>
    <row r="297" spans="5:9">
      <c r="E297" s="14">
        <f ca="1"/>
        <v>38551</v>
      </c>
      <c r="F297" s="14"/>
      <c r="G297" s="15">
        <f ca="1"/>
        <v>38.06</v>
      </c>
      <c r="H297" s="8">
        <f t="shared" ca="1" si="20"/>
        <v>27.536961845812865</v>
      </c>
      <c r="I297" s="8">
        <f t="shared" ca="1" si="21"/>
        <v>13.768480922906432</v>
      </c>
    </row>
    <row r="298" spans="5:9">
      <c r="E298" s="14">
        <f ca="1"/>
        <v>38544</v>
      </c>
      <c r="F298" s="14"/>
      <c r="G298" s="15">
        <f ca="1"/>
        <v>37.24</v>
      </c>
      <c r="H298" s="8">
        <f t="shared" ca="1" si="20"/>
        <v>27.536961845812865</v>
      </c>
      <c r="I298" s="8">
        <f t="shared" ca="1" si="21"/>
        <v>13.768480922906432</v>
      </c>
    </row>
    <row r="299" spans="5:9">
      <c r="E299" s="14">
        <f ca="1"/>
        <v>38538</v>
      </c>
      <c r="F299" s="14"/>
      <c r="G299" s="15">
        <f ca="1"/>
        <v>36.94</v>
      </c>
      <c r="H299" s="8">
        <f t="shared" ca="1" si="20"/>
        <v>27.536961845812865</v>
      </c>
      <c r="I299" s="8">
        <f t="shared" ca="1" si="21"/>
        <v>13.768480922906432</v>
      </c>
    </row>
    <row r="300" spans="5:9">
      <c r="E300" s="14">
        <f ca="1"/>
        <v>38530</v>
      </c>
      <c r="F300" s="14"/>
      <c r="G300" s="15">
        <f ca="1"/>
        <v>36.49</v>
      </c>
      <c r="H300" s="8">
        <f t="shared" ca="1" si="20"/>
        <v>27.536961845812865</v>
      </c>
      <c r="I300" s="8">
        <f t="shared" ca="1" si="21"/>
        <v>13.768480922906432</v>
      </c>
    </row>
    <row r="301" spans="5:9">
      <c r="E301" s="14">
        <f ca="1"/>
        <v>38523</v>
      </c>
      <c r="F301" s="14"/>
      <c r="G301" s="15">
        <f ca="1"/>
        <v>36.479999999999997</v>
      </c>
      <c r="H301" s="8">
        <f t="shared" ca="1" si="20"/>
        <v>27.536961845812865</v>
      </c>
      <c r="I301" s="8">
        <f t="shared" ca="1" si="21"/>
        <v>13.768480922906432</v>
      </c>
    </row>
    <row r="302" spans="5:9">
      <c r="E302" s="14">
        <f ca="1"/>
        <v>38516</v>
      </c>
      <c r="F302" s="14"/>
      <c r="G302" s="15">
        <f ca="1"/>
        <v>38.08</v>
      </c>
      <c r="H302" s="8">
        <f t="shared" ref="H302:H333" ca="1" si="22">C$11</f>
        <v>26.363239450598495</v>
      </c>
      <c r="I302" s="8">
        <f t="shared" ref="I302:I333" ca="1" si="23">D$11</f>
        <v>13.181619725299248</v>
      </c>
    </row>
    <row r="303" spans="5:9">
      <c r="E303" s="14">
        <f ca="1"/>
        <v>38509</v>
      </c>
      <c r="F303" s="14"/>
      <c r="G303" s="15">
        <f ca="1"/>
        <v>37.75</v>
      </c>
      <c r="H303" s="8">
        <f t="shared" ca="1" si="22"/>
        <v>26.363239450598495</v>
      </c>
      <c r="I303" s="8">
        <f t="shared" ca="1" si="23"/>
        <v>13.181619725299248</v>
      </c>
    </row>
    <row r="304" spans="5:9">
      <c r="E304" s="14">
        <f ca="1"/>
        <v>38503</v>
      </c>
      <c r="F304" s="14"/>
      <c r="G304" s="15">
        <f ca="1"/>
        <v>37.99</v>
      </c>
      <c r="H304" s="8">
        <f t="shared" ca="1" si="22"/>
        <v>26.363239450598495</v>
      </c>
      <c r="I304" s="8">
        <f t="shared" ca="1" si="23"/>
        <v>13.181619725299248</v>
      </c>
    </row>
    <row r="305" spans="5:9">
      <c r="E305" s="14">
        <f ca="1"/>
        <v>38495</v>
      </c>
      <c r="F305" s="14"/>
      <c r="G305" s="15">
        <f ca="1"/>
        <v>38.590000000000003</v>
      </c>
      <c r="H305" s="8">
        <f t="shared" ca="1" si="22"/>
        <v>26.363239450598495</v>
      </c>
      <c r="I305" s="8">
        <f t="shared" ca="1" si="23"/>
        <v>13.181619725299248</v>
      </c>
    </row>
    <row r="306" spans="5:9">
      <c r="E306" s="14">
        <f ca="1"/>
        <v>38488</v>
      </c>
      <c r="F306" s="14"/>
      <c r="G306" s="15">
        <f ca="1"/>
        <v>38.700000000000003</v>
      </c>
      <c r="H306" s="8">
        <f t="shared" ca="1" si="22"/>
        <v>26.363239450598495</v>
      </c>
      <c r="I306" s="8">
        <f t="shared" ca="1" si="23"/>
        <v>13.181619725299248</v>
      </c>
    </row>
    <row r="307" spans="5:9">
      <c r="E307" s="14">
        <f ca="1"/>
        <v>38481</v>
      </c>
      <c r="F307" s="14"/>
      <c r="G307" s="15">
        <f ca="1"/>
        <v>37.89</v>
      </c>
      <c r="H307" s="8">
        <f t="shared" ca="1" si="22"/>
        <v>26.363239450598495</v>
      </c>
      <c r="I307" s="8">
        <f t="shared" ca="1" si="23"/>
        <v>13.181619725299248</v>
      </c>
    </row>
    <row r="308" spans="5:9">
      <c r="E308" s="14">
        <f ca="1"/>
        <v>38474</v>
      </c>
      <c r="F308" s="14"/>
      <c r="G308" s="15">
        <f ca="1"/>
        <v>37.96</v>
      </c>
      <c r="H308" s="8">
        <f t="shared" ca="1" si="22"/>
        <v>26.363239450598495</v>
      </c>
      <c r="I308" s="8">
        <f t="shared" ca="1" si="23"/>
        <v>13.181619725299248</v>
      </c>
    </row>
    <row r="309" spans="5:9">
      <c r="E309" s="14">
        <f ca="1"/>
        <v>38467</v>
      </c>
      <c r="F309" s="14"/>
      <c r="G309" s="15">
        <f ca="1"/>
        <v>37.31</v>
      </c>
      <c r="H309" s="8">
        <f t="shared" ca="1" si="22"/>
        <v>26.363239450598495</v>
      </c>
      <c r="I309" s="8">
        <f t="shared" ca="1" si="23"/>
        <v>13.181619725299248</v>
      </c>
    </row>
    <row r="310" spans="5:9">
      <c r="E310" s="14">
        <f ca="1"/>
        <v>38460</v>
      </c>
      <c r="F310" s="14"/>
      <c r="G310" s="15">
        <f ca="1"/>
        <v>36.19</v>
      </c>
      <c r="H310" s="8">
        <f t="shared" ca="1" si="22"/>
        <v>26.363239450598495</v>
      </c>
      <c r="I310" s="8">
        <f t="shared" ca="1" si="23"/>
        <v>13.181619725299248</v>
      </c>
    </row>
    <row r="311" spans="5:9">
      <c r="E311" s="14">
        <f ca="1"/>
        <v>38453</v>
      </c>
      <c r="F311" s="14"/>
      <c r="G311" s="15">
        <f ca="1"/>
        <v>35.47</v>
      </c>
      <c r="H311" s="8">
        <f t="shared" ca="1" si="22"/>
        <v>26.363239450598495</v>
      </c>
      <c r="I311" s="8">
        <f t="shared" ca="1" si="23"/>
        <v>13.181619725299248</v>
      </c>
    </row>
    <row r="312" spans="5:9">
      <c r="E312" s="14">
        <f ca="1"/>
        <v>38446</v>
      </c>
      <c r="F312" s="14"/>
      <c r="G312" s="15">
        <f ca="1"/>
        <v>36.159999999999997</v>
      </c>
      <c r="H312" s="8">
        <f t="shared" ca="1" si="22"/>
        <v>26.363239450598495</v>
      </c>
      <c r="I312" s="8">
        <f t="shared" ca="1" si="23"/>
        <v>13.181619725299248</v>
      </c>
    </row>
    <row r="313" spans="5:9">
      <c r="E313" s="14">
        <f ca="1"/>
        <v>38439</v>
      </c>
      <c r="F313" s="14"/>
      <c r="G313" s="15">
        <f ca="1"/>
        <v>35.54</v>
      </c>
      <c r="H313" s="8">
        <f t="shared" ca="1" si="22"/>
        <v>26.363239450598495</v>
      </c>
      <c r="I313" s="8">
        <f t="shared" ca="1" si="23"/>
        <v>13.181619725299248</v>
      </c>
    </row>
    <row r="314" spans="5:9">
      <c r="E314" s="14">
        <f ca="1"/>
        <v>38432</v>
      </c>
      <c r="F314" s="14"/>
      <c r="G314" s="15">
        <f ca="1"/>
        <v>35.39</v>
      </c>
      <c r="H314" s="8">
        <f t="shared" ca="1" si="22"/>
        <v>26.363239450598495</v>
      </c>
      <c r="I314" s="8">
        <f t="shared" ca="1" si="23"/>
        <v>13.181619725299248</v>
      </c>
    </row>
    <row r="315" spans="5:9">
      <c r="E315" s="14">
        <f ca="1"/>
        <v>38425</v>
      </c>
      <c r="F315" s="14"/>
      <c r="G315" s="15">
        <f ca="1"/>
        <v>35.61</v>
      </c>
      <c r="H315" s="8">
        <f t="shared" ca="1" si="22"/>
        <v>26.363239450598495</v>
      </c>
      <c r="I315" s="8">
        <f t="shared" ca="1" si="23"/>
        <v>13.181619725299248</v>
      </c>
    </row>
    <row r="316" spans="5:9">
      <c r="E316" s="14">
        <f ca="1"/>
        <v>38418</v>
      </c>
      <c r="F316" s="14"/>
      <c r="G316" s="15">
        <f ca="1"/>
        <v>36.49</v>
      </c>
      <c r="H316" s="8">
        <f t="shared" ca="1" si="22"/>
        <v>26.363239450598495</v>
      </c>
      <c r="I316" s="8">
        <f t="shared" ca="1" si="23"/>
        <v>13.181619725299248</v>
      </c>
    </row>
    <row r="317" spans="5:9">
      <c r="E317" s="14">
        <f ca="1"/>
        <v>38411</v>
      </c>
      <c r="F317" s="14"/>
      <c r="G317" s="15">
        <f ca="1"/>
        <v>37.24</v>
      </c>
      <c r="H317" s="8">
        <f t="shared" ca="1" si="22"/>
        <v>26.363239450598495</v>
      </c>
      <c r="I317" s="8">
        <f t="shared" ca="1" si="23"/>
        <v>13.181619725299248</v>
      </c>
    </row>
    <row r="318" spans="5:9">
      <c r="E318" s="14">
        <f ca="1"/>
        <v>38405</v>
      </c>
      <c r="F318" s="14"/>
      <c r="G318" s="15">
        <f ca="1"/>
        <v>36.71</v>
      </c>
      <c r="H318" s="8">
        <f t="shared" ca="1" si="22"/>
        <v>26.363239450598495</v>
      </c>
      <c r="I318" s="8">
        <f t="shared" ca="1" si="23"/>
        <v>13.181619725299248</v>
      </c>
    </row>
    <row r="319" spans="5:9">
      <c r="E319" s="14">
        <f ca="1"/>
        <v>38397</v>
      </c>
      <c r="F319" s="14"/>
      <c r="G319" s="15">
        <f ca="1"/>
        <v>36.659999999999997</v>
      </c>
      <c r="H319" s="8">
        <f t="shared" ca="1" si="22"/>
        <v>26.363239450598495</v>
      </c>
      <c r="I319" s="8">
        <f t="shared" ca="1" si="23"/>
        <v>13.181619725299248</v>
      </c>
    </row>
    <row r="320" spans="5:9">
      <c r="E320" s="14">
        <f ca="1"/>
        <v>38390</v>
      </c>
      <c r="F320" s="14"/>
      <c r="G320" s="15">
        <f ca="1"/>
        <v>36.49</v>
      </c>
      <c r="H320" s="8">
        <f t="shared" ca="1" si="22"/>
        <v>26.363239450598495</v>
      </c>
      <c r="I320" s="8">
        <f t="shared" ca="1" si="23"/>
        <v>13.181619725299248</v>
      </c>
    </row>
    <row r="321" spans="5:9">
      <c r="E321" s="14">
        <f ca="1"/>
        <v>38383</v>
      </c>
      <c r="F321" s="14"/>
      <c r="G321" s="15">
        <f ca="1"/>
        <v>36.24</v>
      </c>
      <c r="H321" s="8">
        <f t="shared" ca="1" si="22"/>
        <v>26.363239450598495</v>
      </c>
      <c r="I321" s="8">
        <f t="shared" ca="1" si="23"/>
        <v>13.181619725299248</v>
      </c>
    </row>
    <row r="322" spans="5:9">
      <c r="E322" s="14">
        <f ca="1"/>
        <v>38376</v>
      </c>
      <c r="F322" s="14"/>
      <c r="G322" s="15">
        <f ca="1"/>
        <v>35.409999999999997</v>
      </c>
      <c r="H322" s="8">
        <f t="shared" ca="1" si="22"/>
        <v>26.363239450598495</v>
      </c>
      <c r="I322" s="8">
        <f t="shared" ca="1" si="23"/>
        <v>13.181619725299248</v>
      </c>
    </row>
    <row r="323" spans="5:9">
      <c r="E323" s="14">
        <f ca="1"/>
        <v>38370</v>
      </c>
      <c r="F323" s="14"/>
      <c r="G323" s="15">
        <f ca="1"/>
        <v>34.909999999999997</v>
      </c>
      <c r="H323" s="8">
        <f t="shared" ca="1" si="22"/>
        <v>26.363239450598495</v>
      </c>
      <c r="I323" s="8">
        <f t="shared" ca="1" si="23"/>
        <v>13.181619725299248</v>
      </c>
    </row>
    <row r="324" spans="5:9">
      <c r="E324" s="14">
        <f ca="1"/>
        <v>38362</v>
      </c>
      <c r="F324" s="14"/>
      <c r="G324" s="15">
        <f ca="1"/>
        <v>34.96</v>
      </c>
      <c r="H324" s="8">
        <f t="shared" ca="1" si="22"/>
        <v>26.363239450598495</v>
      </c>
      <c r="I324" s="8">
        <f t="shared" ca="1" si="23"/>
        <v>13.181619725299248</v>
      </c>
    </row>
    <row r="325" spans="5:9">
      <c r="E325" s="14">
        <f ca="1"/>
        <v>38355</v>
      </c>
      <c r="F325" s="14"/>
      <c r="G325" s="15">
        <f ca="1"/>
        <v>35.119999999999997</v>
      </c>
      <c r="H325" s="8">
        <f t="shared" ca="1" si="22"/>
        <v>26.363239450598495</v>
      </c>
      <c r="I325" s="8">
        <f t="shared" ca="1" si="23"/>
        <v>13.181619725299248</v>
      </c>
    </row>
    <row r="326" spans="5:9">
      <c r="E326" s="14">
        <f ca="1"/>
        <v>38348</v>
      </c>
      <c r="F326" s="14"/>
      <c r="G326" s="15">
        <f ca="1"/>
        <v>35.53</v>
      </c>
      <c r="H326" s="8">
        <f t="shared" ca="1" si="22"/>
        <v>26.363239450598495</v>
      </c>
      <c r="I326" s="8">
        <f t="shared" ca="1" si="23"/>
        <v>13.181619725299248</v>
      </c>
    </row>
    <row r="327" spans="5:9">
      <c r="E327" s="14">
        <f ca="1"/>
        <v>38341</v>
      </c>
      <c r="F327" s="14"/>
      <c r="G327" s="15">
        <f ca="1"/>
        <v>35.42</v>
      </c>
      <c r="H327" s="8">
        <f t="shared" ca="1" si="22"/>
        <v>26.363239450598495</v>
      </c>
      <c r="I327" s="8">
        <f t="shared" ca="1" si="23"/>
        <v>13.181619725299248</v>
      </c>
    </row>
    <row r="328" spans="5:9">
      <c r="E328" s="14">
        <f ca="1"/>
        <v>38334</v>
      </c>
      <c r="F328" s="14"/>
      <c r="G328" s="15">
        <f ca="1"/>
        <v>34.94</v>
      </c>
      <c r="H328" s="8">
        <f t="shared" ca="1" si="22"/>
        <v>26.363239450598495</v>
      </c>
      <c r="I328" s="8">
        <f t="shared" ca="1" si="23"/>
        <v>13.181619725299248</v>
      </c>
    </row>
    <row r="329" spans="5:9">
      <c r="E329" s="14">
        <f ca="1"/>
        <v>38327</v>
      </c>
      <c r="F329" s="14"/>
      <c r="G329" s="15">
        <f ca="1"/>
        <v>34.590000000000003</v>
      </c>
      <c r="H329" s="8">
        <f t="shared" ca="1" si="22"/>
        <v>26.363239450598495</v>
      </c>
      <c r="I329" s="8">
        <f t="shared" ca="1" si="23"/>
        <v>13.181619725299248</v>
      </c>
    </row>
    <row r="330" spans="5:9">
      <c r="E330" s="14">
        <f ca="1"/>
        <v>38320</v>
      </c>
      <c r="F330" s="14"/>
      <c r="G330" s="15">
        <f ca="1"/>
        <v>34.74</v>
      </c>
      <c r="H330" s="8">
        <f t="shared" ca="1" si="22"/>
        <v>26.363239450598495</v>
      </c>
      <c r="I330" s="8">
        <f t="shared" ca="1" si="23"/>
        <v>13.181619725299248</v>
      </c>
    </row>
    <row r="331" spans="5:9">
      <c r="E331" s="14">
        <f ca="1"/>
        <v>38313</v>
      </c>
      <c r="F331" s="14"/>
      <c r="G331" s="15">
        <f ca="1"/>
        <v>33.799999999999997</v>
      </c>
      <c r="H331" s="8">
        <f t="shared" ca="1" si="22"/>
        <v>26.363239450598495</v>
      </c>
      <c r="I331" s="8">
        <f t="shared" ca="1" si="23"/>
        <v>13.181619725299248</v>
      </c>
    </row>
    <row r="332" spans="5:9">
      <c r="E332" s="14">
        <f ca="1"/>
        <v>38306</v>
      </c>
      <c r="F332" s="14"/>
      <c r="G332" s="15">
        <f ca="1"/>
        <v>33.69</v>
      </c>
      <c r="H332" s="8">
        <f t="shared" ca="1" si="22"/>
        <v>26.363239450598495</v>
      </c>
      <c r="I332" s="8">
        <f t="shared" ca="1" si="23"/>
        <v>13.181619725299248</v>
      </c>
    </row>
    <row r="333" spans="5:9">
      <c r="E333" s="14">
        <f ca="1"/>
        <v>38299</v>
      </c>
      <c r="F333" s="14"/>
      <c r="G333" s="15">
        <f ca="1"/>
        <v>34.590000000000003</v>
      </c>
      <c r="H333" s="8">
        <f t="shared" ca="1" si="22"/>
        <v>26.363239450598495</v>
      </c>
      <c r="I333" s="8">
        <f t="shared" ca="1" si="23"/>
        <v>13.181619725299248</v>
      </c>
    </row>
    <row r="334" spans="5:9">
      <c r="E334" s="14">
        <f ca="1"/>
        <v>38292</v>
      </c>
      <c r="F334" s="14"/>
      <c r="G334" s="15">
        <f ca="1"/>
        <v>35.11</v>
      </c>
      <c r="H334" s="8">
        <f t="shared" ref="H334:H353" ca="1" si="24">C$11</f>
        <v>26.363239450598495</v>
      </c>
      <c r="I334" s="8">
        <f t="shared" ref="I334:I353" ca="1" si="25">D$11</f>
        <v>13.181619725299248</v>
      </c>
    </row>
    <row r="335" spans="5:9">
      <c r="E335" s="14">
        <f ca="1"/>
        <v>38285</v>
      </c>
      <c r="F335" s="14"/>
      <c r="G335" s="15">
        <f ca="1"/>
        <v>34.479999999999997</v>
      </c>
      <c r="H335" s="8">
        <f t="shared" ca="1" si="24"/>
        <v>26.363239450598495</v>
      </c>
      <c r="I335" s="8">
        <f t="shared" ca="1" si="25"/>
        <v>13.181619725299248</v>
      </c>
    </row>
    <row r="336" spans="5:9">
      <c r="E336" s="14">
        <f ca="1"/>
        <v>38278</v>
      </c>
      <c r="F336" s="14"/>
      <c r="G336" s="15">
        <f ca="1"/>
        <v>32.99</v>
      </c>
      <c r="H336" s="8">
        <f t="shared" ca="1" si="24"/>
        <v>26.363239450598495</v>
      </c>
      <c r="I336" s="8">
        <f t="shared" ca="1" si="25"/>
        <v>13.181619725299248</v>
      </c>
    </row>
    <row r="337" spans="5:9">
      <c r="E337" s="14">
        <f ca="1"/>
        <v>38271</v>
      </c>
      <c r="F337" s="14"/>
      <c r="G337" s="15">
        <f ca="1"/>
        <v>33.24</v>
      </c>
      <c r="H337" s="8">
        <f t="shared" ca="1" si="24"/>
        <v>26.363239450598495</v>
      </c>
      <c r="I337" s="8">
        <f t="shared" ca="1" si="25"/>
        <v>13.181619725299248</v>
      </c>
    </row>
    <row r="338" spans="5:9">
      <c r="E338" s="14">
        <f ca="1"/>
        <v>38264</v>
      </c>
      <c r="F338" s="14"/>
      <c r="G338" s="15">
        <f ca="1"/>
        <v>33.92</v>
      </c>
      <c r="H338" s="8">
        <f t="shared" ca="1" si="24"/>
        <v>26.363239450598495</v>
      </c>
      <c r="I338" s="8">
        <f t="shared" ca="1" si="25"/>
        <v>13.181619725299248</v>
      </c>
    </row>
    <row r="339" spans="5:9">
      <c r="E339" s="14">
        <f ca="1"/>
        <v>38257</v>
      </c>
      <c r="F339" s="14"/>
      <c r="G339" s="15">
        <f ca="1"/>
        <v>34.18</v>
      </c>
      <c r="H339" s="8">
        <f t="shared" ca="1" si="24"/>
        <v>26.363239450598495</v>
      </c>
      <c r="I339" s="8">
        <f t="shared" ca="1" si="25"/>
        <v>13.181619725299248</v>
      </c>
    </row>
    <row r="340" spans="5:9">
      <c r="E340" s="14">
        <f ca="1"/>
        <v>38250</v>
      </c>
      <c r="F340" s="14"/>
      <c r="G340" s="15">
        <f ca="1"/>
        <v>33.909999999999997</v>
      </c>
      <c r="H340" s="8">
        <f t="shared" ca="1" si="24"/>
        <v>26.363239450598495</v>
      </c>
      <c r="I340" s="8">
        <f t="shared" ca="1" si="25"/>
        <v>13.181619725299248</v>
      </c>
    </row>
    <row r="341" spans="5:9">
      <c r="E341" s="14">
        <f ca="1"/>
        <v>38243</v>
      </c>
      <c r="F341" s="14"/>
      <c r="G341" s="15">
        <f ca="1"/>
        <v>34.17</v>
      </c>
      <c r="H341" s="8">
        <f t="shared" ca="1" si="24"/>
        <v>26.363239450598495</v>
      </c>
      <c r="I341" s="8">
        <f t="shared" ca="1" si="25"/>
        <v>13.181619725299248</v>
      </c>
    </row>
    <row r="342" spans="5:9">
      <c r="E342" s="14">
        <f ca="1"/>
        <v>38237</v>
      </c>
      <c r="F342" s="14"/>
      <c r="G342" s="15">
        <f ca="1"/>
        <v>36.22</v>
      </c>
      <c r="H342" s="8">
        <f t="shared" ca="1" si="24"/>
        <v>26.363239450598495</v>
      </c>
      <c r="I342" s="8">
        <f t="shared" ca="1" si="25"/>
        <v>13.181619725299248</v>
      </c>
    </row>
    <row r="343" spans="5:9">
      <c r="E343" s="14">
        <f ca="1"/>
        <v>38229</v>
      </c>
      <c r="F343" s="14"/>
      <c r="G343" s="15">
        <f ca="1"/>
        <v>38.35</v>
      </c>
      <c r="H343" s="8">
        <f t="shared" ca="1" si="24"/>
        <v>26.363239450598495</v>
      </c>
      <c r="I343" s="8">
        <f t="shared" ca="1" si="25"/>
        <v>13.181619725299248</v>
      </c>
    </row>
    <row r="344" spans="5:9">
      <c r="E344" s="14">
        <f ca="1"/>
        <v>38222</v>
      </c>
      <c r="F344" s="14"/>
      <c r="G344" s="15">
        <f ca="1"/>
        <v>37.700000000000003</v>
      </c>
      <c r="H344" s="8">
        <f t="shared" ca="1" si="24"/>
        <v>26.363239450598495</v>
      </c>
      <c r="I344" s="8">
        <f t="shared" ca="1" si="25"/>
        <v>13.181619725299248</v>
      </c>
    </row>
    <row r="345" spans="5:9">
      <c r="E345" s="14">
        <f ca="1"/>
        <v>38215</v>
      </c>
      <c r="F345" s="14"/>
      <c r="G345" s="15">
        <f ca="1"/>
        <v>37.270000000000003</v>
      </c>
      <c r="H345" s="8">
        <f t="shared" ca="1" si="24"/>
        <v>26.363239450598495</v>
      </c>
      <c r="I345" s="8">
        <f t="shared" ca="1" si="25"/>
        <v>13.181619725299248</v>
      </c>
    </row>
    <row r="346" spans="5:9">
      <c r="E346" s="14">
        <f ca="1"/>
        <v>38208</v>
      </c>
      <c r="F346" s="14"/>
      <c r="G346" s="15">
        <f ca="1"/>
        <v>37.409999999999997</v>
      </c>
      <c r="H346" s="8">
        <f t="shared" ca="1" si="24"/>
        <v>26.363239450598495</v>
      </c>
      <c r="I346" s="8">
        <f t="shared" ca="1" si="25"/>
        <v>13.181619725299248</v>
      </c>
    </row>
    <row r="347" spans="5:9">
      <c r="E347" s="14">
        <f ca="1"/>
        <v>38201</v>
      </c>
      <c r="F347" s="14"/>
      <c r="G347" s="15">
        <f ca="1"/>
        <v>36.67</v>
      </c>
      <c r="H347" s="8">
        <f t="shared" ca="1" si="24"/>
        <v>26.363239450598495</v>
      </c>
      <c r="I347" s="8">
        <f t="shared" ca="1" si="25"/>
        <v>13.181619725299248</v>
      </c>
    </row>
    <row r="348" spans="5:9">
      <c r="E348" s="14">
        <f ca="1"/>
        <v>38194</v>
      </c>
      <c r="F348" s="14"/>
      <c r="G348" s="15">
        <f ca="1"/>
        <v>36.979999999999997</v>
      </c>
      <c r="H348" s="8">
        <f t="shared" ca="1" si="24"/>
        <v>26.363239450598495</v>
      </c>
      <c r="I348" s="8">
        <f t="shared" ca="1" si="25"/>
        <v>13.181619725299248</v>
      </c>
    </row>
    <row r="349" spans="5:9">
      <c r="E349" s="14">
        <f ca="1"/>
        <v>38187</v>
      </c>
      <c r="F349" s="14"/>
      <c r="G349" s="15">
        <f ca="1"/>
        <v>38.08</v>
      </c>
      <c r="H349" s="8">
        <f t="shared" ca="1" si="24"/>
        <v>26.363239450598495</v>
      </c>
      <c r="I349" s="8">
        <f t="shared" ca="1" si="25"/>
        <v>13.181619725299248</v>
      </c>
    </row>
    <row r="350" spans="5:9">
      <c r="E350" s="14">
        <f ca="1"/>
        <v>38180</v>
      </c>
      <c r="F350" s="14"/>
      <c r="G350" s="15">
        <f ca="1"/>
        <v>42.64</v>
      </c>
      <c r="H350" s="8">
        <f t="shared" ca="1" si="24"/>
        <v>26.363239450598495</v>
      </c>
      <c r="I350" s="8">
        <f t="shared" ca="1" si="25"/>
        <v>13.181619725299248</v>
      </c>
    </row>
    <row r="351" spans="5:9">
      <c r="E351" s="14">
        <f ca="1"/>
        <v>38174</v>
      </c>
      <c r="F351" s="14"/>
      <c r="G351" s="15">
        <f ca="1"/>
        <v>43.01</v>
      </c>
      <c r="H351" s="8">
        <f t="shared" ca="1" si="24"/>
        <v>26.363239450598495</v>
      </c>
      <c r="I351" s="8">
        <f t="shared" ca="1" si="25"/>
        <v>13.181619725299248</v>
      </c>
    </row>
    <row r="352" spans="5:9">
      <c r="E352" s="14">
        <f ca="1"/>
        <v>38166</v>
      </c>
      <c r="F352" s="14"/>
      <c r="G352" s="15">
        <f ca="1"/>
        <v>42.6</v>
      </c>
      <c r="H352" s="8">
        <f t="shared" ca="1" si="24"/>
        <v>26.363239450598495</v>
      </c>
      <c r="I352" s="8">
        <f t="shared" ca="1" si="25"/>
        <v>13.181619725299248</v>
      </c>
    </row>
    <row r="353" spans="5:9">
      <c r="E353" s="14">
        <f ca="1"/>
        <v>38159</v>
      </c>
      <c r="F353" s="14"/>
      <c r="G353" s="15">
        <f ca="1"/>
        <v>42.24</v>
      </c>
      <c r="H353" s="8">
        <f t="shared" ca="1" si="24"/>
        <v>26.363239450598495</v>
      </c>
      <c r="I353" s="8">
        <f t="shared" ca="1" si="25"/>
        <v>13.181619725299248</v>
      </c>
    </row>
    <row r="354" spans="5:9">
      <c r="E354" s="14">
        <f ca="1"/>
        <v>38152</v>
      </c>
      <c r="F354" s="14"/>
      <c r="G354" s="15">
        <f ca="1"/>
        <v>43.33</v>
      </c>
      <c r="H354" s="8">
        <f t="shared" ref="H354:H385" ca="1" si="26">C$10</f>
        <v>24.9633077578316</v>
      </c>
      <c r="I354" s="8">
        <f t="shared" ref="I354:I385" ca="1" si="27">D$10</f>
        <v>12.4816538789158</v>
      </c>
    </row>
    <row r="355" spans="5:9">
      <c r="E355" s="14">
        <f ca="1"/>
        <v>38145</v>
      </c>
      <c r="F355" s="14"/>
      <c r="G355" s="15">
        <f ca="1"/>
        <v>43.32</v>
      </c>
      <c r="H355" s="8">
        <f t="shared" ca="1" si="26"/>
        <v>24.9633077578316</v>
      </c>
      <c r="I355" s="8">
        <f t="shared" ca="1" si="27"/>
        <v>12.4816538789158</v>
      </c>
    </row>
    <row r="356" spans="5:9">
      <c r="E356" s="14">
        <f ca="1"/>
        <v>38139</v>
      </c>
      <c r="F356" s="14"/>
      <c r="G356" s="15">
        <f ca="1"/>
        <v>43.85</v>
      </c>
      <c r="H356" s="8">
        <f t="shared" ca="1" si="26"/>
        <v>24.9633077578316</v>
      </c>
      <c r="I356" s="8">
        <f t="shared" ca="1" si="27"/>
        <v>12.4816538789158</v>
      </c>
    </row>
    <row r="357" spans="5:9">
      <c r="E357" s="14">
        <f ca="1"/>
        <v>38131</v>
      </c>
      <c r="F357" s="14"/>
      <c r="G357" s="15">
        <f ca="1"/>
        <v>43.08</v>
      </c>
      <c r="H357" s="8">
        <f t="shared" ca="1" si="26"/>
        <v>24.9633077578316</v>
      </c>
      <c r="I357" s="8">
        <f t="shared" ca="1" si="27"/>
        <v>12.4816538789158</v>
      </c>
    </row>
    <row r="358" spans="5:9">
      <c r="E358" s="14">
        <f ca="1"/>
        <v>38124</v>
      </c>
      <c r="F358" s="14"/>
      <c r="G358" s="15">
        <f ca="1"/>
        <v>41.43</v>
      </c>
      <c r="H358" s="8">
        <f t="shared" ca="1" si="26"/>
        <v>24.9633077578316</v>
      </c>
      <c r="I358" s="8">
        <f t="shared" ca="1" si="27"/>
        <v>12.4816538789158</v>
      </c>
    </row>
    <row r="359" spans="5:9">
      <c r="E359" s="14">
        <f ca="1"/>
        <v>38117</v>
      </c>
      <c r="F359" s="14"/>
      <c r="G359" s="15">
        <f ca="1"/>
        <v>41.95</v>
      </c>
      <c r="H359" s="8">
        <f t="shared" ca="1" si="26"/>
        <v>24.9633077578316</v>
      </c>
      <c r="I359" s="8">
        <f t="shared" ca="1" si="27"/>
        <v>12.4816538789158</v>
      </c>
    </row>
    <row r="360" spans="5:9">
      <c r="E360" s="14">
        <f ca="1"/>
        <v>38110</v>
      </c>
      <c r="F360" s="14"/>
      <c r="G360" s="15">
        <f ca="1"/>
        <v>42.57</v>
      </c>
      <c r="H360" s="8">
        <f t="shared" ca="1" si="26"/>
        <v>24.9633077578316</v>
      </c>
      <c r="I360" s="8">
        <f t="shared" ca="1" si="27"/>
        <v>12.4816538789158</v>
      </c>
    </row>
    <row r="361" spans="5:9">
      <c r="E361" s="14">
        <f ca="1"/>
        <v>38103</v>
      </c>
      <c r="F361" s="14"/>
      <c r="G361" s="15">
        <f ca="1"/>
        <v>42.43</v>
      </c>
      <c r="H361" s="8">
        <f t="shared" ca="1" si="26"/>
        <v>24.9633077578316</v>
      </c>
      <c r="I361" s="8">
        <f t="shared" ca="1" si="27"/>
        <v>12.4816538789158</v>
      </c>
    </row>
    <row r="362" spans="5:9">
      <c r="E362" s="14">
        <f ca="1"/>
        <v>38096</v>
      </c>
      <c r="F362" s="14"/>
      <c r="G362" s="15">
        <f ca="1"/>
        <v>42.83</v>
      </c>
      <c r="H362" s="8">
        <f t="shared" ca="1" si="26"/>
        <v>24.9633077578316</v>
      </c>
      <c r="I362" s="8">
        <f t="shared" ca="1" si="27"/>
        <v>12.4816538789158</v>
      </c>
    </row>
    <row r="363" spans="5:9">
      <c r="E363" s="14">
        <f ca="1"/>
        <v>38089</v>
      </c>
      <c r="F363" s="14"/>
      <c r="G363" s="15">
        <f ca="1"/>
        <v>43.57</v>
      </c>
      <c r="H363" s="8">
        <f t="shared" ca="1" si="26"/>
        <v>24.9633077578316</v>
      </c>
      <c r="I363" s="8">
        <f t="shared" ca="1" si="27"/>
        <v>12.4816538789158</v>
      </c>
    </row>
    <row r="364" spans="5:9">
      <c r="E364" s="14">
        <f ca="1"/>
        <v>38082</v>
      </c>
      <c r="F364" s="14"/>
      <c r="G364" s="15">
        <f ca="1"/>
        <v>42.99</v>
      </c>
      <c r="H364" s="8">
        <f t="shared" ca="1" si="26"/>
        <v>24.9633077578316</v>
      </c>
      <c r="I364" s="8">
        <f t="shared" ca="1" si="27"/>
        <v>12.4816538789158</v>
      </c>
    </row>
    <row r="365" spans="5:9">
      <c r="E365" s="14">
        <f ca="1"/>
        <v>38075</v>
      </c>
      <c r="F365" s="14"/>
      <c r="G365" s="15">
        <f ca="1"/>
        <v>42.73</v>
      </c>
      <c r="H365" s="8">
        <f t="shared" ca="1" si="26"/>
        <v>24.9633077578316</v>
      </c>
      <c r="I365" s="8">
        <f t="shared" ca="1" si="27"/>
        <v>12.4816538789158</v>
      </c>
    </row>
    <row r="366" spans="5:9">
      <c r="E366" s="14">
        <f ca="1"/>
        <v>38068</v>
      </c>
      <c r="F366" s="14"/>
      <c r="G366" s="15">
        <f ca="1"/>
        <v>40.93</v>
      </c>
      <c r="H366" s="8">
        <f t="shared" ca="1" si="26"/>
        <v>24.9633077578316</v>
      </c>
      <c r="I366" s="8">
        <f t="shared" ca="1" si="27"/>
        <v>12.4816538789158</v>
      </c>
    </row>
    <row r="367" spans="5:9">
      <c r="E367" s="14">
        <f ca="1"/>
        <v>38061</v>
      </c>
      <c r="F367" s="14"/>
      <c r="G367" s="15">
        <f ca="1"/>
        <v>40.93</v>
      </c>
      <c r="H367" s="8">
        <f t="shared" ca="1" si="26"/>
        <v>24.9633077578316</v>
      </c>
      <c r="I367" s="8">
        <f t="shared" ca="1" si="27"/>
        <v>12.4816538789158</v>
      </c>
    </row>
    <row r="368" spans="5:9">
      <c r="E368" s="14">
        <f ca="1"/>
        <v>38054</v>
      </c>
      <c r="F368" s="14"/>
      <c r="G368" s="15">
        <f ca="1"/>
        <v>40.65</v>
      </c>
      <c r="H368" s="8">
        <f t="shared" ca="1" si="26"/>
        <v>24.9633077578316</v>
      </c>
      <c r="I368" s="8">
        <f t="shared" ca="1" si="27"/>
        <v>12.4816538789158</v>
      </c>
    </row>
    <row r="369" spans="5:9">
      <c r="E369" s="14">
        <f ca="1"/>
        <v>38047</v>
      </c>
      <c r="F369" s="14"/>
      <c r="G369" s="15">
        <f ca="1"/>
        <v>41.82</v>
      </c>
      <c r="H369" s="8">
        <f t="shared" ca="1" si="26"/>
        <v>24.9633077578316</v>
      </c>
      <c r="I369" s="8">
        <f t="shared" ca="1" si="27"/>
        <v>12.4816538789158</v>
      </c>
    </row>
    <row r="370" spans="5:9">
      <c r="E370" s="14">
        <f ca="1"/>
        <v>38040</v>
      </c>
      <c r="F370" s="14"/>
      <c r="G370" s="15">
        <f ca="1"/>
        <v>41.71</v>
      </c>
      <c r="H370" s="8">
        <f t="shared" ca="1" si="26"/>
        <v>24.9633077578316</v>
      </c>
      <c r="I370" s="8">
        <f t="shared" ca="1" si="27"/>
        <v>12.4816538789158</v>
      </c>
    </row>
    <row r="371" spans="5:9">
      <c r="E371" s="14">
        <f ca="1"/>
        <v>38034</v>
      </c>
      <c r="F371" s="14"/>
      <c r="G371" s="15">
        <f ca="1"/>
        <v>42.52</v>
      </c>
      <c r="H371" s="8">
        <f t="shared" ca="1" si="26"/>
        <v>24.9633077578316</v>
      </c>
      <c r="I371" s="8">
        <f t="shared" ca="1" si="27"/>
        <v>12.4816538789158</v>
      </c>
    </row>
    <row r="372" spans="5:9">
      <c r="E372" s="14">
        <f ca="1"/>
        <v>38026</v>
      </c>
      <c r="F372" s="14"/>
      <c r="G372" s="15">
        <f ca="1"/>
        <v>42.69</v>
      </c>
      <c r="H372" s="8">
        <f t="shared" ca="1" si="26"/>
        <v>24.9633077578316</v>
      </c>
      <c r="I372" s="8">
        <f t="shared" ca="1" si="27"/>
        <v>12.4816538789158</v>
      </c>
    </row>
    <row r="373" spans="5:9">
      <c r="E373" s="14">
        <f ca="1"/>
        <v>38019</v>
      </c>
      <c r="F373" s="14"/>
      <c r="G373" s="15">
        <f ca="1"/>
        <v>42.57</v>
      </c>
      <c r="H373" s="8">
        <f t="shared" ca="1" si="26"/>
        <v>24.9633077578316</v>
      </c>
      <c r="I373" s="8">
        <f t="shared" ca="1" si="27"/>
        <v>12.4816538789158</v>
      </c>
    </row>
    <row r="374" spans="5:9">
      <c r="E374" s="14">
        <f ca="1"/>
        <v>38012</v>
      </c>
      <c r="F374" s="14"/>
      <c r="G374" s="15">
        <f ca="1"/>
        <v>41.1</v>
      </c>
      <c r="H374" s="8">
        <f t="shared" ca="1" si="26"/>
        <v>24.9633077578316</v>
      </c>
      <c r="I374" s="8">
        <f t="shared" ca="1" si="27"/>
        <v>12.4816538789158</v>
      </c>
    </row>
    <row r="375" spans="5:9">
      <c r="E375" s="14">
        <f ca="1"/>
        <v>38006</v>
      </c>
      <c r="F375" s="14"/>
      <c r="G375" s="15">
        <f ca="1"/>
        <v>41.77</v>
      </c>
      <c r="H375" s="8">
        <f t="shared" ca="1" si="26"/>
        <v>24.9633077578316</v>
      </c>
      <c r="I375" s="8">
        <f t="shared" ca="1" si="27"/>
        <v>12.4816538789158</v>
      </c>
    </row>
    <row r="376" spans="5:9">
      <c r="E376" s="14">
        <f ca="1"/>
        <v>37998</v>
      </c>
      <c r="F376" s="14"/>
      <c r="G376" s="15">
        <f ca="1"/>
        <v>41.64</v>
      </c>
      <c r="H376" s="8">
        <f t="shared" ca="1" si="26"/>
        <v>24.9633077578316</v>
      </c>
      <c r="I376" s="8">
        <f t="shared" ca="1" si="27"/>
        <v>12.4816538789158</v>
      </c>
    </row>
    <row r="377" spans="5:9">
      <c r="E377" s="14">
        <f ca="1"/>
        <v>37991</v>
      </c>
      <c r="F377" s="14"/>
      <c r="G377" s="15">
        <f ca="1"/>
        <v>41.4</v>
      </c>
      <c r="H377" s="8">
        <f t="shared" ca="1" si="26"/>
        <v>24.9633077578316</v>
      </c>
      <c r="I377" s="8">
        <f t="shared" ca="1" si="27"/>
        <v>12.4816538789158</v>
      </c>
    </row>
    <row r="378" spans="5:9">
      <c r="E378" s="14">
        <f ca="1"/>
        <v>37984</v>
      </c>
      <c r="F378" s="14"/>
      <c r="G378" s="15">
        <f ca="1"/>
        <v>42.03</v>
      </c>
      <c r="H378" s="8">
        <f t="shared" ca="1" si="26"/>
        <v>24.9633077578316</v>
      </c>
      <c r="I378" s="8">
        <f t="shared" ca="1" si="27"/>
        <v>12.4816538789158</v>
      </c>
    </row>
    <row r="379" spans="5:9">
      <c r="E379" s="14">
        <f ca="1"/>
        <v>37977</v>
      </c>
      <c r="F379" s="14"/>
      <c r="G379" s="15">
        <f ca="1"/>
        <v>41.71</v>
      </c>
      <c r="H379" s="8">
        <f t="shared" ca="1" si="26"/>
        <v>24.9633077578316</v>
      </c>
      <c r="I379" s="8">
        <f t="shared" ca="1" si="27"/>
        <v>12.4816538789158</v>
      </c>
    </row>
    <row r="380" spans="5:9">
      <c r="E380" s="14">
        <f ca="1"/>
        <v>37970</v>
      </c>
      <c r="F380" s="14"/>
      <c r="G380" s="15">
        <f ca="1"/>
        <v>41.82</v>
      </c>
      <c r="H380" s="8">
        <f t="shared" ca="1" si="26"/>
        <v>24.9633077578316</v>
      </c>
      <c r="I380" s="8">
        <f t="shared" ca="1" si="27"/>
        <v>12.4816538789158</v>
      </c>
    </row>
    <row r="381" spans="5:9">
      <c r="E381" s="14">
        <f ca="1"/>
        <v>37963</v>
      </c>
      <c r="F381" s="14"/>
      <c r="G381" s="15">
        <f ca="1"/>
        <v>41.21</v>
      </c>
      <c r="H381" s="8">
        <f t="shared" ca="1" si="26"/>
        <v>24.9633077578316</v>
      </c>
      <c r="I381" s="8">
        <f t="shared" ca="1" si="27"/>
        <v>12.4816538789158</v>
      </c>
    </row>
    <row r="382" spans="5:9">
      <c r="E382" s="14">
        <f ca="1"/>
        <v>37956</v>
      </c>
      <c r="F382" s="14"/>
      <c r="G382" s="15">
        <f ca="1"/>
        <v>39.14</v>
      </c>
      <c r="H382" s="8">
        <f t="shared" ca="1" si="26"/>
        <v>24.9633077578316</v>
      </c>
      <c r="I382" s="8">
        <f t="shared" ca="1" si="27"/>
        <v>12.4816538789158</v>
      </c>
    </row>
    <row r="383" spans="5:9">
      <c r="E383" s="14">
        <f ca="1"/>
        <v>37949</v>
      </c>
      <c r="F383" s="14"/>
      <c r="G383" s="15">
        <f ca="1"/>
        <v>38.82</v>
      </c>
      <c r="H383" s="8">
        <f t="shared" ca="1" si="26"/>
        <v>24.9633077578316</v>
      </c>
      <c r="I383" s="8">
        <f t="shared" ca="1" si="27"/>
        <v>12.4816538789158</v>
      </c>
    </row>
    <row r="384" spans="5:9">
      <c r="E384" s="14">
        <f ca="1"/>
        <v>37942</v>
      </c>
      <c r="F384" s="14"/>
      <c r="G384" s="15">
        <f ca="1"/>
        <v>38.57</v>
      </c>
      <c r="H384" s="8">
        <f t="shared" ca="1" si="26"/>
        <v>24.9633077578316</v>
      </c>
      <c r="I384" s="8">
        <f t="shared" ca="1" si="27"/>
        <v>12.4816538789158</v>
      </c>
    </row>
    <row r="385" spans="5:9">
      <c r="E385" s="14">
        <f ca="1"/>
        <v>37935</v>
      </c>
      <c r="F385" s="14"/>
      <c r="G385" s="15">
        <f ca="1"/>
        <v>38.79</v>
      </c>
      <c r="H385" s="8">
        <f t="shared" ca="1" si="26"/>
        <v>24.9633077578316</v>
      </c>
      <c r="I385" s="8">
        <f t="shared" ca="1" si="27"/>
        <v>12.4816538789158</v>
      </c>
    </row>
    <row r="386" spans="5:9">
      <c r="E386" s="14">
        <f ca="1"/>
        <v>37928</v>
      </c>
      <c r="F386" s="14"/>
      <c r="G386" s="15">
        <f ca="1"/>
        <v>38.74</v>
      </c>
      <c r="H386" s="8">
        <f t="shared" ref="H386:H405" ca="1" si="28">C$10</f>
        <v>24.9633077578316</v>
      </c>
      <c r="I386" s="8">
        <f t="shared" ref="I386:I405" ca="1" si="29">D$10</f>
        <v>12.4816538789158</v>
      </c>
    </row>
    <row r="387" spans="5:9">
      <c r="E387" s="14">
        <f ca="1"/>
        <v>37921</v>
      </c>
      <c r="F387" s="14"/>
      <c r="G387" s="15">
        <f ca="1"/>
        <v>38.549999999999997</v>
      </c>
      <c r="H387" s="8">
        <f t="shared" ca="1" si="28"/>
        <v>24.9633077578316</v>
      </c>
      <c r="I387" s="8">
        <f t="shared" ca="1" si="29"/>
        <v>12.4816538789158</v>
      </c>
    </row>
    <row r="388" spans="5:9">
      <c r="E388" s="14">
        <f ca="1"/>
        <v>37914</v>
      </c>
      <c r="F388" s="14"/>
      <c r="G388" s="15">
        <f ca="1"/>
        <v>37.72</v>
      </c>
      <c r="H388" s="8">
        <f t="shared" ca="1" si="28"/>
        <v>24.9633077578316</v>
      </c>
      <c r="I388" s="8">
        <f t="shared" ca="1" si="29"/>
        <v>12.4816538789158</v>
      </c>
    </row>
    <row r="389" spans="5:9">
      <c r="E389" s="14">
        <f ca="1"/>
        <v>37907</v>
      </c>
      <c r="F389" s="14"/>
      <c r="G389" s="15">
        <f ca="1"/>
        <v>37.43</v>
      </c>
      <c r="H389" s="8">
        <f t="shared" ca="1" si="28"/>
        <v>24.9633077578316</v>
      </c>
      <c r="I389" s="8">
        <f t="shared" ca="1" si="29"/>
        <v>12.4816538789158</v>
      </c>
    </row>
    <row r="390" spans="5:9">
      <c r="E390" s="14">
        <f ca="1"/>
        <v>37900</v>
      </c>
      <c r="F390" s="14"/>
      <c r="G390" s="15">
        <f ca="1"/>
        <v>36.42</v>
      </c>
      <c r="H390" s="8">
        <f t="shared" ca="1" si="28"/>
        <v>24.9633077578316</v>
      </c>
      <c r="I390" s="8">
        <f t="shared" ca="1" si="29"/>
        <v>12.4816538789158</v>
      </c>
    </row>
    <row r="391" spans="5:9">
      <c r="E391" s="14">
        <f ca="1"/>
        <v>37893</v>
      </c>
      <c r="F391" s="14"/>
      <c r="G391" s="15">
        <f ca="1"/>
        <v>36.590000000000003</v>
      </c>
      <c r="H391" s="8">
        <f t="shared" ca="1" si="28"/>
        <v>24.9633077578316</v>
      </c>
      <c r="I391" s="8">
        <f t="shared" ca="1" si="29"/>
        <v>12.4816538789158</v>
      </c>
    </row>
    <row r="392" spans="5:9">
      <c r="E392" s="14">
        <f ca="1"/>
        <v>37886</v>
      </c>
      <c r="F392" s="14"/>
      <c r="G392" s="15">
        <f ca="1"/>
        <v>35.75</v>
      </c>
      <c r="H392" s="8">
        <f t="shared" ca="1" si="28"/>
        <v>24.9633077578316</v>
      </c>
      <c r="I392" s="8">
        <f t="shared" ca="1" si="29"/>
        <v>12.4816538789158</v>
      </c>
    </row>
    <row r="393" spans="5:9">
      <c r="E393" s="14">
        <f ca="1"/>
        <v>37879</v>
      </c>
      <c r="F393" s="14"/>
      <c r="G393" s="15">
        <f ca="1"/>
        <v>35.880000000000003</v>
      </c>
      <c r="H393" s="8">
        <f t="shared" ca="1" si="28"/>
        <v>24.9633077578316</v>
      </c>
      <c r="I393" s="8">
        <f t="shared" ca="1" si="29"/>
        <v>12.4816538789158</v>
      </c>
    </row>
    <row r="394" spans="5:9">
      <c r="E394" s="14">
        <f ca="1"/>
        <v>37872</v>
      </c>
      <c r="F394" s="14"/>
      <c r="G394" s="15">
        <f ca="1"/>
        <v>36.549999999999997</v>
      </c>
      <c r="H394" s="8">
        <f t="shared" ca="1" si="28"/>
        <v>24.9633077578316</v>
      </c>
      <c r="I394" s="8">
        <f t="shared" ca="1" si="29"/>
        <v>12.4816538789158</v>
      </c>
    </row>
    <row r="395" spans="5:9">
      <c r="E395" s="14">
        <f ca="1"/>
        <v>37866</v>
      </c>
      <c r="F395" s="14"/>
      <c r="G395" s="15">
        <f ca="1"/>
        <v>36.5</v>
      </c>
      <c r="H395" s="8">
        <f t="shared" ca="1" si="28"/>
        <v>24.9633077578316</v>
      </c>
      <c r="I395" s="8">
        <f t="shared" ca="1" si="29"/>
        <v>12.4816538789158</v>
      </c>
    </row>
    <row r="396" spans="5:9">
      <c r="E396" s="14">
        <f ca="1"/>
        <v>37858</v>
      </c>
      <c r="F396" s="14"/>
      <c r="G396" s="15">
        <f ca="1"/>
        <v>35.979999999999997</v>
      </c>
      <c r="H396" s="8">
        <f t="shared" ca="1" si="28"/>
        <v>24.9633077578316</v>
      </c>
      <c r="I396" s="8">
        <f t="shared" ca="1" si="29"/>
        <v>12.4816538789158</v>
      </c>
    </row>
    <row r="397" spans="5:9">
      <c r="E397" s="14">
        <f ca="1"/>
        <v>37851</v>
      </c>
      <c r="F397" s="14"/>
      <c r="G397" s="15">
        <f ca="1"/>
        <v>35.78</v>
      </c>
      <c r="H397" s="8">
        <f t="shared" ca="1" si="28"/>
        <v>24.9633077578316</v>
      </c>
      <c r="I397" s="8">
        <f t="shared" ca="1" si="29"/>
        <v>12.4816538789158</v>
      </c>
    </row>
    <row r="398" spans="5:9">
      <c r="E398" s="14">
        <f ca="1"/>
        <v>37844</v>
      </c>
      <c r="F398" s="14"/>
      <c r="G398" s="15">
        <f ca="1"/>
        <v>37.21</v>
      </c>
      <c r="H398" s="8">
        <f t="shared" ca="1" si="28"/>
        <v>24.9633077578316</v>
      </c>
      <c r="I398" s="8">
        <f t="shared" ca="1" si="29"/>
        <v>12.4816538789158</v>
      </c>
    </row>
    <row r="399" spans="5:9">
      <c r="E399" s="14">
        <f ca="1"/>
        <v>37837</v>
      </c>
      <c r="F399" s="14"/>
      <c r="G399" s="15">
        <f ca="1"/>
        <v>37.08</v>
      </c>
      <c r="H399" s="8">
        <f t="shared" ca="1" si="28"/>
        <v>24.9633077578316</v>
      </c>
      <c r="I399" s="8">
        <f t="shared" ca="1" si="29"/>
        <v>12.4816538789158</v>
      </c>
    </row>
    <row r="400" spans="5:9">
      <c r="E400" s="14">
        <f ca="1"/>
        <v>37830</v>
      </c>
      <c r="F400" s="14"/>
      <c r="G400" s="15">
        <f ca="1"/>
        <v>37</v>
      </c>
      <c r="H400" s="8">
        <f t="shared" ca="1" si="28"/>
        <v>24.9633077578316</v>
      </c>
      <c r="I400" s="8">
        <f t="shared" ca="1" si="29"/>
        <v>12.4816538789158</v>
      </c>
    </row>
    <row r="401" spans="5:9">
      <c r="E401" s="14">
        <f ca="1"/>
        <v>37823</v>
      </c>
      <c r="F401" s="14"/>
      <c r="G401" s="15">
        <f ca="1"/>
        <v>37.24</v>
      </c>
      <c r="H401" s="8">
        <f t="shared" ca="1" si="28"/>
        <v>24.9633077578316</v>
      </c>
      <c r="I401" s="8">
        <f t="shared" ca="1" si="29"/>
        <v>12.4816538789158</v>
      </c>
    </row>
    <row r="402" spans="5:9">
      <c r="E402" s="14">
        <f ca="1"/>
        <v>37816</v>
      </c>
      <c r="F402" s="14"/>
      <c r="G402" s="15">
        <f ca="1"/>
        <v>37.119999999999997</v>
      </c>
      <c r="H402" s="8">
        <f t="shared" ca="1" si="28"/>
        <v>24.9633077578316</v>
      </c>
      <c r="I402" s="8">
        <f t="shared" ca="1" si="29"/>
        <v>12.4816538789158</v>
      </c>
    </row>
    <row r="403" spans="5:9">
      <c r="E403" s="14">
        <f ca="1"/>
        <v>37809</v>
      </c>
      <c r="F403" s="14"/>
      <c r="G403" s="15">
        <f ca="1"/>
        <v>36.299999999999997</v>
      </c>
      <c r="H403" s="8">
        <f t="shared" ca="1" si="28"/>
        <v>24.9633077578316</v>
      </c>
      <c r="I403" s="8">
        <f t="shared" ca="1" si="29"/>
        <v>12.4816538789158</v>
      </c>
    </row>
    <row r="404" spans="5:9">
      <c r="E404" s="14">
        <f ca="1"/>
        <v>37802</v>
      </c>
      <c r="F404" s="14"/>
      <c r="G404" s="15">
        <f ca="1"/>
        <v>38.22</v>
      </c>
      <c r="H404" s="8">
        <f t="shared" ca="1" si="28"/>
        <v>24.9633077578316</v>
      </c>
      <c r="I404" s="8">
        <f t="shared" ca="1" si="29"/>
        <v>12.4816538789158</v>
      </c>
    </row>
    <row r="405" spans="5:9">
      <c r="E405" s="14">
        <f ca="1"/>
        <v>37795</v>
      </c>
      <c r="F405" s="14"/>
      <c r="G405" s="15">
        <f ca="1"/>
        <v>38.450000000000003</v>
      </c>
      <c r="H405" s="8">
        <f t="shared" ca="1" si="28"/>
        <v>24.9633077578316</v>
      </c>
      <c r="I405" s="8">
        <f t="shared" ca="1" si="29"/>
        <v>12.4816538789158</v>
      </c>
    </row>
    <row r="406" spans="5:9">
      <c r="E406" s="14">
        <f ca="1"/>
        <v>37788</v>
      </c>
      <c r="F406" s="14"/>
      <c r="G406" s="15">
        <f ca="1"/>
        <v>38.42</v>
      </c>
      <c r="H406" s="8">
        <f t="shared" ref="H406:H437" ca="1" si="30">C$9</f>
        <v>22.880766803763123</v>
      </c>
      <c r="I406" s="8">
        <f t="shared" ref="I406:I437" ca="1" si="31">D$9</f>
        <v>11.440383401881562</v>
      </c>
    </row>
    <row r="407" spans="5:9">
      <c r="E407" s="14">
        <f ca="1"/>
        <v>37781</v>
      </c>
      <c r="F407" s="14"/>
      <c r="G407" s="15">
        <f ca="1"/>
        <v>39.15</v>
      </c>
      <c r="H407" s="8">
        <f t="shared" ca="1" si="30"/>
        <v>22.880766803763123</v>
      </c>
      <c r="I407" s="8">
        <f t="shared" ca="1" si="31"/>
        <v>11.440383401881562</v>
      </c>
    </row>
    <row r="408" spans="5:9">
      <c r="E408" s="14">
        <f ca="1"/>
        <v>37774</v>
      </c>
      <c r="F408" s="14"/>
      <c r="G408" s="15">
        <f ca="1"/>
        <v>38.58</v>
      </c>
      <c r="H408" s="8">
        <f t="shared" ca="1" si="30"/>
        <v>22.880766803763123</v>
      </c>
      <c r="I408" s="8">
        <f t="shared" ca="1" si="31"/>
        <v>11.440383401881562</v>
      </c>
    </row>
    <row r="409" spans="5:9">
      <c r="E409" s="14">
        <f ca="1"/>
        <v>37768</v>
      </c>
      <c r="F409" s="14"/>
      <c r="G409" s="15">
        <f ca="1"/>
        <v>37.5</v>
      </c>
      <c r="H409" s="8">
        <f t="shared" ca="1" si="30"/>
        <v>22.880766803763123</v>
      </c>
      <c r="I409" s="8">
        <f t="shared" ca="1" si="31"/>
        <v>11.440383401881562</v>
      </c>
    </row>
    <row r="410" spans="5:9">
      <c r="E410" s="14">
        <f ca="1"/>
        <v>37760</v>
      </c>
      <c r="F410" s="14"/>
      <c r="G410" s="15">
        <f ca="1"/>
        <v>36.36</v>
      </c>
      <c r="H410" s="8">
        <f t="shared" ca="1" si="30"/>
        <v>22.880766803763123</v>
      </c>
      <c r="I410" s="8">
        <f t="shared" ca="1" si="31"/>
        <v>11.440383401881562</v>
      </c>
    </row>
    <row r="411" spans="5:9">
      <c r="E411" s="14">
        <f ca="1"/>
        <v>37753</v>
      </c>
      <c r="F411" s="14"/>
      <c r="G411" s="15">
        <f ca="1"/>
        <v>36.159999999999997</v>
      </c>
      <c r="H411" s="8">
        <f t="shared" ca="1" si="30"/>
        <v>22.880766803763123</v>
      </c>
      <c r="I411" s="8">
        <f t="shared" ca="1" si="31"/>
        <v>11.440383401881562</v>
      </c>
    </row>
    <row r="412" spans="5:9">
      <c r="E412" s="14">
        <f ca="1"/>
        <v>37746</v>
      </c>
      <c r="F412" s="14"/>
      <c r="G412" s="15">
        <f ca="1"/>
        <v>36.200000000000003</v>
      </c>
      <c r="H412" s="8">
        <f t="shared" ca="1" si="30"/>
        <v>22.880766803763123</v>
      </c>
      <c r="I412" s="8">
        <f t="shared" ca="1" si="31"/>
        <v>11.440383401881562</v>
      </c>
    </row>
    <row r="413" spans="5:9">
      <c r="E413" s="14">
        <f ca="1"/>
        <v>37739</v>
      </c>
      <c r="F413" s="14"/>
      <c r="G413" s="15">
        <f ca="1"/>
        <v>33.74</v>
      </c>
      <c r="H413" s="8">
        <f t="shared" ca="1" si="30"/>
        <v>22.880766803763123</v>
      </c>
      <c r="I413" s="8">
        <f t="shared" ca="1" si="31"/>
        <v>11.440383401881562</v>
      </c>
    </row>
    <row r="414" spans="5:9">
      <c r="E414" s="14">
        <f ca="1"/>
        <v>37732</v>
      </c>
      <c r="F414" s="14"/>
      <c r="G414" s="15">
        <f ca="1"/>
        <v>32.44</v>
      </c>
      <c r="H414" s="8">
        <f t="shared" ca="1" si="30"/>
        <v>22.880766803763123</v>
      </c>
      <c r="I414" s="8">
        <f t="shared" ca="1" si="31"/>
        <v>11.440383401881562</v>
      </c>
    </row>
    <row r="415" spans="5:9">
      <c r="E415" s="14">
        <f ca="1"/>
        <v>37725</v>
      </c>
      <c r="F415" s="14"/>
      <c r="G415" s="15">
        <f ca="1"/>
        <v>33.24</v>
      </c>
      <c r="H415" s="8">
        <f t="shared" ca="1" si="30"/>
        <v>22.880766803763123</v>
      </c>
      <c r="I415" s="8">
        <f t="shared" ca="1" si="31"/>
        <v>11.440383401881562</v>
      </c>
    </row>
    <row r="416" spans="5:9">
      <c r="E416" s="14">
        <f ca="1"/>
        <v>37718</v>
      </c>
      <c r="F416" s="14"/>
      <c r="G416" s="15">
        <f ca="1"/>
        <v>34.090000000000003</v>
      </c>
      <c r="H416" s="8">
        <f t="shared" ca="1" si="30"/>
        <v>22.880766803763123</v>
      </c>
      <c r="I416" s="8">
        <f t="shared" ca="1" si="31"/>
        <v>11.440383401881562</v>
      </c>
    </row>
    <row r="417" spans="5:9">
      <c r="E417" s="14">
        <f ca="1"/>
        <v>37711</v>
      </c>
      <c r="F417" s="14"/>
      <c r="G417" s="15">
        <f ca="1"/>
        <v>34.479999999999997</v>
      </c>
      <c r="H417" s="8">
        <f t="shared" ca="1" si="30"/>
        <v>22.880766803763123</v>
      </c>
      <c r="I417" s="8">
        <f t="shared" ca="1" si="31"/>
        <v>11.440383401881562</v>
      </c>
    </row>
    <row r="418" spans="5:9">
      <c r="E418" s="14">
        <f ca="1"/>
        <v>37704</v>
      </c>
      <c r="F418" s="14"/>
      <c r="G418" s="15">
        <f ca="1"/>
        <v>33.520000000000003</v>
      </c>
      <c r="H418" s="8">
        <f t="shared" ca="1" si="30"/>
        <v>22.880766803763123</v>
      </c>
      <c r="I418" s="8">
        <f t="shared" ca="1" si="31"/>
        <v>11.440383401881562</v>
      </c>
    </row>
    <row r="419" spans="5:9">
      <c r="E419" s="14">
        <f ca="1"/>
        <v>37697</v>
      </c>
      <c r="F419" s="14"/>
      <c r="G419" s="15">
        <f ca="1"/>
        <v>34.770000000000003</v>
      </c>
      <c r="H419" s="8">
        <f t="shared" ca="1" si="30"/>
        <v>22.880766803763123</v>
      </c>
      <c r="I419" s="8">
        <f t="shared" ca="1" si="31"/>
        <v>11.440383401881562</v>
      </c>
    </row>
    <row r="420" spans="5:9">
      <c r="E420" s="14">
        <f ca="1"/>
        <v>37690</v>
      </c>
      <c r="F420" s="14"/>
      <c r="G420" s="15">
        <f ca="1"/>
        <v>32.83</v>
      </c>
      <c r="H420" s="8">
        <f t="shared" ca="1" si="30"/>
        <v>22.880766803763123</v>
      </c>
      <c r="I420" s="8">
        <f t="shared" ca="1" si="31"/>
        <v>11.440383401881562</v>
      </c>
    </row>
    <row r="421" spans="5:9">
      <c r="E421" s="14">
        <f ca="1"/>
        <v>37683</v>
      </c>
      <c r="F421" s="14"/>
      <c r="G421" s="15">
        <f ca="1"/>
        <v>30.84</v>
      </c>
      <c r="H421" s="8">
        <f t="shared" ca="1" si="30"/>
        <v>22.880766803763123</v>
      </c>
      <c r="I421" s="8">
        <f t="shared" ca="1" si="31"/>
        <v>11.440383401881562</v>
      </c>
    </row>
    <row r="422" spans="5:9">
      <c r="E422" s="14">
        <f ca="1"/>
        <v>37676</v>
      </c>
      <c r="F422" s="14"/>
      <c r="G422" s="15">
        <f ca="1"/>
        <v>32.9</v>
      </c>
      <c r="H422" s="8">
        <f t="shared" ca="1" si="30"/>
        <v>22.880766803763123</v>
      </c>
      <c r="I422" s="8">
        <f t="shared" ca="1" si="31"/>
        <v>11.440383401881562</v>
      </c>
    </row>
    <row r="423" spans="5:9">
      <c r="E423" s="14">
        <f ca="1"/>
        <v>37670</v>
      </c>
      <c r="F423" s="14"/>
      <c r="G423" s="15">
        <f ca="1"/>
        <v>33.25</v>
      </c>
      <c r="H423" s="8">
        <f t="shared" ca="1" si="30"/>
        <v>22.880766803763123</v>
      </c>
      <c r="I423" s="8">
        <f t="shared" ca="1" si="31"/>
        <v>11.440383401881562</v>
      </c>
    </row>
    <row r="424" spans="5:9">
      <c r="E424" s="14">
        <f ca="1"/>
        <v>37662</v>
      </c>
      <c r="F424" s="14"/>
      <c r="G424" s="15">
        <f ca="1"/>
        <v>33.380000000000003</v>
      </c>
      <c r="H424" s="8">
        <f t="shared" ca="1" si="30"/>
        <v>22.880766803763123</v>
      </c>
      <c r="I424" s="8">
        <f t="shared" ca="1" si="31"/>
        <v>11.440383401881562</v>
      </c>
    </row>
    <row r="425" spans="5:9">
      <c r="E425" s="14">
        <f ca="1"/>
        <v>37655</v>
      </c>
      <c r="F425" s="14"/>
      <c r="G425" s="15">
        <f ca="1"/>
        <v>32.340000000000003</v>
      </c>
      <c r="H425" s="8">
        <f t="shared" ca="1" si="30"/>
        <v>22.880766803763123</v>
      </c>
      <c r="I425" s="8">
        <f t="shared" ca="1" si="31"/>
        <v>11.440383401881562</v>
      </c>
    </row>
    <row r="426" spans="5:9">
      <c r="E426" s="14">
        <f ca="1"/>
        <v>37648</v>
      </c>
      <c r="F426" s="14"/>
      <c r="G426" s="15">
        <f ca="1"/>
        <v>33.1</v>
      </c>
      <c r="H426" s="8">
        <f t="shared" ca="1" si="30"/>
        <v>22.880766803763123</v>
      </c>
      <c r="I426" s="8">
        <f t="shared" ca="1" si="31"/>
        <v>11.440383401881562</v>
      </c>
    </row>
    <row r="427" spans="5:9">
      <c r="E427" s="14">
        <f ca="1"/>
        <v>37642</v>
      </c>
      <c r="F427" s="14"/>
      <c r="G427" s="15">
        <f ca="1"/>
        <v>35.04</v>
      </c>
      <c r="H427" s="8">
        <f t="shared" ca="1" si="30"/>
        <v>22.880766803763123</v>
      </c>
      <c r="I427" s="8">
        <f t="shared" ca="1" si="31"/>
        <v>11.440383401881562</v>
      </c>
    </row>
    <row r="428" spans="5:9">
      <c r="E428" s="14">
        <f ca="1"/>
        <v>37634</v>
      </c>
      <c r="F428" s="14"/>
      <c r="G428" s="15">
        <f ca="1"/>
        <v>36.89</v>
      </c>
      <c r="H428" s="8">
        <f t="shared" ca="1" si="30"/>
        <v>22.880766803763123</v>
      </c>
      <c r="I428" s="8">
        <f t="shared" ca="1" si="31"/>
        <v>11.440383401881562</v>
      </c>
    </row>
    <row r="429" spans="5:9">
      <c r="E429" s="14">
        <f ca="1"/>
        <v>37627</v>
      </c>
      <c r="F429" s="14"/>
      <c r="G429" s="15">
        <f ca="1"/>
        <v>36.979999999999997</v>
      </c>
      <c r="H429" s="8">
        <f t="shared" ca="1" si="30"/>
        <v>22.880766803763123</v>
      </c>
      <c r="I429" s="8">
        <f t="shared" ca="1" si="31"/>
        <v>11.440383401881562</v>
      </c>
    </row>
    <row r="430" spans="5:9">
      <c r="E430" s="14">
        <f ca="1"/>
        <v>37620</v>
      </c>
      <c r="F430" s="14"/>
      <c r="G430" s="15">
        <f ca="1"/>
        <v>36.6</v>
      </c>
      <c r="H430" s="8">
        <f t="shared" ca="1" si="30"/>
        <v>22.880766803763123</v>
      </c>
      <c r="I430" s="8">
        <f t="shared" ca="1" si="31"/>
        <v>11.440383401881562</v>
      </c>
    </row>
    <row r="431" spans="5:9">
      <c r="E431" s="14">
        <f ca="1"/>
        <v>37613</v>
      </c>
      <c r="F431" s="14"/>
      <c r="G431" s="15">
        <f ca="1"/>
        <v>35.56</v>
      </c>
      <c r="H431" s="8">
        <f t="shared" ca="1" si="30"/>
        <v>22.880766803763123</v>
      </c>
      <c r="I431" s="8">
        <f t="shared" ca="1" si="31"/>
        <v>11.440383401881562</v>
      </c>
    </row>
    <row r="432" spans="5:9">
      <c r="E432" s="14">
        <f ca="1"/>
        <v>37606</v>
      </c>
      <c r="F432" s="14"/>
      <c r="G432" s="15">
        <f ca="1"/>
        <v>36.06</v>
      </c>
      <c r="H432" s="8">
        <f t="shared" ca="1" si="30"/>
        <v>22.880766803763123</v>
      </c>
      <c r="I432" s="8">
        <f t="shared" ca="1" si="31"/>
        <v>11.440383401881562</v>
      </c>
    </row>
    <row r="433" spans="5:9">
      <c r="E433" s="14">
        <f ca="1"/>
        <v>37599</v>
      </c>
      <c r="F433" s="14"/>
      <c r="G433" s="15">
        <f ca="1"/>
        <v>37.51</v>
      </c>
      <c r="H433" s="8">
        <f t="shared" ca="1" si="30"/>
        <v>22.880766803763123</v>
      </c>
      <c r="I433" s="8">
        <f t="shared" ca="1" si="31"/>
        <v>11.440383401881562</v>
      </c>
    </row>
    <row r="434" spans="5:9">
      <c r="E434" s="14">
        <f ca="1"/>
        <v>37592</v>
      </c>
      <c r="F434" s="14"/>
      <c r="G434" s="15">
        <f ca="1"/>
        <v>37.14</v>
      </c>
      <c r="H434" s="8">
        <f t="shared" ca="1" si="30"/>
        <v>22.880766803763123</v>
      </c>
      <c r="I434" s="8">
        <f t="shared" ca="1" si="31"/>
        <v>11.440383401881562</v>
      </c>
    </row>
    <row r="435" spans="5:9">
      <c r="E435" s="14">
        <f ca="1"/>
        <v>37585</v>
      </c>
      <c r="F435" s="14"/>
      <c r="G435" s="15">
        <f ca="1"/>
        <v>37.340000000000003</v>
      </c>
      <c r="H435" s="8">
        <f t="shared" ca="1" si="30"/>
        <v>22.880766803763123</v>
      </c>
      <c r="I435" s="8">
        <f t="shared" ca="1" si="31"/>
        <v>11.440383401881562</v>
      </c>
    </row>
    <row r="436" spans="5:9">
      <c r="E436" s="14">
        <f ca="1"/>
        <v>37578</v>
      </c>
      <c r="F436" s="14"/>
      <c r="G436" s="15">
        <f ca="1"/>
        <v>36.979999999999997</v>
      </c>
      <c r="H436" s="8">
        <f t="shared" ca="1" si="30"/>
        <v>22.880766803763123</v>
      </c>
      <c r="I436" s="8">
        <f t="shared" ca="1" si="31"/>
        <v>11.440383401881562</v>
      </c>
    </row>
    <row r="437" spans="5:9">
      <c r="E437" s="14">
        <f ca="1"/>
        <v>37571</v>
      </c>
      <c r="F437" s="14"/>
      <c r="G437" s="15">
        <f ca="1"/>
        <v>37.44</v>
      </c>
      <c r="H437" s="8">
        <f t="shared" ca="1" si="30"/>
        <v>22.880766803763123</v>
      </c>
      <c r="I437" s="8">
        <f t="shared" ca="1" si="31"/>
        <v>11.440383401881562</v>
      </c>
    </row>
    <row r="438" spans="5:9">
      <c r="E438" s="14">
        <f ca="1"/>
        <v>37564</v>
      </c>
      <c r="F438" s="14"/>
      <c r="G438" s="15">
        <f ca="1"/>
        <v>36.26</v>
      </c>
      <c r="H438" s="8">
        <f t="shared" ref="H438:H457" ca="1" si="32">C$9</f>
        <v>22.880766803763123</v>
      </c>
      <c r="I438" s="8">
        <f t="shared" ref="I438:I457" ca="1" si="33">D$9</f>
        <v>11.440383401881562</v>
      </c>
    </row>
    <row r="439" spans="5:9">
      <c r="E439" s="14">
        <f ca="1"/>
        <v>37557</v>
      </c>
      <c r="F439" s="14"/>
      <c r="G439" s="15">
        <f ca="1"/>
        <v>38.14</v>
      </c>
      <c r="H439" s="8">
        <f t="shared" ca="1" si="32"/>
        <v>22.880766803763123</v>
      </c>
      <c r="I439" s="8">
        <f t="shared" ca="1" si="33"/>
        <v>11.440383401881562</v>
      </c>
    </row>
    <row r="440" spans="5:9">
      <c r="E440" s="14">
        <f ca="1"/>
        <v>37550</v>
      </c>
      <c r="F440" s="14"/>
      <c r="G440" s="15">
        <f ca="1"/>
        <v>38.25</v>
      </c>
      <c r="H440" s="8">
        <f t="shared" ca="1" si="32"/>
        <v>22.880766803763123</v>
      </c>
      <c r="I440" s="8">
        <f t="shared" ca="1" si="33"/>
        <v>11.440383401881562</v>
      </c>
    </row>
    <row r="441" spans="5:9">
      <c r="E441" s="14">
        <f ca="1"/>
        <v>37543</v>
      </c>
      <c r="F441" s="14"/>
      <c r="G441" s="15">
        <f ca="1"/>
        <v>37.78</v>
      </c>
      <c r="H441" s="8">
        <f t="shared" ca="1" si="32"/>
        <v>22.880766803763123</v>
      </c>
      <c r="I441" s="8">
        <f t="shared" ca="1" si="33"/>
        <v>11.440383401881562</v>
      </c>
    </row>
    <row r="442" spans="5:9">
      <c r="E442" s="14">
        <f ca="1"/>
        <v>37536</v>
      </c>
      <c r="F442" s="14"/>
      <c r="G442" s="15">
        <f ca="1"/>
        <v>41.9</v>
      </c>
      <c r="H442" s="8">
        <f t="shared" ca="1" si="32"/>
        <v>22.880766803763123</v>
      </c>
      <c r="I442" s="8">
        <f t="shared" ca="1" si="33"/>
        <v>11.440383401881562</v>
      </c>
    </row>
    <row r="443" spans="5:9">
      <c r="E443" s="14">
        <f ca="1"/>
        <v>37529</v>
      </c>
      <c r="F443" s="14"/>
      <c r="G443" s="15">
        <f ca="1"/>
        <v>41.45</v>
      </c>
      <c r="H443" s="8">
        <f t="shared" ca="1" si="32"/>
        <v>22.880766803763123</v>
      </c>
      <c r="I443" s="8">
        <f t="shared" ca="1" si="33"/>
        <v>11.440383401881562</v>
      </c>
    </row>
    <row r="444" spans="5:9">
      <c r="E444" s="14">
        <f ca="1"/>
        <v>37522</v>
      </c>
      <c r="F444" s="14"/>
      <c r="G444" s="15">
        <f ca="1"/>
        <v>39.49</v>
      </c>
      <c r="H444" s="8">
        <f t="shared" ca="1" si="32"/>
        <v>22.880766803763123</v>
      </c>
      <c r="I444" s="8">
        <f t="shared" ca="1" si="33"/>
        <v>11.440383401881562</v>
      </c>
    </row>
    <row r="445" spans="5:9">
      <c r="E445" s="14">
        <f ca="1"/>
        <v>37515</v>
      </c>
      <c r="F445" s="14"/>
      <c r="G445" s="15">
        <f ca="1"/>
        <v>38.700000000000003</v>
      </c>
      <c r="H445" s="8">
        <f t="shared" ca="1" si="32"/>
        <v>22.880766803763123</v>
      </c>
      <c r="I445" s="8">
        <f t="shared" ca="1" si="33"/>
        <v>11.440383401881562</v>
      </c>
    </row>
    <row r="446" spans="5:9">
      <c r="E446" s="14">
        <f ca="1"/>
        <v>37508</v>
      </c>
      <c r="F446" s="14"/>
      <c r="G446" s="15">
        <f ca="1"/>
        <v>40.44</v>
      </c>
      <c r="H446" s="8">
        <f t="shared" ca="1" si="32"/>
        <v>22.880766803763123</v>
      </c>
      <c r="I446" s="8">
        <f t="shared" ca="1" si="33"/>
        <v>11.440383401881562</v>
      </c>
    </row>
    <row r="447" spans="5:9">
      <c r="E447" s="14">
        <f ca="1"/>
        <v>37502</v>
      </c>
      <c r="F447" s="14"/>
      <c r="G447" s="15">
        <f ca="1"/>
        <v>40.47</v>
      </c>
      <c r="H447" s="8">
        <f t="shared" ca="1" si="32"/>
        <v>22.880766803763123</v>
      </c>
      <c r="I447" s="8">
        <f t="shared" ca="1" si="33"/>
        <v>11.440383401881562</v>
      </c>
    </row>
    <row r="448" spans="5:9">
      <c r="E448" s="14">
        <f ca="1"/>
        <v>37494</v>
      </c>
      <c r="F448" s="14"/>
      <c r="G448" s="15">
        <f ca="1"/>
        <v>41.37</v>
      </c>
      <c r="H448" s="8">
        <f t="shared" ca="1" si="32"/>
        <v>22.880766803763123</v>
      </c>
      <c r="I448" s="8">
        <f t="shared" ca="1" si="33"/>
        <v>11.440383401881562</v>
      </c>
    </row>
    <row r="449" spans="5:9">
      <c r="E449" s="14">
        <f ca="1"/>
        <v>37487</v>
      </c>
      <c r="F449" s="14"/>
      <c r="G449" s="15">
        <f ca="1"/>
        <v>42.75</v>
      </c>
      <c r="H449" s="8">
        <f t="shared" ca="1" si="32"/>
        <v>22.880766803763123</v>
      </c>
      <c r="I449" s="8">
        <f t="shared" ca="1" si="33"/>
        <v>11.440383401881562</v>
      </c>
    </row>
    <row r="450" spans="5:9">
      <c r="E450" s="14">
        <f ca="1"/>
        <v>37480</v>
      </c>
      <c r="F450" s="14"/>
      <c r="G450" s="15">
        <f ca="1"/>
        <v>42.34</v>
      </c>
      <c r="H450" s="8">
        <f t="shared" ca="1" si="32"/>
        <v>22.880766803763123</v>
      </c>
      <c r="I450" s="8">
        <f t="shared" ca="1" si="33"/>
        <v>11.440383401881562</v>
      </c>
    </row>
    <row r="451" spans="5:9">
      <c r="E451" s="14">
        <f ca="1"/>
        <v>37473</v>
      </c>
      <c r="F451" s="14"/>
      <c r="G451" s="15">
        <f ca="1"/>
        <v>41.45</v>
      </c>
      <c r="H451" s="8">
        <f t="shared" ca="1" si="32"/>
        <v>22.880766803763123</v>
      </c>
      <c r="I451" s="8">
        <f t="shared" ca="1" si="33"/>
        <v>11.440383401881562</v>
      </c>
    </row>
    <row r="452" spans="5:9">
      <c r="E452" s="14">
        <f ca="1"/>
        <v>37466</v>
      </c>
      <c r="F452" s="14"/>
      <c r="G452" s="15">
        <f ca="1"/>
        <v>40.64</v>
      </c>
      <c r="H452" s="8">
        <f t="shared" ca="1" si="32"/>
        <v>22.880766803763123</v>
      </c>
      <c r="I452" s="8">
        <f t="shared" ca="1" si="33"/>
        <v>11.440383401881562</v>
      </c>
    </row>
    <row r="453" spans="5:9">
      <c r="E453" s="14">
        <f ca="1"/>
        <v>37459</v>
      </c>
      <c r="F453" s="14"/>
      <c r="G453" s="15">
        <f ca="1"/>
        <v>38.49</v>
      </c>
      <c r="H453" s="8">
        <f t="shared" ca="1" si="32"/>
        <v>22.880766803763123</v>
      </c>
      <c r="I453" s="8">
        <f t="shared" ca="1" si="33"/>
        <v>11.440383401881562</v>
      </c>
    </row>
    <row r="454" spans="5:9">
      <c r="E454" s="14">
        <f ca="1"/>
        <v>37452</v>
      </c>
      <c r="F454" s="14"/>
      <c r="G454" s="15">
        <f ca="1"/>
        <v>36.58</v>
      </c>
      <c r="H454" s="8">
        <f t="shared" ca="1" si="32"/>
        <v>22.880766803763123</v>
      </c>
      <c r="I454" s="8">
        <f t="shared" ca="1" si="33"/>
        <v>11.440383401881562</v>
      </c>
    </row>
    <row r="455" spans="5:9">
      <c r="E455" s="14">
        <f ca="1"/>
        <v>37445</v>
      </c>
      <c r="F455" s="14"/>
      <c r="G455" s="15">
        <f ca="1"/>
        <v>41.41</v>
      </c>
      <c r="H455" s="8">
        <f t="shared" ca="1" si="32"/>
        <v>22.880766803763123</v>
      </c>
      <c r="I455" s="8">
        <f t="shared" ca="1" si="33"/>
        <v>11.440383401881562</v>
      </c>
    </row>
    <row r="456" spans="5:9">
      <c r="E456" s="14">
        <f ca="1"/>
        <v>37438</v>
      </c>
      <c r="F456" s="14"/>
      <c r="G456" s="15">
        <f ca="1"/>
        <v>45.81</v>
      </c>
      <c r="H456" s="8">
        <f t="shared" ca="1" si="32"/>
        <v>22.880766803763123</v>
      </c>
      <c r="I456" s="8">
        <f t="shared" ca="1" si="33"/>
        <v>11.440383401881562</v>
      </c>
    </row>
    <row r="457" spans="5:9">
      <c r="E457" s="14">
        <f ca="1"/>
        <v>37431</v>
      </c>
      <c r="F457" s="14"/>
      <c r="G457" s="15">
        <f ca="1"/>
        <v>45.43</v>
      </c>
      <c r="H457" s="8">
        <f t="shared" ca="1" si="32"/>
        <v>22.880766803763123</v>
      </c>
      <c r="I457" s="8">
        <f t="shared" ca="1" si="33"/>
        <v>11.440383401881562</v>
      </c>
    </row>
    <row r="458" spans="5:9">
      <c r="E458" s="14">
        <f ca="1"/>
        <v>37424</v>
      </c>
      <c r="F458" s="14"/>
      <c r="G458" s="15">
        <f ca="1"/>
        <v>45.43</v>
      </c>
      <c r="H458" s="8">
        <f t="shared" ref="H458:H489" ca="1" si="34">C$8</f>
        <v>20.627307151384759</v>
      </c>
      <c r="I458" s="8">
        <f t="shared" ref="I458:I489" ca="1" si="35">D$8</f>
        <v>10.31365357569238</v>
      </c>
    </row>
    <row r="459" spans="5:9">
      <c r="E459" s="14">
        <f ca="1"/>
        <v>37417</v>
      </c>
      <c r="F459" s="14"/>
      <c r="G459" s="15">
        <f ca="1"/>
        <v>44.5</v>
      </c>
      <c r="H459" s="8">
        <f t="shared" ca="1" si="34"/>
        <v>20.627307151384759</v>
      </c>
      <c r="I459" s="8">
        <f t="shared" ca="1" si="35"/>
        <v>10.31365357569238</v>
      </c>
    </row>
    <row r="460" spans="5:9">
      <c r="E460" s="14">
        <f ca="1"/>
        <v>37410</v>
      </c>
      <c r="F460" s="14"/>
      <c r="G460" s="15">
        <f ca="1"/>
        <v>43.68</v>
      </c>
      <c r="H460" s="8">
        <f t="shared" ca="1" si="34"/>
        <v>20.627307151384759</v>
      </c>
      <c r="I460" s="8">
        <f t="shared" ca="1" si="35"/>
        <v>10.31365357569238</v>
      </c>
    </row>
    <row r="461" spans="5:9">
      <c r="E461" s="14">
        <f ca="1"/>
        <v>37404</v>
      </c>
      <c r="F461" s="14"/>
      <c r="G461" s="15">
        <f ca="1"/>
        <v>44.91</v>
      </c>
      <c r="H461" s="8">
        <f t="shared" ca="1" si="34"/>
        <v>20.627307151384759</v>
      </c>
      <c r="I461" s="8">
        <f t="shared" ca="1" si="35"/>
        <v>10.31365357569238</v>
      </c>
    </row>
    <row r="462" spans="5:9">
      <c r="E462" s="14">
        <f ca="1"/>
        <v>37396</v>
      </c>
      <c r="F462" s="14"/>
      <c r="G462" s="15">
        <f ca="1"/>
        <v>45.42</v>
      </c>
      <c r="H462" s="8">
        <f t="shared" ca="1" si="34"/>
        <v>20.627307151384759</v>
      </c>
      <c r="I462" s="8">
        <f t="shared" ca="1" si="35"/>
        <v>10.31365357569238</v>
      </c>
    </row>
    <row r="463" spans="5:9">
      <c r="E463" s="14">
        <f ca="1"/>
        <v>37389</v>
      </c>
      <c r="F463" s="14"/>
      <c r="G463" s="15">
        <f ca="1"/>
        <v>46.07</v>
      </c>
      <c r="H463" s="8">
        <f t="shared" ca="1" si="34"/>
        <v>20.627307151384759</v>
      </c>
      <c r="I463" s="8">
        <f t="shared" ca="1" si="35"/>
        <v>10.31365357569238</v>
      </c>
    </row>
    <row r="464" spans="5:9">
      <c r="E464" s="14">
        <f ca="1"/>
        <v>37382</v>
      </c>
      <c r="F464" s="14"/>
      <c r="G464" s="15">
        <f ca="1"/>
        <v>45.55</v>
      </c>
      <c r="H464" s="8">
        <f t="shared" ca="1" si="34"/>
        <v>20.627307151384759</v>
      </c>
      <c r="I464" s="8">
        <f t="shared" ca="1" si="35"/>
        <v>10.31365357569238</v>
      </c>
    </row>
    <row r="465" spans="5:9">
      <c r="E465" s="14">
        <f ca="1"/>
        <v>37375</v>
      </c>
      <c r="F465" s="14"/>
      <c r="G465" s="15">
        <f ca="1"/>
        <v>45.96</v>
      </c>
      <c r="H465" s="8">
        <f t="shared" ca="1" si="34"/>
        <v>20.627307151384759</v>
      </c>
      <c r="I465" s="8">
        <f t="shared" ca="1" si="35"/>
        <v>10.31365357569238</v>
      </c>
    </row>
    <row r="466" spans="5:9">
      <c r="E466" s="14">
        <f ca="1"/>
        <v>37368</v>
      </c>
      <c r="F466" s="14"/>
      <c r="G466" s="15">
        <f ca="1"/>
        <v>44.01</v>
      </c>
      <c r="H466" s="8">
        <f t="shared" ca="1" si="34"/>
        <v>20.627307151384759</v>
      </c>
      <c r="I466" s="8">
        <f t="shared" ca="1" si="35"/>
        <v>10.31365357569238</v>
      </c>
    </row>
    <row r="467" spans="5:9">
      <c r="E467" s="14">
        <f ca="1"/>
        <v>37361</v>
      </c>
      <c r="F467" s="14"/>
      <c r="G467" s="15">
        <f ca="1"/>
        <v>44.38</v>
      </c>
      <c r="H467" s="8">
        <f t="shared" ca="1" si="34"/>
        <v>20.627307151384759</v>
      </c>
      <c r="I467" s="8">
        <f t="shared" ca="1" si="35"/>
        <v>10.31365357569238</v>
      </c>
    </row>
    <row r="468" spans="5:9">
      <c r="E468" s="14">
        <f ca="1"/>
        <v>37354</v>
      </c>
      <c r="F468" s="14"/>
      <c r="G468" s="15">
        <f ca="1"/>
        <v>43.13</v>
      </c>
      <c r="H468" s="8">
        <f t="shared" ca="1" si="34"/>
        <v>20.627307151384759</v>
      </c>
      <c r="I468" s="8">
        <f t="shared" ca="1" si="35"/>
        <v>10.31365357569238</v>
      </c>
    </row>
    <row r="469" spans="5:9">
      <c r="E469" s="14">
        <f ca="1"/>
        <v>37347</v>
      </c>
      <c r="F469" s="14"/>
      <c r="G469" s="15">
        <f ca="1"/>
        <v>42.17</v>
      </c>
      <c r="H469" s="8">
        <f t="shared" ca="1" si="34"/>
        <v>20.627307151384759</v>
      </c>
      <c r="I469" s="8">
        <f t="shared" ca="1" si="35"/>
        <v>10.31365357569238</v>
      </c>
    </row>
    <row r="470" spans="5:9">
      <c r="E470" s="14">
        <f ca="1"/>
        <v>37340</v>
      </c>
      <c r="F470" s="14"/>
      <c r="G470" s="15">
        <f ca="1"/>
        <v>42.24</v>
      </c>
      <c r="H470" s="8">
        <f t="shared" ca="1" si="34"/>
        <v>20.627307151384759</v>
      </c>
      <c r="I470" s="8">
        <f t="shared" ca="1" si="35"/>
        <v>10.31365357569238</v>
      </c>
    </row>
    <row r="471" spans="5:9">
      <c r="E471" s="14">
        <f ca="1"/>
        <v>37333</v>
      </c>
      <c r="F471" s="14"/>
      <c r="G471" s="15">
        <f ca="1"/>
        <v>41.42</v>
      </c>
      <c r="H471" s="8">
        <f t="shared" ca="1" si="34"/>
        <v>20.627307151384759</v>
      </c>
      <c r="I471" s="8">
        <f t="shared" ca="1" si="35"/>
        <v>10.31365357569238</v>
      </c>
    </row>
    <row r="472" spans="5:9">
      <c r="E472" s="14">
        <f ca="1"/>
        <v>37326</v>
      </c>
      <c r="F472" s="14"/>
      <c r="G472" s="15">
        <f ca="1"/>
        <v>39.31</v>
      </c>
      <c r="H472" s="8">
        <f t="shared" ca="1" si="34"/>
        <v>20.627307151384759</v>
      </c>
      <c r="I472" s="8">
        <f t="shared" ca="1" si="35"/>
        <v>10.31365357569238</v>
      </c>
    </row>
    <row r="473" spans="5:9">
      <c r="E473" s="14">
        <f ca="1"/>
        <v>37319</v>
      </c>
      <c r="F473" s="14"/>
      <c r="G473" s="15">
        <f ca="1"/>
        <v>38.51</v>
      </c>
      <c r="H473" s="8">
        <f t="shared" ca="1" si="34"/>
        <v>20.627307151384759</v>
      </c>
      <c r="I473" s="8">
        <f t="shared" ca="1" si="35"/>
        <v>10.31365357569238</v>
      </c>
    </row>
    <row r="474" spans="5:9">
      <c r="E474" s="14">
        <f ca="1"/>
        <v>37312</v>
      </c>
      <c r="F474" s="14"/>
      <c r="G474" s="15">
        <f ca="1"/>
        <v>38.96</v>
      </c>
      <c r="H474" s="8">
        <f t="shared" ca="1" si="34"/>
        <v>20.627307151384759</v>
      </c>
      <c r="I474" s="8">
        <f t="shared" ca="1" si="35"/>
        <v>10.31365357569238</v>
      </c>
    </row>
    <row r="475" spans="5:9">
      <c r="E475" s="14">
        <f ca="1"/>
        <v>37306</v>
      </c>
      <c r="F475" s="14"/>
      <c r="G475" s="15">
        <f ca="1"/>
        <v>38.07</v>
      </c>
      <c r="H475" s="8">
        <f t="shared" ca="1" si="34"/>
        <v>20.627307151384759</v>
      </c>
      <c r="I475" s="8">
        <f t="shared" ca="1" si="35"/>
        <v>10.31365357569238</v>
      </c>
    </row>
    <row r="476" spans="5:9">
      <c r="E476" s="14">
        <f ca="1"/>
        <v>37298</v>
      </c>
      <c r="F476" s="14"/>
      <c r="G476" s="15">
        <f ca="1"/>
        <v>37.79</v>
      </c>
      <c r="H476" s="8">
        <f t="shared" ca="1" si="34"/>
        <v>20.627307151384759</v>
      </c>
      <c r="I476" s="8">
        <f t="shared" ca="1" si="35"/>
        <v>10.31365357569238</v>
      </c>
    </row>
    <row r="477" spans="5:9">
      <c r="E477" s="14">
        <f ca="1"/>
        <v>37291</v>
      </c>
      <c r="F477" s="14"/>
      <c r="G477" s="15">
        <f ca="1"/>
        <v>36.9</v>
      </c>
      <c r="H477" s="8">
        <f t="shared" ca="1" si="34"/>
        <v>20.627307151384759</v>
      </c>
      <c r="I477" s="8">
        <f t="shared" ca="1" si="35"/>
        <v>10.31365357569238</v>
      </c>
    </row>
    <row r="478" spans="5:9">
      <c r="E478" s="14">
        <f ca="1"/>
        <v>37284</v>
      </c>
      <c r="F478" s="14"/>
      <c r="G478" s="15">
        <f ca="1"/>
        <v>35.96</v>
      </c>
      <c r="H478" s="8">
        <f t="shared" ca="1" si="34"/>
        <v>20.627307151384759</v>
      </c>
      <c r="I478" s="8">
        <f t="shared" ca="1" si="35"/>
        <v>10.31365357569238</v>
      </c>
    </row>
    <row r="479" spans="5:9">
      <c r="E479" s="14">
        <f ca="1"/>
        <v>37278</v>
      </c>
      <c r="F479" s="14"/>
      <c r="G479" s="15">
        <f ca="1"/>
        <v>36.340000000000003</v>
      </c>
      <c r="H479" s="8">
        <f t="shared" ca="1" si="34"/>
        <v>20.627307151384759</v>
      </c>
      <c r="I479" s="8">
        <f t="shared" ca="1" si="35"/>
        <v>10.31365357569238</v>
      </c>
    </row>
    <row r="480" spans="5:9">
      <c r="E480" s="14">
        <f ca="1"/>
        <v>37270</v>
      </c>
      <c r="F480" s="14"/>
      <c r="G480" s="15">
        <f ca="1"/>
        <v>36.57</v>
      </c>
      <c r="H480" s="8">
        <f t="shared" ca="1" si="34"/>
        <v>20.627307151384759</v>
      </c>
      <c r="I480" s="8">
        <f t="shared" ca="1" si="35"/>
        <v>10.31365357569238</v>
      </c>
    </row>
    <row r="481" spans="5:9">
      <c r="E481" s="14">
        <f ca="1"/>
        <v>37263</v>
      </c>
      <c r="F481" s="14"/>
      <c r="G481" s="15">
        <f ca="1"/>
        <v>36.46</v>
      </c>
      <c r="H481" s="8">
        <f t="shared" ca="1" si="34"/>
        <v>20.627307151384759</v>
      </c>
      <c r="I481" s="8">
        <f t="shared" ca="1" si="35"/>
        <v>10.31365357569238</v>
      </c>
    </row>
    <row r="482" spans="5:9">
      <c r="E482" s="14">
        <f ca="1"/>
        <v>37256</v>
      </c>
      <c r="F482" s="14"/>
      <c r="G482" s="15">
        <f ca="1"/>
        <v>37.369999999999997</v>
      </c>
      <c r="H482" s="8">
        <f t="shared" ca="1" si="34"/>
        <v>20.627307151384759</v>
      </c>
      <c r="I482" s="8">
        <f t="shared" ca="1" si="35"/>
        <v>10.31365357569238</v>
      </c>
    </row>
    <row r="483" spans="5:9">
      <c r="E483" s="14">
        <f ca="1"/>
        <v>37249</v>
      </c>
      <c r="F483" s="14"/>
      <c r="G483" s="15">
        <f ca="1"/>
        <v>37.97</v>
      </c>
      <c r="H483" s="8">
        <f t="shared" ca="1" si="34"/>
        <v>20.627307151384759</v>
      </c>
      <c r="I483" s="8">
        <f t="shared" ca="1" si="35"/>
        <v>10.31365357569238</v>
      </c>
    </row>
    <row r="484" spans="5:9">
      <c r="E484" s="14">
        <f ca="1"/>
        <v>37242</v>
      </c>
      <c r="F484" s="14"/>
      <c r="G484" s="15">
        <f ca="1"/>
        <v>39.26</v>
      </c>
      <c r="H484" s="8">
        <f t="shared" ca="1" si="34"/>
        <v>20.627307151384759</v>
      </c>
      <c r="I484" s="8">
        <f t="shared" ca="1" si="35"/>
        <v>10.31365357569238</v>
      </c>
    </row>
    <row r="485" spans="5:9">
      <c r="E485" s="14">
        <f ca="1"/>
        <v>37235</v>
      </c>
      <c r="F485" s="14"/>
      <c r="G485" s="15">
        <f ca="1"/>
        <v>37.229999999999997</v>
      </c>
      <c r="H485" s="8">
        <f t="shared" ca="1" si="34"/>
        <v>20.627307151384759</v>
      </c>
      <c r="I485" s="8">
        <f t="shared" ca="1" si="35"/>
        <v>10.31365357569238</v>
      </c>
    </row>
    <row r="486" spans="5:9">
      <c r="E486" s="14">
        <f ca="1"/>
        <v>37228</v>
      </c>
      <c r="F486" s="14"/>
      <c r="G486" s="15">
        <f ca="1"/>
        <v>37.51</v>
      </c>
      <c r="H486" s="8">
        <f t="shared" ca="1" si="34"/>
        <v>20.627307151384759</v>
      </c>
      <c r="I486" s="8">
        <f t="shared" ca="1" si="35"/>
        <v>10.31365357569238</v>
      </c>
    </row>
    <row r="487" spans="5:9">
      <c r="E487" s="14">
        <f ca="1"/>
        <v>37221</v>
      </c>
      <c r="F487" s="14"/>
      <c r="G487" s="15">
        <f ca="1"/>
        <v>37.799999999999997</v>
      </c>
      <c r="H487" s="8">
        <f t="shared" ca="1" si="34"/>
        <v>20.627307151384759</v>
      </c>
      <c r="I487" s="8">
        <f t="shared" ca="1" si="35"/>
        <v>10.31365357569238</v>
      </c>
    </row>
    <row r="488" spans="5:9">
      <c r="E488" s="14">
        <f ca="1"/>
        <v>37214</v>
      </c>
      <c r="F488" s="14"/>
      <c r="G488" s="15">
        <f ca="1"/>
        <v>39.409999999999997</v>
      </c>
      <c r="H488" s="8">
        <f t="shared" ca="1" si="34"/>
        <v>20.627307151384759</v>
      </c>
      <c r="I488" s="8">
        <f t="shared" ca="1" si="35"/>
        <v>10.31365357569238</v>
      </c>
    </row>
    <row r="489" spans="5:9">
      <c r="E489" s="14">
        <f ca="1"/>
        <v>37207</v>
      </c>
      <c r="F489" s="14"/>
      <c r="G489" s="15">
        <f ca="1"/>
        <v>40.04</v>
      </c>
      <c r="H489" s="8">
        <f t="shared" ca="1" si="34"/>
        <v>20.627307151384759</v>
      </c>
      <c r="I489" s="8">
        <f t="shared" ca="1" si="35"/>
        <v>10.31365357569238</v>
      </c>
    </row>
    <row r="490" spans="5:9">
      <c r="E490" s="14">
        <f ca="1"/>
        <v>37200</v>
      </c>
      <c r="F490" s="14"/>
      <c r="G490" s="15">
        <f ca="1"/>
        <v>39.47</v>
      </c>
      <c r="H490" s="8">
        <f t="shared" ref="H490:H509" ca="1" si="36">C$8</f>
        <v>20.627307151384759</v>
      </c>
      <c r="I490" s="8">
        <f t="shared" ref="I490:I509" ca="1" si="37">D$8</f>
        <v>10.31365357569238</v>
      </c>
    </row>
    <row r="491" spans="5:9">
      <c r="E491" s="14">
        <f ca="1"/>
        <v>37193</v>
      </c>
      <c r="F491" s="14"/>
      <c r="G491" s="15">
        <f ca="1"/>
        <v>39.19</v>
      </c>
      <c r="H491" s="8">
        <f t="shared" ca="1" si="36"/>
        <v>20.627307151384759</v>
      </c>
      <c r="I491" s="8">
        <f t="shared" ca="1" si="37"/>
        <v>10.31365357569238</v>
      </c>
    </row>
    <row r="492" spans="5:9">
      <c r="E492" s="14">
        <f ca="1"/>
        <v>37186</v>
      </c>
      <c r="F492" s="14"/>
      <c r="G492" s="15">
        <f ca="1"/>
        <v>39.4</v>
      </c>
      <c r="H492" s="8">
        <f t="shared" ca="1" si="36"/>
        <v>20.627307151384759</v>
      </c>
      <c r="I492" s="8">
        <f t="shared" ca="1" si="37"/>
        <v>10.31365357569238</v>
      </c>
    </row>
    <row r="493" spans="5:9">
      <c r="E493" s="14">
        <f ca="1"/>
        <v>37179</v>
      </c>
      <c r="F493" s="14"/>
      <c r="G493" s="15">
        <f ca="1"/>
        <v>38.96</v>
      </c>
      <c r="H493" s="8">
        <f t="shared" ca="1" si="36"/>
        <v>20.627307151384759</v>
      </c>
      <c r="I493" s="8">
        <f t="shared" ca="1" si="37"/>
        <v>10.31365357569238</v>
      </c>
    </row>
    <row r="494" spans="5:9">
      <c r="E494" s="14">
        <f ca="1"/>
        <v>37172</v>
      </c>
      <c r="F494" s="14"/>
      <c r="G494" s="15">
        <f ca="1"/>
        <v>35.92</v>
      </c>
      <c r="H494" s="8">
        <f t="shared" ca="1" si="36"/>
        <v>20.627307151384759</v>
      </c>
      <c r="I494" s="8">
        <f t="shared" ca="1" si="37"/>
        <v>10.31365357569238</v>
      </c>
    </row>
    <row r="495" spans="5:9">
      <c r="E495" s="14">
        <f ca="1"/>
        <v>37165</v>
      </c>
      <c r="F495" s="14"/>
      <c r="G495" s="15">
        <f ca="1"/>
        <v>36.479999999999997</v>
      </c>
      <c r="H495" s="8">
        <f t="shared" ca="1" si="36"/>
        <v>20.627307151384759</v>
      </c>
      <c r="I495" s="8">
        <f t="shared" ca="1" si="37"/>
        <v>10.31365357569238</v>
      </c>
    </row>
    <row r="496" spans="5:9">
      <c r="E496" s="14">
        <f ca="1"/>
        <v>37158</v>
      </c>
      <c r="F496" s="14"/>
      <c r="G496" s="15">
        <f ca="1"/>
        <v>37.57</v>
      </c>
      <c r="H496" s="8">
        <f t="shared" ca="1" si="36"/>
        <v>20.627307151384759</v>
      </c>
      <c r="I496" s="8">
        <f t="shared" ca="1" si="37"/>
        <v>10.31365357569238</v>
      </c>
    </row>
    <row r="497" spans="5:9">
      <c r="E497" s="14">
        <f ca="1"/>
        <v>37144</v>
      </c>
      <c r="F497" s="14"/>
      <c r="G497" s="15">
        <f ca="1"/>
        <v>37.53</v>
      </c>
      <c r="H497" s="8">
        <f t="shared" ca="1" si="36"/>
        <v>20.627307151384759</v>
      </c>
      <c r="I497" s="8">
        <f t="shared" ca="1" si="37"/>
        <v>10.31365357569238</v>
      </c>
    </row>
    <row r="498" spans="5:9">
      <c r="E498" s="14">
        <f ca="1"/>
        <v>37138</v>
      </c>
      <c r="F498" s="14"/>
      <c r="G498" s="15">
        <f ca="1"/>
        <v>39.880000000000003</v>
      </c>
      <c r="H498" s="8">
        <f t="shared" ca="1" si="36"/>
        <v>20.627307151384759</v>
      </c>
      <c r="I498" s="8">
        <f t="shared" ca="1" si="37"/>
        <v>10.31365357569238</v>
      </c>
    </row>
    <row r="499" spans="5:9">
      <c r="E499" s="14">
        <f ca="1"/>
        <v>37130</v>
      </c>
      <c r="F499" s="14"/>
      <c r="G499" s="15">
        <f ca="1"/>
        <v>39.03</v>
      </c>
      <c r="H499" s="8">
        <f t="shared" ca="1" si="36"/>
        <v>20.627307151384759</v>
      </c>
      <c r="I499" s="8">
        <f t="shared" ca="1" si="37"/>
        <v>10.31365357569238</v>
      </c>
    </row>
    <row r="500" spans="5:9">
      <c r="E500" s="14">
        <f ca="1"/>
        <v>37123</v>
      </c>
      <c r="F500" s="14"/>
      <c r="G500" s="15">
        <f ca="1"/>
        <v>39.46</v>
      </c>
      <c r="H500" s="8">
        <f t="shared" ca="1" si="36"/>
        <v>20.627307151384759</v>
      </c>
      <c r="I500" s="8">
        <f t="shared" ca="1" si="37"/>
        <v>10.31365357569238</v>
      </c>
    </row>
    <row r="501" spans="5:9">
      <c r="E501" s="14">
        <f ca="1"/>
        <v>37116</v>
      </c>
      <c r="F501" s="14"/>
      <c r="G501" s="15">
        <f ca="1"/>
        <v>38.119999999999997</v>
      </c>
      <c r="H501" s="8">
        <f t="shared" ca="1" si="36"/>
        <v>20.627307151384759</v>
      </c>
      <c r="I501" s="8">
        <f t="shared" ca="1" si="37"/>
        <v>10.31365357569238</v>
      </c>
    </row>
    <row r="502" spans="5:9">
      <c r="E502" s="14">
        <f ca="1"/>
        <v>37109</v>
      </c>
      <c r="F502" s="14"/>
      <c r="G502" s="15">
        <f ca="1"/>
        <v>36.619999999999997</v>
      </c>
      <c r="H502" s="8">
        <f t="shared" ca="1" si="36"/>
        <v>20.627307151384759</v>
      </c>
      <c r="I502" s="8">
        <f t="shared" ca="1" si="37"/>
        <v>10.31365357569238</v>
      </c>
    </row>
    <row r="503" spans="5:9">
      <c r="E503" s="14">
        <f ca="1"/>
        <v>37102</v>
      </c>
      <c r="F503" s="14"/>
      <c r="G503" s="15">
        <f ca="1"/>
        <v>35.840000000000003</v>
      </c>
      <c r="H503" s="8">
        <f t="shared" ca="1" si="36"/>
        <v>20.627307151384759</v>
      </c>
      <c r="I503" s="8">
        <f t="shared" ca="1" si="37"/>
        <v>10.31365357569238</v>
      </c>
    </row>
    <row r="504" spans="5:9">
      <c r="E504" s="14">
        <f ca="1"/>
        <v>37095</v>
      </c>
      <c r="F504" s="14"/>
      <c r="G504" s="15">
        <f ca="1"/>
        <v>35.909999999999997</v>
      </c>
      <c r="H504" s="8">
        <f t="shared" ca="1" si="36"/>
        <v>20.627307151384759</v>
      </c>
      <c r="I504" s="8">
        <f t="shared" ca="1" si="37"/>
        <v>10.31365357569238</v>
      </c>
    </row>
    <row r="505" spans="5:9">
      <c r="E505" s="14">
        <f ca="1"/>
        <v>37088</v>
      </c>
      <c r="F505" s="14"/>
      <c r="G505" s="15">
        <f ca="1"/>
        <v>36.97</v>
      </c>
      <c r="H505" s="8">
        <f t="shared" ca="1" si="36"/>
        <v>20.627307151384759</v>
      </c>
      <c r="I505" s="8">
        <f t="shared" ca="1" si="37"/>
        <v>10.31365357569238</v>
      </c>
    </row>
    <row r="506" spans="5:9">
      <c r="E506" s="14">
        <f ca="1"/>
        <v>37081</v>
      </c>
      <c r="F506" s="14"/>
      <c r="G506" s="15">
        <f ca="1"/>
        <v>36.89</v>
      </c>
      <c r="H506" s="8">
        <f t="shared" ca="1" si="36"/>
        <v>20.627307151384759</v>
      </c>
      <c r="I506" s="8">
        <f t="shared" ca="1" si="37"/>
        <v>10.31365357569238</v>
      </c>
    </row>
    <row r="507" spans="5:9">
      <c r="E507" s="14">
        <f ca="1"/>
        <v>37074</v>
      </c>
      <c r="F507" s="14"/>
      <c r="G507" s="15">
        <f ca="1"/>
        <v>35.76</v>
      </c>
      <c r="H507" s="8">
        <f t="shared" ca="1" si="36"/>
        <v>20.627307151384759</v>
      </c>
      <c r="I507" s="8">
        <f t="shared" ca="1" si="37"/>
        <v>10.31365357569238</v>
      </c>
    </row>
    <row r="508" spans="5:9">
      <c r="E508" s="14">
        <f ca="1"/>
        <v>37067</v>
      </c>
      <c r="F508" s="14"/>
      <c r="G508" s="15">
        <f ca="1"/>
        <v>36.08</v>
      </c>
      <c r="H508" s="8">
        <f t="shared" ca="1" si="36"/>
        <v>20.627307151384759</v>
      </c>
      <c r="I508" s="8">
        <f t="shared" ca="1" si="37"/>
        <v>10.31365357569238</v>
      </c>
    </row>
    <row r="509" spans="5:9">
      <c r="E509" s="14">
        <f ca="1"/>
        <v>37060</v>
      </c>
      <c r="F509" s="14"/>
      <c r="G509" s="15">
        <f ca="1"/>
        <v>34.36</v>
      </c>
      <c r="H509" s="8">
        <f t="shared" ca="1" si="36"/>
        <v>20.627307151384759</v>
      </c>
      <c r="I509" s="8">
        <f t="shared" ca="1" si="37"/>
        <v>10.31365357569238</v>
      </c>
    </row>
    <row r="510" spans="5:9">
      <c r="E510" s="14">
        <f ca="1"/>
        <v>37053</v>
      </c>
      <c r="F510" s="14"/>
      <c r="G510" s="15">
        <f ca="1"/>
        <v>35.49</v>
      </c>
      <c r="H510" s="18">
        <f t="shared" ref="H510:H541" ca="1" si="38">C$7</f>
        <v>20.010477224788431</v>
      </c>
      <c r="I510" s="18">
        <f t="shared" ref="I510:I541" ca="1" si="39">D$7</f>
        <v>10.005238612394216</v>
      </c>
    </row>
    <row r="511" spans="5:9">
      <c r="E511" s="14">
        <f ca="1"/>
        <v>37046</v>
      </c>
      <c r="F511" s="14"/>
      <c r="G511" s="15">
        <f ca="1"/>
        <v>36.74</v>
      </c>
      <c r="H511" s="18">
        <f t="shared" ca="1" si="38"/>
        <v>20.010477224788431</v>
      </c>
      <c r="I511" s="18">
        <f t="shared" ca="1" si="39"/>
        <v>10.005238612394216</v>
      </c>
    </row>
    <row r="512" spans="5:9">
      <c r="E512" s="14">
        <f ca="1"/>
        <v>37040</v>
      </c>
      <c r="F512" s="14"/>
      <c r="G512" s="15">
        <f ca="1"/>
        <v>38.19</v>
      </c>
      <c r="H512" s="18">
        <f t="shared" ca="1" si="38"/>
        <v>20.010477224788431</v>
      </c>
      <c r="I512" s="18">
        <f t="shared" ca="1" si="39"/>
        <v>10.005238612394216</v>
      </c>
    </row>
    <row r="513" spans="5:9">
      <c r="E513" s="14">
        <f ca="1"/>
        <v>37032</v>
      </c>
      <c r="F513" s="14"/>
      <c r="G513" s="15">
        <f ca="1"/>
        <v>38.47</v>
      </c>
      <c r="H513" s="18">
        <f t="shared" ca="1" si="38"/>
        <v>20.010477224788431</v>
      </c>
      <c r="I513" s="18">
        <f t="shared" ca="1" si="39"/>
        <v>10.005238612394216</v>
      </c>
    </row>
    <row r="514" spans="5:9">
      <c r="E514" s="14">
        <f ca="1"/>
        <v>37025</v>
      </c>
      <c r="F514" s="14"/>
      <c r="G514" s="15">
        <f ca="1"/>
        <v>38.42</v>
      </c>
      <c r="H514" s="18">
        <f t="shared" ca="1" si="38"/>
        <v>20.010477224788431</v>
      </c>
      <c r="I514" s="18">
        <f t="shared" ca="1" si="39"/>
        <v>10.005238612394216</v>
      </c>
    </row>
    <row r="515" spans="5:9">
      <c r="E515" s="14">
        <f ca="1"/>
        <v>37018</v>
      </c>
      <c r="F515" s="14"/>
      <c r="G515" s="15">
        <f ca="1"/>
        <v>36.17</v>
      </c>
      <c r="H515" s="18">
        <f t="shared" ca="1" si="38"/>
        <v>20.010477224788431</v>
      </c>
      <c r="I515" s="18">
        <f t="shared" ca="1" si="39"/>
        <v>10.005238612394216</v>
      </c>
    </row>
    <row r="516" spans="5:9">
      <c r="E516" s="14">
        <f ca="1"/>
        <v>37011</v>
      </c>
      <c r="F516" s="14"/>
      <c r="G516" s="15">
        <f ca="1"/>
        <v>37.4</v>
      </c>
      <c r="H516" s="18">
        <f t="shared" ca="1" si="38"/>
        <v>20.010477224788431</v>
      </c>
      <c r="I516" s="18">
        <f t="shared" ca="1" si="39"/>
        <v>10.005238612394216</v>
      </c>
    </row>
    <row r="517" spans="5:9">
      <c r="E517" s="14">
        <f ca="1"/>
        <v>37004</v>
      </c>
      <c r="F517" s="14"/>
      <c r="G517" s="15">
        <f ca="1"/>
        <v>37.54</v>
      </c>
      <c r="H517" s="18">
        <f t="shared" ca="1" si="38"/>
        <v>20.010477224788431</v>
      </c>
      <c r="I517" s="18">
        <f t="shared" ca="1" si="39"/>
        <v>10.005238612394216</v>
      </c>
    </row>
    <row r="518" spans="5:9">
      <c r="E518" s="14">
        <f ca="1"/>
        <v>36997</v>
      </c>
      <c r="F518" s="14"/>
      <c r="G518" s="15">
        <f ca="1"/>
        <v>37.54</v>
      </c>
      <c r="H518" s="18">
        <f t="shared" ca="1" si="38"/>
        <v>20.010477224788431</v>
      </c>
      <c r="I518" s="18">
        <f t="shared" ca="1" si="39"/>
        <v>10.005238612394216</v>
      </c>
    </row>
    <row r="519" spans="5:9">
      <c r="E519" s="14">
        <f ca="1"/>
        <v>36990</v>
      </c>
      <c r="F519" s="14"/>
      <c r="G519" s="15">
        <f ca="1"/>
        <v>35.6</v>
      </c>
      <c r="H519" s="18">
        <f t="shared" ca="1" si="38"/>
        <v>20.010477224788431</v>
      </c>
      <c r="I519" s="18">
        <f t="shared" ca="1" si="39"/>
        <v>10.005238612394216</v>
      </c>
    </row>
    <row r="520" spans="5:9">
      <c r="E520" s="14">
        <f ca="1"/>
        <v>36983</v>
      </c>
      <c r="F520" s="14"/>
      <c r="G520" s="15">
        <f ca="1"/>
        <v>35.94</v>
      </c>
      <c r="H520" s="18">
        <f t="shared" ca="1" si="38"/>
        <v>20.010477224788431</v>
      </c>
      <c r="I520" s="18">
        <f t="shared" ca="1" si="39"/>
        <v>10.005238612394216</v>
      </c>
    </row>
    <row r="521" spans="5:9">
      <c r="E521" s="14">
        <f ca="1"/>
        <v>36976</v>
      </c>
      <c r="F521" s="14"/>
      <c r="G521" s="15">
        <f ca="1"/>
        <v>36.07</v>
      </c>
      <c r="H521" s="18">
        <f t="shared" ca="1" si="38"/>
        <v>20.010477224788431</v>
      </c>
      <c r="I521" s="18">
        <f t="shared" ca="1" si="39"/>
        <v>10.005238612394216</v>
      </c>
    </row>
    <row r="522" spans="5:9">
      <c r="E522" s="14">
        <f ca="1"/>
        <v>36969</v>
      </c>
      <c r="F522" s="14"/>
      <c r="G522" s="15">
        <f ca="1"/>
        <v>36.340000000000003</v>
      </c>
      <c r="H522" s="18">
        <f t="shared" ca="1" si="38"/>
        <v>20.010477224788431</v>
      </c>
      <c r="I522" s="18">
        <f t="shared" ca="1" si="39"/>
        <v>10.005238612394216</v>
      </c>
    </row>
    <row r="523" spans="5:9">
      <c r="E523" s="14">
        <f ca="1"/>
        <v>36962</v>
      </c>
      <c r="F523" s="14"/>
      <c r="G523" s="15">
        <f ca="1"/>
        <v>38.86</v>
      </c>
      <c r="H523" s="18">
        <f t="shared" ca="1" si="38"/>
        <v>20.010477224788431</v>
      </c>
      <c r="I523" s="18">
        <f t="shared" ca="1" si="39"/>
        <v>10.005238612394216</v>
      </c>
    </row>
    <row r="524" spans="5:9">
      <c r="E524" s="14">
        <f ca="1"/>
        <v>36955</v>
      </c>
      <c r="F524" s="14"/>
      <c r="G524" s="15">
        <f ca="1"/>
        <v>40.99</v>
      </c>
      <c r="H524" s="18">
        <f t="shared" ca="1" si="38"/>
        <v>20.010477224788431</v>
      </c>
      <c r="I524" s="18">
        <f t="shared" ca="1" si="39"/>
        <v>10.005238612394216</v>
      </c>
    </row>
    <row r="525" spans="5:9">
      <c r="E525" s="14">
        <f ca="1"/>
        <v>36948</v>
      </c>
      <c r="F525" s="14"/>
      <c r="G525" s="15">
        <f ca="1"/>
        <v>41.82</v>
      </c>
      <c r="H525" s="18">
        <f t="shared" ca="1" si="38"/>
        <v>20.010477224788431</v>
      </c>
      <c r="I525" s="18">
        <f t="shared" ca="1" si="39"/>
        <v>10.005238612394216</v>
      </c>
    </row>
    <row r="526" spans="5:9">
      <c r="E526" s="14">
        <f ca="1"/>
        <v>36942</v>
      </c>
      <c r="F526" s="14"/>
      <c r="G526" s="15">
        <f ca="1"/>
        <v>41.38</v>
      </c>
      <c r="H526" s="18">
        <f t="shared" ca="1" si="38"/>
        <v>20.010477224788431</v>
      </c>
      <c r="I526" s="18">
        <f t="shared" ca="1" si="39"/>
        <v>10.005238612394216</v>
      </c>
    </row>
    <row r="527" spans="5:9">
      <c r="E527" s="14">
        <f ca="1"/>
        <v>36934</v>
      </c>
      <c r="F527" s="14"/>
      <c r="G527" s="15">
        <f ca="1"/>
        <v>47.24</v>
      </c>
      <c r="H527" s="18">
        <f t="shared" ca="1" si="38"/>
        <v>20.010477224788431</v>
      </c>
      <c r="I527" s="18">
        <f t="shared" ca="1" si="39"/>
        <v>10.005238612394216</v>
      </c>
    </row>
    <row r="528" spans="5:9">
      <c r="E528" s="14">
        <f ca="1"/>
        <v>36927</v>
      </c>
      <c r="F528" s="14"/>
      <c r="G528" s="15">
        <f ca="1"/>
        <v>47.86</v>
      </c>
      <c r="H528" s="18">
        <f t="shared" ca="1" si="38"/>
        <v>20.010477224788431</v>
      </c>
      <c r="I528" s="18">
        <f t="shared" ca="1" si="39"/>
        <v>10.005238612394216</v>
      </c>
    </row>
    <row r="529" spans="5:9">
      <c r="E529" s="14">
        <f ca="1"/>
        <v>36920</v>
      </c>
      <c r="F529" s="14"/>
      <c r="G529" s="15">
        <f ca="1"/>
        <v>45.95</v>
      </c>
      <c r="H529" s="18">
        <f t="shared" ca="1" si="38"/>
        <v>20.010477224788431</v>
      </c>
      <c r="I529" s="18">
        <f t="shared" ca="1" si="39"/>
        <v>10.005238612394216</v>
      </c>
    </row>
    <row r="530" spans="5:9">
      <c r="E530" s="14">
        <f ca="1"/>
        <v>36913</v>
      </c>
      <c r="F530" s="14"/>
      <c r="G530" s="15">
        <f ca="1"/>
        <v>46.11</v>
      </c>
      <c r="H530" s="18">
        <f t="shared" ca="1" si="38"/>
        <v>20.010477224788431</v>
      </c>
      <c r="I530" s="18">
        <f t="shared" ca="1" si="39"/>
        <v>10.005238612394216</v>
      </c>
    </row>
    <row r="531" spans="5:9">
      <c r="E531" s="14">
        <f ca="1"/>
        <v>36907</v>
      </c>
      <c r="F531" s="14"/>
      <c r="G531" s="15">
        <f ca="1"/>
        <v>44.42</v>
      </c>
      <c r="H531" s="18">
        <f t="shared" ca="1" si="38"/>
        <v>20.010477224788431</v>
      </c>
      <c r="I531" s="18">
        <f t="shared" ca="1" si="39"/>
        <v>10.005238612394216</v>
      </c>
    </row>
    <row r="532" spans="5:9">
      <c r="E532" s="14">
        <f ca="1"/>
        <v>36899</v>
      </c>
      <c r="F532" s="14"/>
      <c r="G532" s="15">
        <f ca="1"/>
        <v>45.07</v>
      </c>
      <c r="H532" s="18">
        <f t="shared" ca="1" si="38"/>
        <v>20.010477224788431</v>
      </c>
      <c r="I532" s="18">
        <f t="shared" ca="1" si="39"/>
        <v>10.005238612394216</v>
      </c>
    </row>
    <row r="533" spans="5:9">
      <c r="E533" s="14">
        <f ca="1"/>
        <v>36893</v>
      </c>
      <c r="F533" s="14"/>
      <c r="G533" s="15">
        <f ca="1"/>
        <v>45.91</v>
      </c>
      <c r="H533" s="18">
        <f t="shared" ca="1" si="38"/>
        <v>20.010477224788431</v>
      </c>
      <c r="I533" s="18">
        <f t="shared" ca="1" si="39"/>
        <v>10.005238612394216</v>
      </c>
    </row>
    <row r="534" spans="5:9">
      <c r="E534" s="14">
        <f ca="1"/>
        <v>36886</v>
      </c>
      <c r="F534" s="14"/>
      <c r="G534" s="15">
        <f ca="1"/>
        <v>48.5</v>
      </c>
      <c r="H534" s="18">
        <f t="shared" ca="1" si="38"/>
        <v>20.010477224788431</v>
      </c>
      <c r="I534" s="18">
        <f t="shared" ca="1" si="39"/>
        <v>10.005238612394216</v>
      </c>
    </row>
    <row r="535" spans="5:9">
      <c r="E535" s="14">
        <f ca="1"/>
        <v>36878</v>
      </c>
      <c r="F535" s="14"/>
      <c r="G535" s="15">
        <f ca="1"/>
        <v>46.86</v>
      </c>
      <c r="H535" s="18">
        <f t="shared" ca="1" si="38"/>
        <v>20.010477224788431</v>
      </c>
      <c r="I535" s="18">
        <f t="shared" ca="1" si="39"/>
        <v>10.005238612394216</v>
      </c>
    </row>
    <row r="536" spans="5:9">
      <c r="E536" s="14">
        <f ca="1"/>
        <v>36871</v>
      </c>
      <c r="F536" s="14"/>
      <c r="G536" s="15">
        <f ca="1"/>
        <v>42.58</v>
      </c>
      <c r="H536" s="18">
        <f t="shared" ca="1" si="38"/>
        <v>20.010477224788431</v>
      </c>
      <c r="I536" s="18">
        <f t="shared" ca="1" si="39"/>
        <v>10.005238612394216</v>
      </c>
    </row>
    <row r="537" spans="5:9">
      <c r="E537" s="14">
        <f ca="1"/>
        <v>36864</v>
      </c>
      <c r="F537" s="14"/>
      <c r="G537" s="15">
        <f ca="1"/>
        <v>48.45</v>
      </c>
      <c r="H537" s="18">
        <f t="shared" ca="1" si="38"/>
        <v>20.010477224788431</v>
      </c>
      <c r="I537" s="18">
        <f t="shared" ca="1" si="39"/>
        <v>10.005238612394216</v>
      </c>
    </row>
    <row r="538" spans="5:9">
      <c r="E538" s="14">
        <f ca="1"/>
        <v>36857</v>
      </c>
      <c r="F538" s="14"/>
      <c r="G538" s="15">
        <f ca="1"/>
        <v>49.49</v>
      </c>
      <c r="H538" s="18">
        <f t="shared" ca="1" si="38"/>
        <v>20.010477224788431</v>
      </c>
      <c r="I538" s="18">
        <f t="shared" ca="1" si="39"/>
        <v>10.005238612394216</v>
      </c>
    </row>
    <row r="539" spans="5:9">
      <c r="E539" s="14">
        <f ca="1"/>
        <v>36850</v>
      </c>
      <c r="F539" s="14"/>
      <c r="G539" s="15">
        <f ca="1"/>
        <v>46.82</v>
      </c>
      <c r="H539" s="18">
        <f t="shared" ca="1" si="38"/>
        <v>20.010477224788431</v>
      </c>
      <c r="I539" s="18">
        <f t="shared" ca="1" si="39"/>
        <v>10.005238612394216</v>
      </c>
    </row>
    <row r="540" spans="5:9">
      <c r="E540" s="14">
        <f ca="1"/>
        <v>36843</v>
      </c>
      <c r="F540" s="14"/>
      <c r="G540" s="15">
        <f ca="1"/>
        <v>48.76</v>
      </c>
      <c r="H540" s="18">
        <f t="shared" ca="1" si="38"/>
        <v>20.010477224788431</v>
      </c>
      <c r="I540" s="18">
        <f t="shared" ca="1" si="39"/>
        <v>10.005238612394216</v>
      </c>
    </row>
    <row r="541" spans="5:9">
      <c r="E541" s="14">
        <f ca="1"/>
        <v>36836</v>
      </c>
      <c r="F541" s="14"/>
      <c r="G541" s="15">
        <f ca="1"/>
        <v>49.11</v>
      </c>
      <c r="H541" s="18">
        <f t="shared" ca="1" si="38"/>
        <v>20.010477224788431</v>
      </c>
      <c r="I541" s="18">
        <f t="shared" ca="1" si="39"/>
        <v>10.005238612394216</v>
      </c>
    </row>
    <row r="542" spans="5:9">
      <c r="E542" s="14">
        <f ca="1"/>
        <v>36829</v>
      </c>
      <c r="F542" s="14"/>
      <c r="G542" s="15">
        <f ca="1"/>
        <v>47.07</v>
      </c>
      <c r="H542" s="18">
        <f t="shared" ref="H542:H561" ca="1" si="40">C$7</f>
        <v>20.010477224788431</v>
      </c>
      <c r="I542" s="18">
        <f t="shared" ref="I542:I561" ca="1" si="41">D$7</f>
        <v>10.005238612394216</v>
      </c>
    </row>
    <row r="543" spans="5:9">
      <c r="E543" s="14">
        <f ca="1"/>
        <v>36822</v>
      </c>
      <c r="F543" s="14"/>
      <c r="G543" s="15">
        <f ca="1"/>
        <v>46.77</v>
      </c>
      <c r="H543" s="18">
        <f t="shared" ca="1" si="40"/>
        <v>20.010477224788431</v>
      </c>
      <c r="I543" s="18">
        <f t="shared" ca="1" si="41"/>
        <v>10.005238612394216</v>
      </c>
    </row>
    <row r="544" spans="5:9">
      <c r="E544" s="14">
        <f ca="1"/>
        <v>36815</v>
      </c>
      <c r="F544" s="14"/>
      <c r="G544" s="15">
        <f ca="1"/>
        <v>43.5</v>
      </c>
      <c r="H544" s="18">
        <f t="shared" ca="1" si="40"/>
        <v>20.010477224788431</v>
      </c>
      <c r="I544" s="18">
        <f t="shared" ca="1" si="41"/>
        <v>10.005238612394216</v>
      </c>
    </row>
    <row r="545" spans="5:9">
      <c r="E545" s="14">
        <f ca="1"/>
        <v>36808</v>
      </c>
      <c r="F545" s="14"/>
      <c r="G545" s="15">
        <f ca="1"/>
        <v>45.39</v>
      </c>
      <c r="H545" s="18">
        <f t="shared" ca="1" si="40"/>
        <v>20.010477224788431</v>
      </c>
      <c r="I545" s="18">
        <f t="shared" ca="1" si="41"/>
        <v>10.005238612394216</v>
      </c>
    </row>
    <row r="546" spans="5:9">
      <c r="E546" s="14">
        <f ca="1"/>
        <v>36801</v>
      </c>
      <c r="F546" s="14"/>
      <c r="G546" s="15">
        <f ca="1"/>
        <v>46.38</v>
      </c>
      <c r="H546" s="18">
        <f t="shared" ca="1" si="40"/>
        <v>20.010477224788431</v>
      </c>
      <c r="I546" s="18">
        <f t="shared" ca="1" si="41"/>
        <v>10.005238612394216</v>
      </c>
    </row>
    <row r="547" spans="5:9">
      <c r="E547" s="14">
        <f ca="1"/>
        <v>36794</v>
      </c>
      <c r="F547" s="14"/>
      <c r="G547" s="15">
        <f ca="1"/>
        <v>43.75</v>
      </c>
      <c r="H547" s="18">
        <f t="shared" ca="1" si="40"/>
        <v>20.010477224788431</v>
      </c>
      <c r="I547" s="18">
        <f t="shared" ca="1" si="41"/>
        <v>10.005238612394216</v>
      </c>
    </row>
    <row r="548" spans="5:9">
      <c r="E548" s="14">
        <f ca="1"/>
        <v>36787</v>
      </c>
      <c r="F548" s="14"/>
      <c r="G548" s="15">
        <f ca="1"/>
        <v>41.97</v>
      </c>
      <c r="H548" s="18">
        <f t="shared" ca="1" si="40"/>
        <v>20.010477224788431</v>
      </c>
      <c r="I548" s="18">
        <f t="shared" ca="1" si="41"/>
        <v>10.005238612394216</v>
      </c>
    </row>
    <row r="549" spans="5:9">
      <c r="E549" s="14">
        <f ca="1"/>
        <v>36780</v>
      </c>
      <c r="F549" s="14"/>
      <c r="G549" s="15">
        <f ca="1"/>
        <v>40.32</v>
      </c>
      <c r="H549" s="18">
        <f t="shared" ca="1" si="40"/>
        <v>20.010477224788431</v>
      </c>
      <c r="I549" s="18">
        <f t="shared" ca="1" si="41"/>
        <v>10.005238612394216</v>
      </c>
    </row>
    <row r="550" spans="5:9">
      <c r="E550" s="14">
        <f ca="1"/>
        <v>36774</v>
      </c>
      <c r="F550" s="14"/>
      <c r="G550" s="15">
        <f ca="1"/>
        <v>43.16</v>
      </c>
      <c r="H550" s="18">
        <f t="shared" ca="1" si="40"/>
        <v>20.010477224788431</v>
      </c>
      <c r="I550" s="18">
        <f t="shared" ca="1" si="41"/>
        <v>10.005238612394216</v>
      </c>
    </row>
    <row r="551" spans="5:9">
      <c r="E551" s="14">
        <f ca="1"/>
        <v>36766</v>
      </c>
      <c r="F551" s="14"/>
      <c r="G551" s="15">
        <f ca="1"/>
        <v>42.92</v>
      </c>
      <c r="H551" s="18">
        <f t="shared" ca="1" si="40"/>
        <v>20.010477224788431</v>
      </c>
      <c r="I551" s="18">
        <f t="shared" ca="1" si="41"/>
        <v>10.005238612394216</v>
      </c>
    </row>
    <row r="552" spans="5:9">
      <c r="E552" s="14">
        <f ca="1"/>
        <v>36759</v>
      </c>
      <c r="F552" s="14"/>
      <c r="G552" s="15">
        <f ca="1"/>
        <v>44.3</v>
      </c>
      <c r="H552" s="18">
        <f t="shared" ca="1" si="40"/>
        <v>20.010477224788431</v>
      </c>
      <c r="I552" s="18">
        <f t="shared" ca="1" si="41"/>
        <v>10.005238612394216</v>
      </c>
    </row>
    <row r="553" spans="5:9">
      <c r="E553" s="14">
        <f ca="1"/>
        <v>36752</v>
      </c>
      <c r="F553" s="14"/>
      <c r="G553" s="15">
        <f ca="1"/>
        <v>47.71</v>
      </c>
      <c r="H553" s="18">
        <f t="shared" ca="1" si="40"/>
        <v>20.010477224788431</v>
      </c>
      <c r="I553" s="18">
        <f t="shared" ca="1" si="41"/>
        <v>10.005238612394216</v>
      </c>
    </row>
    <row r="554" spans="5:9">
      <c r="E554" s="14">
        <f ca="1"/>
        <v>36745</v>
      </c>
      <c r="F554" s="14"/>
      <c r="G554" s="15">
        <f ca="1"/>
        <v>49.24</v>
      </c>
      <c r="H554" s="18">
        <f t="shared" ca="1" si="40"/>
        <v>20.010477224788431</v>
      </c>
      <c r="I554" s="18">
        <f t="shared" ca="1" si="41"/>
        <v>10.005238612394216</v>
      </c>
    </row>
    <row r="555" spans="5:9">
      <c r="E555" s="14">
        <f ca="1"/>
        <v>36738</v>
      </c>
      <c r="F555" s="14"/>
      <c r="G555" s="15">
        <f ca="1"/>
        <v>49.15</v>
      </c>
      <c r="H555" s="18">
        <f t="shared" ca="1" si="40"/>
        <v>20.010477224788431</v>
      </c>
      <c r="I555" s="18">
        <f t="shared" ca="1" si="41"/>
        <v>10.005238612394216</v>
      </c>
    </row>
    <row r="556" spans="5:9">
      <c r="E556" s="14">
        <f ca="1"/>
        <v>36731</v>
      </c>
      <c r="F556" s="14"/>
      <c r="G556" s="15">
        <f ca="1"/>
        <v>49.59</v>
      </c>
      <c r="H556" s="18">
        <f t="shared" ca="1" si="40"/>
        <v>20.010477224788431</v>
      </c>
      <c r="I556" s="18">
        <f t="shared" ca="1" si="41"/>
        <v>10.005238612394216</v>
      </c>
    </row>
    <row r="557" spans="5:9">
      <c r="E557" s="14">
        <f ca="1"/>
        <v>36724</v>
      </c>
      <c r="F557" s="14"/>
      <c r="G557" s="15">
        <f ca="1"/>
        <v>48.14</v>
      </c>
      <c r="H557" s="18">
        <f t="shared" ca="1" si="40"/>
        <v>20.010477224788431</v>
      </c>
      <c r="I557" s="18">
        <f t="shared" ca="1" si="41"/>
        <v>10.005238612394216</v>
      </c>
    </row>
    <row r="558" spans="5:9">
      <c r="E558" s="14">
        <f ca="1"/>
        <v>36717</v>
      </c>
      <c r="F558" s="14"/>
      <c r="G558" s="15">
        <f ca="1"/>
        <v>45.59</v>
      </c>
      <c r="H558" s="18">
        <f t="shared" ca="1" si="40"/>
        <v>20.010477224788431</v>
      </c>
      <c r="I558" s="18">
        <f t="shared" ca="1" si="41"/>
        <v>10.005238612394216</v>
      </c>
    </row>
    <row r="559" spans="5:9">
      <c r="E559" s="14">
        <f ca="1"/>
        <v>36710</v>
      </c>
      <c r="F559" s="14"/>
      <c r="G559" s="15">
        <f ca="1"/>
        <v>46.48</v>
      </c>
      <c r="H559" s="18">
        <f t="shared" ca="1" si="40"/>
        <v>20.010477224788431</v>
      </c>
      <c r="I559" s="18">
        <f t="shared" ca="1" si="41"/>
        <v>10.005238612394216</v>
      </c>
    </row>
    <row r="560" spans="5:9">
      <c r="E560" s="14">
        <f ca="1"/>
        <v>36703</v>
      </c>
      <c r="F560" s="14"/>
      <c r="G560" s="15">
        <f ca="1"/>
        <v>45.44</v>
      </c>
      <c r="H560" s="18">
        <f t="shared" ca="1" si="40"/>
        <v>20.010477224788431</v>
      </c>
      <c r="I560" s="18">
        <f t="shared" ca="1" si="41"/>
        <v>10.005238612394216</v>
      </c>
    </row>
    <row r="561" spans="5:9">
      <c r="E561" s="14">
        <f ca="1"/>
        <v>36696</v>
      </c>
      <c r="F561" s="14"/>
      <c r="G561" s="15">
        <f ca="1"/>
        <v>45.79</v>
      </c>
      <c r="H561" s="18">
        <f t="shared" ca="1" si="40"/>
        <v>20.010477224788431</v>
      </c>
      <c r="I561" s="18">
        <f t="shared" ca="1" si="41"/>
        <v>10.005238612394216</v>
      </c>
    </row>
    <row r="562" spans="5:9">
      <c r="E562" s="14">
        <f ca="1"/>
        <v>36689</v>
      </c>
      <c r="F562" s="14"/>
      <c r="G562" s="15">
        <f ca="1"/>
        <v>43.9</v>
      </c>
      <c r="H562" s="8">
        <f t="shared" ref="H562:H593" ca="1" si="42">C$6</f>
        <v>18.107461500188169</v>
      </c>
      <c r="I562" s="8">
        <f t="shared" ref="I562:I593" ca="1" si="43">D$6</f>
        <v>9.0537307500940845</v>
      </c>
    </row>
    <row r="563" spans="5:9">
      <c r="E563" s="14">
        <f ca="1"/>
        <v>36682</v>
      </c>
      <c r="F563" s="14"/>
      <c r="G563" s="15">
        <f ca="1"/>
        <v>41.25</v>
      </c>
      <c r="H563" s="8">
        <f t="shared" ca="1" si="42"/>
        <v>18.107461500188169</v>
      </c>
      <c r="I563" s="8">
        <f t="shared" ca="1" si="43"/>
        <v>9.0537307500940845</v>
      </c>
    </row>
    <row r="564" spans="5:9">
      <c r="E564" s="14">
        <f ca="1"/>
        <v>36676</v>
      </c>
      <c r="F564" s="14"/>
      <c r="G564" s="15">
        <f ca="1"/>
        <v>41.44</v>
      </c>
      <c r="H564" s="8">
        <f t="shared" ca="1" si="42"/>
        <v>18.107461500188169</v>
      </c>
      <c r="I564" s="8">
        <f t="shared" ca="1" si="43"/>
        <v>9.0537307500940845</v>
      </c>
    </row>
    <row r="565" spans="5:9">
      <c r="E565" s="14">
        <f ca="1"/>
        <v>36668</v>
      </c>
      <c r="F565" s="14"/>
      <c r="G565" s="15">
        <f ca="1"/>
        <v>43.02</v>
      </c>
      <c r="H565" s="8">
        <f t="shared" ca="1" si="42"/>
        <v>18.107461500188169</v>
      </c>
      <c r="I565" s="8">
        <f t="shared" ca="1" si="43"/>
        <v>9.0537307500940845</v>
      </c>
    </row>
    <row r="566" spans="5:9">
      <c r="E566" s="14">
        <f ca="1"/>
        <v>36661</v>
      </c>
      <c r="F566" s="14"/>
      <c r="G566" s="15">
        <f ca="1"/>
        <v>39.47</v>
      </c>
      <c r="H566" s="8">
        <f t="shared" ca="1" si="42"/>
        <v>18.107461500188169</v>
      </c>
      <c r="I566" s="8">
        <f t="shared" ca="1" si="43"/>
        <v>9.0537307500940845</v>
      </c>
    </row>
    <row r="567" spans="5:9">
      <c r="E567" s="14">
        <f ca="1"/>
        <v>36654</v>
      </c>
      <c r="F567" s="14"/>
      <c r="G567" s="15">
        <f ca="1"/>
        <v>41.2</v>
      </c>
      <c r="H567" s="8">
        <f t="shared" ca="1" si="42"/>
        <v>18.107461500188169</v>
      </c>
      <c r="I567" s="8">
        <f t="shared" ca="1" si="43"/>
        <v>9.0537307500940845</v>
      </c>
    </row>
    <row r="568" spans="5:9">
      <c r="E568" s="14">
        <f ca="1"/>
        <v>36647</v>
      </c>
      <c r="F568" s="14"/>
      <c r="G568" s="15">
        <f ca="1"/>
        <v>37.11</v>
      </c>
      <c r="H568" s="8">
        <f t="shared" ca="1" si="42"/>
        <v>18.107461500188169</v>
      </c>
      <c r="I568" s="8">
        <f t="shared" ca="1" si="43"/>
        <v>9.0537307500940845</v>
      </c>
    </row>
    <row r="569" spans="5:9">
      <c r="E569" s="14">
        <f ca="1"/>
        <v>36640</v>
      </c>
      <c r="F569" s="14"/>
      <c r="G569" s="15">
        <f ca="1"/>
        <v>37.26</v>
      </c>
      <c r="H569" s="8">
        <f t="shared" ca="1" si="42"/>
        <v>18.107461500188169</v>
      </c>
      <c r="I569" s="8">
        <f t="shared" ca="1" si="43"/>
        <v>9.0537307500940845</v>
      </c>
    </row>
    <row r="570" spans="5:9">
      <c r="E570" s="14">
        <f ca="1"/>
        <v>36633</v>
      </c>
      <c r="F570" s="14"/>
      <c r="G570" s="15">
        <f ca="1"/>
        <v>38.979999999999997</v>
      </c>
      <c r="H570" s="8">
        <f t="shared" ca="1" si="42"/>
        <v>18.107461500188169</v>
      </c>
      <c r="I570" s="8">
        <f t="shared" ca="1" si="43"/>
        <v>9.0537307500940845</v>
      </c>
    </row>
    <row r="571" spans="5:9">
      <c r="E571" s="14">
        <f ca="1"/>
        <v>36626</v>
      </c>
      <c r="F571" s="14"/>
      <c r="G571" s="15">
        <f ca="1"/>
        <v>37.06</v>
      </c>
      <c r="H571" s="8">
        <f t="shared" ca="1" si="42"/>
        <v>18.107461500188169</v>
      </c>
      <c r="I571" s="8">
        <f t="shared" ca="1" si="43"/>
        <v>9.0537307500940845</v>
      </c>
    </row>
    <row r="572" spans="5:9">
      <c r="E572" s="14">
        <f ca="1"/>
        <v>36619</v>
      </c>
      <c r="F572" s="14"/>
      <c r="G572" s="15">
        <f ca="1"/>
        <v>36.42</v>
      </c>
      <c r="H572" s="8">
        <f t="shared" ca="1" si="42"/>
        <v>18.107461500188169</v>
      </c>
      <c r="I572" s="8">
        <f t="shared" ca="1" si="43"/>
        <v>9.0537307500940845</v>
      </c>
    </row>
    <row r="573" spans="5:9">
      <c r="E573" s="14">
        <f ca="1"/>
        <v>36612</v>
      </c>
      <c r="F573" s="14"/>
      <c r="G573" s="15">
        <f ca="1"/>
        <v>37.01</v>
      </c>
      <c r="H573" s="8">
        <f t="shared" ca="1" si="42"/>
        <v>18.107461500188169</v>
      </c>
      <c r="I573" s="8">
        <f t="shared" ca="1" si="43"/>
        <v>9.0537307500940845</v>
      </c>
    </row>
    <row r="574" spans="5:9">
      <c r="E574" s="14">
        <f ca="1"/>
        <v>36605</v>
      </c>
      <c r="F574" s="14"/>
      <c r="G574" s="15">
        <f ca="1"/>
        <v>37.06</v>
      </c>
      <c r="H574" s="8">
        <f t="shared" ca="1" si="42"/>
        <v>18.107461500188169</v>
      </c>
      <c r="I574" s="8">
        <f t="shared" ca="1" si="43"/>
        <v>9.0537307500940845</v>
      </c>
    </row>
    <row r="575" spans="5:9">
      <c r="E575" s="14">
        <f ca="1"/>
        <v>36598</v>
      </c>
      <c r="F575" s="14"/>
      <c r="G575" s="15">
        <f ca="1"/>
        <v>38.74</v>
      </c>
      <c r="H575" s="8">
        <f t="shared" ca="1" si="42"/>
        <v>18.107461500188169</v>
      </c>
      <c r="I575" s="8">
        <f t="shared" ca="1" si="43"/>
        <v>9.0537307500940845</v>
      </c>
    </row>
    <row r="576" spans="5:9">
      <c r="E576" s="14">
        <f ca="1"/>
        <v>36591</v>
      </c>
      <c r="F576" s="14"/>
      <c r="G576" s="15">
        <f ca="1"/>
        <v>35.74</v>
      </c>
      <c r="H576" s="8">
        <f t="shared" ca="1" si="42"/>
        <v>18.107461500188169</v>
      </c>
      <c r="I576" s="8">
        <f t="shared" ca="1" si="43"/>
        <v>9.0537307500940845</v>
      </c>
    </row>
    <row r="577" spans="5:9">
      <c r="E577" s="14">
        <f ca="1"/>
        <v>36584</v>
      </c>
      <c r="F577" s="14"/>
      <c r="G577" s="15">
        <f ca="1"/>
        <v>39.380000000000003</v>
      </c>
      <c r="H577" s="8">
        <f t="shared" ca="1" si="42"/>
        <v>18.107461500188169</v>
      </c>
      <c r="I577" s="8">
        <f t="shared" ca="1" si="43"/>
        <v>9.0537307500940845</v>
      </c>
    </row>
    <row r="578" spans="5:9">
      <c r="E578" s="14">
        <f ca="1"/>
        <v>36578</v>
      </c>
      <c r="F578" s="14"/>
      <c r="G578" s="15">
        <f ca="1"/>
        <v>38.25</v>
      </c>
      <c r="H578" s="8">
        <f t="shared" ca="1" si="42"/>
        <v>18.107461500188169</v>
      </c>
      <c r="I578" s="8">
        <f t="shared" ca="1" si="43"/>
        <v>9.0537307500940845</v>
      </c>
    </row>
    <row r="579" spans="5:9">
      <c r="E579" s="14">
        <f ca="1"/>
        <v>36570</v>
      </c>
      <c r="F579" s="14"/>
      <c r="G579" s="15">
        <f ca="1"/>
        <v>40.36</v>
      </c>
      <c r="H579" s="8">
        <f t="shared" ca="1" si="42"/>
        <v>18.107461500188169</v>
      </c>
      <c r="I579" s="8">
        <f t="shared" ca="1" si="43"/>
        <v>9.0537307500940845</v>
      </c>
    </row>
    <row r="580" spans="5:9">
      <c r="E580" s="14">
        <f ca="1"/>
        <v>36563</v>
      </c>
      <c r="F580" s="14"/>
      <c r="G580" s="15">
        <f ca="1"/>
        <v>43.65</v>
      </c>
      <c r="H580" s="8">
        <f t="shared" ca="1" si="42"/>
        <v>18.107461500188169</v>
      </c>
      <c r="I580" s="8">
        <f t="shared" ca="1" si="43"/>
        <v>9.0537307500940845</v>
      </c>
    </row>
    <row r="581" spans="5:9">
      <c r="E581" s="14">
        <f ca="1"/>
        <v>36556</v>
      </c>
      <c r="F581" s="14"/>
      <c r="G581" s="15">
        <f ca="1"/>
        <v>44.19</v>
      </c>
      <c r="H581" s="8">
        <f t="shared" ca="1" si="42"/>
        <v>18.107461500188169</v>
      </c>
      <c r="I581" s="8">
        <f t="shared" ca="1" si="43"/>
        <v>9.0537307500940845</v>
      </c>
    </row>
    <row r="582" spans="5:9">
      <c r="E582" s="14">
        <f ca="1"/>
        <v>36549</v>
      </c>
      <c r="F582" s="14"/>
      <c r="G582" s="15">
        <f ca="1"/>
        <v>44.73</v>
      </c>
      <c r="H582" s="8">
        <f t="shared" ca="1" si="42"/>
        <v>18.107461500188169</v>
      </c>
      <c r="I582" s="8">
        <f t="shared" ca="1" si="43"/>
        <v>9.0537307500940845</v>
      </c>
    </row>
    <row r="583" spans="5:9">
      <c r="E583" s="14">
        <f ca="1"/>
        <v>36543</v>
      </c>
      <c r="F583" s="14"/>
      <c r="G583" s="15">
        <f ca="1"/>
        <v>52.53</v>
      </c>
      <c r="H583" s="8">
        <f t="shared" ca="1" si="42"/>
        <v>18.107461500188169</v>
      </c>
      <c r="I583" s="8">
        <f t="shared" ca="1" si="43"/>
        <v>9.0537307500940845</v>
      </c>
    </row>
    <row r="584" spans="5:9">
      <c r="E584" s="14">
        <f ca="1"/>
        <v>36535</v>
      </c>
      <c r="F584" s="14"/>
      <c r="G584" s="15">
        <f ca="1"/>
        <v>47.97</v>
      </c>
      <c r="H584" s="8">
        <f t="shared" ca="1" si="42"/>
        <v>18.107461500188169</v>
      </c>
      <c r="I584" s="8">
        <f t="shared" ca="1" si="43"/>
        <v>9.0537307500940845</v>
      </c>
    </row>
    <row r="585" spans="5:9">
      <c r="E585" s="14">
        <f ca="1"/>
        <v>36528</v>
      </c>
      <c r="F585" s="14"/>
      <c r="G585" s="15">
        <f ca="1"/>
        <v>47.72</v>
      </c>
      <c r="H585" s="8">
        <f t="shared" ca="1" si="42"/>
        <v>18.107461500188169</v>
      </c>
      <c r="I585" s="8">
        <f t="shared" ca="1" si="43"/>
        <v>9.0537307500940845</v>
      </c>
    </row>
    <row r="586" spans="5:9">
      <c r="E586" s="14">
        <f ca="1"/>
        <v>36521</v>
      </c>
      <c r="F586" s="14"/>
      <c r="G586" s="15">
        <f ca="1"/>
        <v>45.76</v>
      </c>
      <c r="H586" s="8">
        <f t="shared" ca="1" si="42"/>
        <v>18.107461500188169</v>
      </c>
      <c r="I586" s="8">
        <f t="shared" ca="1" si="43"/>
        <v>9.0537307500940845</v>
      </c>
    </row>
    <row r="587" spans="5:9">
      <c r="E587" s="14">
        <f ca="1"/>
        <v>36514</v>
      </c>
      <c r="F587" s="14"/>
      <c r="G587" s="15">
        <f ca="1"/>
        <v>46.55</v>
      </c>
      <c r="H587" s="8">
        <f t="shared" ca="1" si="42"/>
        <v>18.107461500188169</v>
      </c>
      <c r="I587" s="8">
        <f t="shared" ca="1" si="43"/>
        <v>9.0537307500940845</v>
      </c>
    </row>
    <row r="588" spans="5:9">
      <c r="E588" s="14">
        <f ca="1"/>
        <v>36507</v>
      </c>
      <c r="F588" s="14"/>
      <c r="G588" s="15">
        <f ca="1"/>
        <v>46.94</v>
      </c>
      <c r="H588" s="8">
        <f t="shared" ca="1" si="42"/>
        <v>18.107461500188169</v>
      </c>
      <c r="I588" s="8">
        <f t="shared" ca="1" si="43"/>
        <v>9.0537307500940845</v>
      </c>
    </row>
    <row r="589" spans="5:9">
      <c r="E589" s="14">
        <f ca="1"/>
        <v>36500</v>
      </c>
      <c r="F589" s="14"/>
      <c r="G589" s="15">
        <f ca="1"/>
        <v>49.69</v>
      </c>
      <c r="H589" s="8">
        <f t="shared" ca="1" si="42"/>
        <v>18.107461500188169</v>
      </c>
      <c r="I589" s="8">
        <f t="shared" ca="1" si="43"/>
        <v>9.0537307500940845</v>
      </c>
    </row>
    <row r="590" spans="5:9">
      <c r="E590" s="14">
        <f ca="1"/>
        <v>36493</v>
      </c>
      <c r="F590" s="14"/>
      <c r="G590" s="15">
        <f ca="1"/>
        <v>53.66</v>
      </c>
      <c r="H590" s="8">
        <f t="shared" ca="1" si="42"/>
        <v>18.107461500188169</v>
      </c>
      <c r="I590" s="8">
        <f t="shared" ca="1" si="43"/>
        <v>9.0537307500940845</v>
      </c>
    </row>
    <row r="591" spans="5:9">
      <c r="E591" s="14">
        <f ca="1"/>
        <v>36486</v>
      </c>
      <c r="F591" s="14"/>
      <c r="G591" s="15">
        <f ca="1"/>
        <v>52.16</v>
      </c>
      <c r="H591" s="8">
        <f t="shared" ca="1" si="42"/>
        <v>18.107461500188169</v>
      </c>
      <c r="I591" s="8">
        <f t="shared" ca="1" si="43"/>
        <v>9.0537307500940845</v>
      </c>
    </row>
    <row r="592" spans="5:9">
      <c r="E592" s="14">
        <f ca="1"/>
        <v>36479</v>
      </c>
      <c r="F592" s="14"/>
      <c r="G592" s="15">
        <f ca="1"/>
        <v>47.41</v>
      </c>
      <c r="H592" s="8">
        <f t="shared" ca="1" si="42"/>
        <v>18.107461500188169</v>
      </c>
      <c r="I592" s="8">
        <f t="shared" ca="1" si="43"/>
        <v>9.0537307500940845</v>
      </c>
    </row>
    <row r="593" spans="5:9">
      <c r="E593" s="14">
        <f ca="1"/>
        <v>36472</v>
      </c>
      <c r="F593" s="14"/>
      <c r="G593" s="15">
        <f ca="1"/>
        <v>45.06</v>
      </c>
      <c r="H593" s="8">
        <f t="shared" ca="1" si="42"/>
        <v>18.107461500188169</v>
      </c>
      <c r="I593" s="8">
        <f t="shared" ca="1" si="43"/>
        <v>9.0537307500940845</v>
      </c>
    </row>
    <row r="594" spans="5:9">
      <c r="E594" s="14">
        <f ca="1"/>
        <v>36465</v>
      </c>
      <c r="F594" s="14"/>
      <c r="G594" s="15">
        <f ca="1"/>
        <v>45.56</v>
      </c>
      <c r="H594" s="8">
        <f t="shared" ref="H594:H614" ca="1" si="44">C$6</f>
        <v>18.107461500188169</v>
      </c>
      <c r="I594" s="8">
        <f t="shared" ref="I594:I614" ca="1" si="45">D$6</f>
        <v>9.0537307500940845</v>
      </c>
    </row>
    <row r="595" spans="5:9">
      <c r="E595" s="14">
        <f ca="1"/>
        <v>36458</v>
      </c>
      <c r="F595" s="14"/>
      <c r="G595" s="15">
        <f ca="1"/>
        <v>46.24</v>
      </c>
      <c r="H595" s="8">
        <f t="shared" ca="1" si="44"/>
        <v>18.107461500188169</v>
      </c>
      <c r="I595" s="8">
        <f t="shared" ca="1" si="45"/>
        <v>9.0537307500940845</v>
      </c>
    </row>
    <row r="596" spans="5:9">
      <c r="E596" s="14">
        <f ca="1"/>
        <v>36451</v>
      </c>
      <c r="F596" s="14"/>
      <c r="G596" s="15">
        <f ca="1"/>
        <v>43.3</v>
      </c>
      <c r="H596" s="8">
        <f t="shared" ca="1" si="44"/>
        <v>18.107461500188169</v>
      </c>
      <c r="I596" s="8">
        <f t="shared" ca="1" si="45"/>
        <v>9.0537307500940845</v>
      </c>
    </row>
    <row r="597" spans="5:9">
      <c r="E597" s="14">
        <f ca="1"/>
        <v>36444</v>
      </c>
      <c r="F597" s="14"/>
      <c r="G597" s="15">
        <f ca="1"/>
        <v>39.14</v>
      </c>
      <c r="H597" s="8">
        <f t="shared" ca="1" si="44"/>
        <v>18.107461500188169</v>
      </c>
      <c r="I597" s="8">
        <f t="shared" ca="1" si="45"/>
        <v>9.0537307500940845</v>
      </c>
    </row>
    <row r="598" spans="5:9">
      <c r="E598" s="14">
        <f ca="1"/>
        <v>36437</v>
      </c>
      <c r="F598" s="14"/>
      <c r="G598" s="15">
        <f ca="1"/>
        <v>41.58</v>
      </c>
      <c r="H598" s="8">
        <f t="shared" ca="1" si="44"/>
        <v>18.107461500188169</v>
      </c>
      <c r="I598" s="8">
        <f t="shared" ca="1" si="45"/>
        <v>9.0537307500940845</v>
      </c>
    </row>
    <row r="599" spans="5:9">
      <c r="E599" s="14">
        <f ca="1"/>
        <v>36430</v>
      </c>
      <c r="F599" s="14"/>
      <c r="G599" s="15">
        <f ca="1"/>
        <v>38.450000000000003</v>
      </c>
      <c r="H599" s="8">
        <f t="shared" ca="1" si="44"/>
        <v>18.107461500188169</v>
      </c>
      <c r="I599" s="8">
        <f t="shared" ca="1" si="45"/>
        <v>9.0537307500940845</v>
      </c>
    </row>
    <row r="600" spans="5:9">
      <c r="E600" s="14">
        <f ca="1"/>
        <v>36423</v>
      </c>
      <c r="F600" s="14"/>
      <c r="G600" s="15">
        <f ca="1"/>
        <v>40.07</v>
      </c>
      <c r="H600" s="8">
        <f t="shared" ca="1" si="44"/>
        <v>18.107461500188169</v>
      </c>
      <c r="I600" s="8">
        <f t="shared" ca="1" si="45"/>
        <v>9.0537307500940845</v>
      </c>
    </row>
    <row r="601" spans="5:9">
      <c r="E601" s="14">
        <f ca="1"/>
        <v>36416</v>
      </c>
      <c r="F601" s="14"/>
      <c r="G601" s="15">
        <f ca="1"/>
        <v>42.32</v>
      </c>
      <c r="H601" s="8">
        <f t="shared" ca="1" si="44"/>
        <v>18.107461500188169</v>
      </c>
      <c r="I601" s="8">
        <f t="shared" ca="1" si="45"/>
        <v>9.0537307500940845</v>
      </c>
    </row>
    <row r="602" spans="5:9">
      <c r="E602" s="14">
        <f ca="1"/>
        <v>36410</v>
      </c>
      <c r="F602" s="14"/>
      <c r="G602" s="15">
        <f ca="1"/>
        <v>43.08</v>
      </c>
      <c r="H602" s="8">
        <f t="shared" ca="1" si="44"/>
        <v>18.107461500188169</v>
      </c>
      <c r="I602" s="8">
        <f t="shared" ca="1" si="45"/>
        <v>9.0537307500940845</v>
      </c>
    </row>
    <row r="603" spans="5:9">
      <c r="E603" s="14">
        <f ca="1"/>
        <v>36402</v>
      </c>
      <c r="F603" s="14"/>
      <c r="G603" s="15">
        <f ca="1"/>
        <v>44.84</v>
      </c>
      <c r="H603" s="8">
        <f t="shared" ca="1" si="44"/>
        <v>18.107461500188169</v>
      </c>
      <c r="I603" s="8">
        <f t="shared" ca="1" si="45"/>
        <v>9.0537307500940845</v>
      </c>
    </row>
    <row r="604" spans="5:9">
      <c r="E604" s="14">
        <f ca="1"/>
        <v>36395</v>
      </c>
      <c r="F604" s="14"/>
      <c r="G604" s="15">
        <f ca="1"/>
        <v>48.49</v>
      </c>
      <c r="H604" s="8">
        <f t="shared" ca="1" si="44"/>
        <v>18.107461500188169</v>
      </c>
      <c r="I604" s="8">
        <f t="shared" ca="1" si="45"/>
        <v>9.0537307500940845</v>
      </c>
    </row>
    <row r="605" spans="5:9">
      <c r="E605" s="14">
        <f ca="1"/>
        <v>36388</v>
      </c>
      <c r="F605" s="14"/>
      <c r="G605" s="15">
        <f ca="1"/>
        <v>45.95</v>
      </c>
      <c r="H605" s="8">
        <f t="shared" ca="1" si="44"/>
        <v>18.107461500188169</v>
      </c>
      <c r="I605" s="8">
        <f t="shared" ca="1" si="45"/>
        <v>9.0537307500940845</v>
      </c>
    </row>
    <row r="606" spans="5:9">
      <c r="E606" s="14">
        <f ca="1"/>
        <v>36381</v>
      </c>
      <c r="F606" s="14"/>
      <c r="G606" s="15">
        <f ca="1"/>
        <v>46.74</v>
      </c>
      <c r="H606" s="8">
        <f t="shared" ca="1" si="44"/>
        <v>18.107461500188169</v>
      </c>
      <c r="I606" s="8">
        <f t="shared" ca="1" si="45"/>
        <v>9.0537307500940845</v>
      </c>
    </row>
    <row r="607" spans="5:9">
      <c r="E607" s="14">
        <f ca="1"/>
        <v>36374</v>
      </c>
      <c r="F607" s="14"/>
      <c r="G607" s="15">
        <f ca="1"/>
        <v>46.3</v>
      </c>
      <c r="H607" s="8">
        <f t="shared" ca="1" si="44"/>
        <v>18.107461500188169</v>
      </c>
      <c r="I607" s="8">
        <f t="shared" ca="1" si="45"/>
        <v>9.0537307500940845</v>
      </c>
    </row>
    <row r="608" spans="5:9">
      <c r="E608" s="14">
        <f ca="1"/>
        <v>36367</v>
      </c>
      <c r="F608" s="14"/>
      <c r="G608" s="15">
        <f ca="1"/>
        <v>47.32</v>
      </c>
      <c r="H608" s="8">
        <f t="shared" ca="1" si="44"/>
        <v>18.107461500188169</v>
      </c>
      <c r="I608" s="8">
        <f t="shared" ca="1" si="45"/>
        <v>9.0537307500940845</v>
      </c>
    </row>
    <row r="609" spans="5:9">
      <c r="E609" s="14">
        <f ca="1"/>
        <v>36360</v>
      </c>
      <c r="F609" s="14"/>
      <c r="G609" s="15">
        <f ca="1"/>
        <v>48.64</v>
      </c>
      <c r="H609" s="8">
        <f t="shared" ca="1" si="44"/>
        <v>18.107461500188169</v>
      </c>
      <c r="I609" s="8">
        <f t="shared" ca="1" si="45"/>
        <v>9.0537307500940845</v>
      </c>
    </row>
    <row r="610" spans="5:9">
      <c r="E610" s="14">
        <f ca="1"/>
        <v>36353</v>
      </c>
      <c r="F610" s="14"/>
      <c r="G610" s="15">
        <f ca="1"/>
        <v>50.79</v>
      </c>
      <c r="H610" s="8">
        <f t="shared" ca="1" si="44"/>
        <v>18.107461500188169</v>
      </c>
      <c r="I610" s="8">
        <f t="shared" ca="1" si="45"/>
        <v>9.0537307500940845</v>
      </c>
    </row>
    <row r="611" spans="5:9">
      <c r="E611" s="14">
        <f ca="1"/>
        <v>36347</v>
      </c>
      <c r="F611" s="14"/>
      <c r="G611" s="15">
        <f ca="1"/>
        <v>49.72</v>
      </c>
      <c r="H611" s="8">
        <f t="shared" ca="1" si="44"/>
        <v>18.107461500188169</v>
      </c>
      <c r="I611" s="8">
        <f t="shared" ca="1" si="45"/>
        <v>9.0537307500940845</v>
      </c>
    </row>
    <row r="612" spans="5:9">
      <c r="E612" s="16"/>
      <c r="F612" s="16"/>
      <c r="G612" s="15"/>
      <c r="H612" s="8">
        <f t="shared" ca="1" si="44"/>
        <v>18.107461500188169</v>
      </c>
      <c r="I612" s="8">
        <f t="shared" ca="1" si="45"/>
        <v>9.0537307500940845</v>
      </c>
    </row>
    <row r="613" spans="5:9">
      <c r="E613" s="14"/>
      <c r="F613" s="14"/>
      <c r="G613" s="15"/>
      <c r="H613" s="8">
        <f t="shared" ca="1" si="44"/>
        <v>18.107461500188169</v>
      </c>
      <c r="I613" s="8">
        <f t="shared" ca="1" si="45"/>
        <v>9.0537307500940845</v>
      </c>
    </row>
    <row r="614" spans="5:9">
      <c r="E614" s="14"/>
      <c r="F614" s="14"/>
      <c r="G614" s="15"/>
      <c r="H614" s="8">
        <f t="shared" ca="1" si="44"/>
        <v>18.107461500188169</v>
      </c>
      <c r="I614" s="8">
        <f t="shared" ca="1" si="45"/>
        <v>9.0537307500940845</v>
      </c>
    </row>
    <row r="615" spans="5:9">
      <c r="E615" s="14"/>
      <c r="F615" s="14"/>
      <c r="G615" s="15"/>
    </row>
    <row r="616" spans="5:9" hidden="1">
      <c r="E616" s="14"/>
      <c r="F616" s="14"/>
    </row>
    <row r="617" spans="5:9" hidden="1">
      <c r="E617" s="16"/>
      <c r="F617" s="16"/>
    </row>
    <row r="618" spans="5:9" hidden="1">
      <c r="E618" s="14"/>
      <c r="F618" s="14"/>
    </row>
    <row r="619" spans="5:9" hidden="1">
      <c r="E619" s="14"/>
      <c r="F619" s="14"/>
    </row>
    <row r="620" spans="5:9" hidden="1">
      <c r="E620" s="14"/>
      <c r="F620" s="14"/>
    </row>
    <row r="621" spans="5:9" hidden="1">
      <c r="E621" s="14"/>
      <c r="F621" s="14"/>
    </row>
    <row r="622" spans="5:9" hidden="1">
      <c r="E622" s="14"/>
      <c r="F622" s="14"/>
    </row>
    <row r="623" spans="5:9" hidden="1">
      <c r="E623" s="14"/>
      <c r="F623" s="14"/>
    </row>
    <row r="624" spans="5:9" hidden="1">
      <c r="E624" s="14"/>
      <c r="F624" s="14"/>
    </row>
    <row r="625" spans="5:6" hidden="1">
      <c r="E625" s="14"/>
      <c r="F625" s="14"/>
    </row>
    <row r="626" spans="5:6" hidden="1">
      <c r="E626" s="14"/>
      <c r="F626" s="14"/>
    </row>
    <row r="627" spans="5:6" hidden="1">
      <c r="E627" s="14"/>
      <c r="F627" s="14"/>
    </row>
    <row r="628" spans="5:6" hidden="1">
      <c r="E628" s="14"/>
      <c r="F628" s="14"/>
    </row>
    <row r="629" spans="5:6" hidden="1">
      <c r="E629" s="16"/>
      <c r="F629" s="16"/>
    </row>
    <row r="630" spans="5:6" hidden="1">
      <c r="E630" s="14"/>
      <c r="F630" s="14"/>
    </row>
    <row r="631" spans="5:6" hidden="1">
      <c r="E631" s="14"/>
      <c r="F631" s="14"/>
    </row>
    <row r="632" spans="5:6" hidden="1">
      <c r="E632" s="14"/>
      <c r="F632" s="14"/>
    </row>
    <row r="633" spans="5:6" hidden="1">
      <c r="E633" s="14"/>
      <c r="F633" s="14"/>
    </row>
    <row r="634" spans="5:6" hidden="1">
      <c r="E634" s="14"/>
      <c r="F634" s="14"/>
    </row>
    <row r="635" spans="5:6" hidden="1">
      <c r="E635" s="14"/>
      <c r="F635" s="14"/>
    </row>
    <row r="636" spans="5:6" hidden="1">
      <c r="E636" s="14"/>
      <c r="F636" s="14"/>
    </row>
    <row r="637" spans="5:6" hidden="1">
      <c r="E637" s="14"/>
      <c r="F637" s="14"/>
    </row>
    <row r="638" spans="5:6" hidden="1">
      <c r="E638" s="14"/>
      <c r="F638" s="14"/>
    </row>
    <row r="639" spans="5:6" hidden="1">
      <c r="E639" s="14"/>
      <c r="F639" s="14"/>
    </row>
    <row r="640" spans="5:6" hidden="1">
      <c r="E640" s="14"/>
      <c r="F640" s="14"/>
    </row>
    <row r="641" spans="5:6" hidden="1">
      <c r="E641" s="14"/>
      <c r="F641" s="14"/>
    </row>
    <row r="642" spans="5:6" hidden="1">
      <c r="E642" s="14"/>
      <c r="F642" s="14"/>
    </row>
    <row r="643" spans="5:6" hidden="1">
      <c r="E643" s="16"/>
      <c r="F643" s="16"/>
    </row>
    <row r="644" spans="5:6" hidden="1">
      <c r="E644" s="14"/>
      <c r="F644" s="14"/>
    </row>
    <row r="645" spans="5:6" hidden="1">
      <c r="E645" s="16"/>
      <c r="F645" s="16"/>
    </row>
    <row r="646" spans="5:6" hidden="1">
      <c r="E646" s="14"/>
      <c r="F646" s="14"/>
    </row>
    <row r="647" spans="5:6" hidden="1">
      <c r="E647" s="14"/>
      <c r="F647" s="14"/>
    </row>
    <row r="648" spans="5:6" hidden="1">
      <c r="E648" s="16"/>
      <c r="F648" s="16"/>
    </row>
    <row r="649" spans="5:6" hidden="1">
      <c r="E649" s="16"/>
      <c r="F649" s="16"/>
    </row>
    <row r="650" spans="5:6" hidden="1">
      <c r="E650" s="16"/>
      <c r="F650" s="16"/>
    </row>
    <row r="651" spans="5:6" hidden="1">
      <c r="E651" s="16"/>
      <c r="F651" s="16"/>
    </row>
    <row r="652" spans="5:6" hidden="1">
      <c r="E652" s="16"/>
      <c r="F652" s="16"/>
    </row>
    <row r="653" spans="5:6" hidden="1">
      <c r="E653" s="16"/>
      <c r="F653" s="16"/>
    </row>
    <row r="654" spans="5:6" hidden="1">
      <c r="E654" s="14"/>
      <c r="F654" s="14"/>
    </row>
    <row r="655" spans="5:6" hidden="1">
      <c r="E655" s="14"/>
      <c r="F655" s="14"/>
    </row>
    <row r="656" spans="5:6" hidden="1">
      <c r="E656" s="16"/>
      <c r="F656" s="16"/>
    </row>
    <row r="657" spans="5:6" hidden="1">
      <c r="E657" s="14"/>
      <c r="F657" s="14"/>
    </row>
    <row r="658" spans="5:6" hidden="1">
      <c r="E658" s="14"/>
      <c r="F658" s="14"/>
    </row>
    <row r="659" spans="5:6" hidden="1">
      <c r="E659" s="14"/>
      <c r="F659" s="14"/>
    </row>
    <row r="660" spans="5:6" hidden="1">
      <c r="E660" s="16"/>
      <c r="F660" s="16"/>
    </row>
    <row r="661" spans="5:6" hidden="1">
      <c r="E661" s="14"/>
      <c r="F661" s="14"/>
    </row>
    <row r="662" spans="5:6" hidden="1">
      <c r="E662" s="14"/>
      <c r="F662" s="14"/>
    </row>
    <row r="663" spans="5:6" hidden="1">
      <c r="E663" s="14"/>
      <c r="F663" s="14"/>
    </row>
    <row r="664" spans="5:6" hidden="1">
      <c r="E664" s="14"/>
      <c r="F664" s="14"/>
    </row>
    <row r="665" spans="5:6" hidden="1">
      <c r="E665" s="14"/>
      <c r="F665" s="14"/>
    </row>
    <row r="666" spans="5:6" hidden="1">
      <c r="E666" s="14"/>
      <c r="F666" s="14"/>
    </row>
    <row r="667" spans="5:6" hidden="1">
      <c r="E667" s="14"/>
      <c r="F667" s="14"/>
    </row>
    <row r="668" spans="5:6" hidden="1">
      <c r="E668" s="14"/>
      <c r="F668" s="14"/>
    </row>
    <row r="669" spans="5:6" hidden="1">
      <c r="E669" s="14"/>
      <c r="F669" s="14"/>
    </row>
    <row r="670" spans="5:6" hidden="1">
      <c r="E670" s="14"/>
      <c r="F670" s="14"/>
    </row>
    <row r="671" spans="5:6"/>
    <row r="672" spans="5:6"/>
  </sheetData>
  <mergeCells count="4">
    <mergeCell ref="E5:R5"/>
    <mergeCell ref="Q1:R1"/>
    <mergeCell ref="Q2:R2"/>
    <mergeCell ref="E3:G3"/>
  </mergeCells>
  <phoneticPr fontId="8" type="noConversion"/>
  <pageMargins left="0.7" right="0.7" top="0.75" bottom="0.75" header="0.3" footer="0.3"/>
  <pageSetup scale="61" orientation="portrait" r:id="rId1"/>
  <rowBreaks count="1" manualBreakCount="1">
    <brk id="36" max="16383" man="1"/>
  </rowBreaks>
  <drawing r:id="rId2"/>
  <legacyDrawing r:id="rId3"/>
</worksheet>
</file>

<file path=xl/worksheets/sheet23.xml><?xml version="1.0" encoding="utf-8"?>
<worksheet xmlns="http://schemas.openxmlformats.org/spreadsheetml/2006/main" xmlns:r="http://schemas.openxmlformats.org/officeDocument/2006/relationships">
  <sheetPr codeName="Sheet14"/>
  <dimension ref="A1:Q40"/>
  <sheetViews>
    <sheetView topLeftCell="A3" zoomScale="75" zoomScaleNormal="75" workbookViewId="0">
      <selection activeCell="G3" sqref="G3"/>
    </sheetView>
  </sheetViews>
  <sheetFormatPr defaultRowHeight="12.75"/>
  <cols>
    <col min="1" max="3" width="9.5703125" bestFit="1" customWidth="1"/>
    <col min="5" max="5" width="9.5703125" bestFit="1" customWidth="1"/>
    <col min="6" max="6" width="13.42578125" customWidth="1"/>
    <col min="7" max="7" width="10.85546875" bestFit="1" customWidth="1"/>
    <col min="8" max="8" width="10" bestFit="1" customWidth="1"/>
    <col min="9" max="9" width="9.5703125" bestFit="1" customWidth="1"/>
    <col min="11" max="11" width="11.28515625" bestFit="1" customWidth="1"/>
    <col min="12" max="12" width="20" bestFit="1" customWidth="1"/>
    <col min="14" max="16" width="9.42578125" bestFit="1" customWidth="1"/>
    <col min="17" max="17" width="10.5703125" bestFit="1" customWidth="1"/>
  </cols>
  <sheetData>
    <row r="1" spans="1:17" ht="15">
      <c r="A1" t="s">
        <v>23</v>
      </c>
      <c r="B1" s="10" t="s">
        <v>61</v>
      </c>
      <c r="C1" s="10" t="s">
        <v>62</v>
      </c>
      <c r="D1" t="s">
        <v>540</v>
      </c>
      <c r="E1" t="s">
        <v>548</v>
      </c>
      <c r="F1" s="149" t="s">
        <v>438</v>
      </c>
      <c r="G1" t="s">
        <v>436</v>
      </c>
      <c r="H1" t="s">
        <v>437</v>
      </c>
      <c r="I1" t="s">
        <v>596</v>
      </c>
      <c r="J1" s="149" t="s">
        <v>603</v>
      </c>
      <c r="K1" t="s">
        <v>594</v>
      </c>
      <c r="L1" s="149" t="s">
        <v>594</v>
      </c>
      <c r="M1" s="132" t="s">
        <v>732</v>
      </c>
      <c r="N1" s="132" t="s">
        <v>733</v>
      </c>
      <c r="O1" s="132" t="s">
        <v>734</v>
      </c>
      <c r="P1" s="132" t="s">
        <v>735</v>
      </c>
      <c r="Q1" s="132" t="s">
        <v>749</v>
      </c>
    </row>
    <row r="2" spans="1:17" ht="15">
      <c r="A2" s="230">
        <f ca="1">DCFData!B7</f>
        <v>2306</v>
      </c>
      <c r="B2" s="11">
        <v>0.66</v>
      </c>
      <c r="C2" s="481">
        <f ca="1">[1]!RCHGetTableCell("http://finance.yahoo.com/bonds/composite_bond_rates", 1,"&gt;US Treasury Bonds","&gt;10 Year")/100</f>
        <v>3.0499999999999999E-2</v>
      </c>
      <c r="D2" t="s">
        <v>463</v>
      </c>
      <c r="E2" s="117">
        <v>0</v>
      </c>
      <c r="F2" s="156">
        <f ca="1">med_fcf_5yr</f>
        <v>4.8281426550994988E-2</v>
      </c>
      <c r="G2" s="129">
        <f ca="1">GrahamData!K11</f>
        <v>7.3674893893760585E-2</v>
      </c>
      <c r="H2" s="139">
        <f ca="1">'Graham Valuation'!B19</f>
        <v>2.8558181818181652</v>
      </c>
      <c r="I2">
        <f ca="1">[1]!RCHGetTableCell("http://www.bloomberg.com/markets/rates/corpbonds.html", 1,"&gt;Avg Redemption Yld")</f>
        <v>4.74</v>
      </c>
      <c r="J2" s="149" t="s">
        <v>605</v>
      </c>
      <c r="K2" t="str">
        <f ca="1">Ticker</f>
        <v>KO</v>
      </c>
      <c r="L2" s="580" t="s">
        <v>112</v>
      </c>
      <c r="M2" t="s">
        <v>429</v>
      </c>
      <c r="N2">
        <v>3</v>
      </c>
      <c r="O2" s="117">
        <v>0</v>
      </c>
      <c r="P2" s="686">
        <v>1</v>
      </c>
      <c r="Q2" s="151">
        <f ca="1">EPV!H13</f>
        <v>6965.2766018030352</v>
      </c>
    </row>
    <row r="3" spans="1:17" ht="15">
      <c r="A3" s="230">
        <f ca="1">DCFData!B8</f>
        <v>2310</v>
      </c>
      <c r="B3" s="11">
        <v>0.5</v>
      </c>
      <c r="C3" s="481">
        <f ca="1">DCFData!B107</f>
        <v>8.7773677975734016E-2</v>
      </c>
      <c r="D3" t="s">
        <v>541</v>
      </c>
      <c r="E3" s="117">
        <v>0.02</v>
      </c>
      <c r="F3" s="156">
        <f ca="1">med_fcf_10yr</f>
        <v>7.2823729594433839E-2</v>
      </c>
      <c r="G3" s="129">
        <f ca="1">CompData!C25/100</f>
        <v>7.9899999999999999E-2</v>
      </c>
      <c r="H3" s="139">
        <f ca="1">'Graham Valuation'!B20</f>
        <v>2.9295068846237888</v>
      </c>
      <c r="I3" t="str">
        <f ca="1">[1]!RCHGetTableCell("http://finance.yahoo.com/bonds/composite_bond_rates", 1,"&gt;Corporate Bonds","&gt;20yr AAA")</f>
        <v>N/A</v>
      </c>
      <c r="J3" s="149" t="s">
        <v>606</v>
      </c>
      <c r="K3">
        <f ca="1">Ticker2</f>
        <v>0</v>
      </c>
      <c r="L3" s="580" t="s">
        <v>630</v>
      </c>
      <c r="M3" t="s">
        <v>430</v>
      </c>
      <c r="N3">
        <v>4</v>
      </c>
      <c r="O3" s="117">
        <v>0.05</v>
      </c>
      <c r="P3" s="686">
        <v>0.95</v>
      </c>
      <c r="Q3" s="151">
        <f ca="1">EPV!H14</f>
        <v>6555.413913257672</v>
      </c>
    </row>
    <row r="4" spans="1:17" ht="15">
      <c r="B4" s="11">
        <v>0.25</v>
      </c>
      <c r="C4" s="129">
        <v>0.09</v>
      </c>
      <c r="E4" s="117">
        <v>0.03</v>
      </c>
      <c r="F4" s="579">
        <f ca="1">AVERAGE(F2:F3)</f>
        <v>6.0552578072714414E-2</v>
      </c>
      <c r="G4" s="129">
        <f ca="1">GrahamData!J14</f>
        <v>0.10568848364965688</v>
      </c>
      <c r="I4" t="str">
        <f ca="1">[1]!RCHGetTableCell("http://finance.yahoo.com/bonds/composite_bond_rates", 3,"&gt;Corporate Bonds","&gt;20yr AAA")</f>
        <v>N/A</v>
      </c>
      <c r="J4" s="149"/>
      <c r="K4">
        <f ca="1">Ticker3</f>
        <v>0</v>
      </c>
      <c r="L4" s="580" t="s">
        <v>628</v>
      </c>
      <c r="O4" s="117">
        <v>0.1</v>
      </c>
      <c r="P4" s="686">
        <v>0.9</v>
      </c>
      <c r="Q4" s="151">
        <f ca="1">EPV!H15</f>
        <v>7726.3696284106818</v>
      </c>
    </row>
    <row r="5" spans="1:17" ht="15">
      <c r="C5" s="481">
        <v>0.12</v>
      </c>
      <c r="E5" s="117">
        <v>0.04</v>
      </c>
      <c r="F5" s="149"/>
      <c r="I5" t="str">
        <f ca="1">[1]!RCHGetTableCell("http://finance.yahoo.com/bonds/composite_bond_rates", 4,"&gt;Corporate Bonds","&gt;20yr AAA")</f>
        <v>N/A</v>
      </c>
      <c r="J5" s="149"/>
      <c r="K5">
        <f ca="1">Ticker4</f>
        <v>0</v>
      </c>
      <c r="L5" s="580" t="s">
        <v>545</v>
      </c>
      <c r="O5" s="117">
        <v>0.15</v>
      </c>
      <c r="P5" s="686">
        <v>0.85</v>
      </c>
    </row>
    <row r="6" spans="1:17">
      <c r="C6" s="129">
        <v>0.15</v>
      </c>
      <c r="E6" s="117">
        <v>0.05</v>
      </c>
      <c r="F6" s="149"/>
      <c r="J6" s="149"/>
      <c r="K6">
        <f ca="1">Ticker5</f>
        <v>0</v>
      </c>
      <c r="L6" s="580" t="s">
        <v>549</v>
      </c>
      <c r="O6" s="117">
        <v>0.2</v>
      </c>
      <c r="P6" s="686">
        <v>0.8</v>
      </c>
    </row>
    <row r="7" spans="1:17">
      <c r="C7" s="129">
        <v>0.18</v>
      </c>
      <c r="E7" s="117">
        <v>0.06</v>
      </c>
      <c r="F7" s="149"/>
      <c r="J7" s="149"/>
      <c r="K7">
        <f ca="1">Ticker6</f>
        <v>0</v>
      </c>
      <c r="L7" s="580" t="s">
        <v>626</v>
      </c>
      <c r="O7" s="117">
        <v>0.25</v>
      </c>
      <c r="P7" s="686">
        <v>0.75</v>
      </c>
    </row>
    <row r="8" spans="1:17" ht="15">
      <c r="C8" s="481">
        <v>0.2</v>
      </c>
      <c r="E8" s="117">
        <v>7.0000000000000007E-2</v>
      </c>
      <c r="F8" s="149"/>
      <c r="J8" s="149"/>
      <c r="L8" s="580" t="s">
        <v>631</v>
      </c>
      <c r="P8" s="686">
        <v>0.7</v>
      </c>
    </row>
    <row r="9" spans="1:17">
      <c r="E9" s="117">
        <v>0.1</v>
      </c>
      <c r="F9" s="149"/>
      <c r="J9" s="149"/>
      <c r="L9" s="580" t="s">
        <v>632</v>
      </c>
      <c r="P9" s="686">
        <v>0.65</v>
      </c>
    </row>
    <row r="10" spans="1:17">
      <c r="F10" s="149"/>
      <c r="J10" s="149"/>
      <c r="L10" s="580" t="s">
        <v>633</v>
      </c>
      <c r="P10" s="686">
        <v>0.6</v>
      </c>
    </row>
    <row r="11" spans="1:17">
      <c r="F11" s="149"/>
      <c r="J11" s="149"/>
      <c r="L11" s="580" t="s">
        <v>627</v>
      </c>
      <c r="P11" s="686">
        <v>0.55000000000000004</v>
      </c>
    </row>
    <row r="12" spans="1:17">
      <c r="F12" s="149"/>
      <c r="J12" s="149"/>
      <c r="L12" s="580" t="s">
        <v>634</v>
      </c>
      <c r="P12" s="686">
        <v>0.5</v>
      </c>
    </row>
    <row r="13" spans="1:17">
      <c r="F13" s="149"/>
      <c r="J13" s="149"/>
      <c r="L13" s="580" t="s">
        <v>629</v>
      </c>
      <c r="P13" s="686">
        <v>0.45000000000000101</v>
      </c>
    </row>
    <row r="14" spans="1:17" ht="15">
      <c r="F14" s="149"/>
      <c r="J14" s="149"/>
      <c r="L14" s="575" t="s">
        <v>635</v>
      </c>
      <c r="P14" s="686">
        <v>0.40000000000000102</v>
      </c>
    </row>
    <row r="15" spans="1:17" ht="15">
      <c r="F15" s="149"/>
      <c r="J15" s="149"/>
      <c r="L15" s="581" t="s">
        <v>664</v>
      </c>
      <c r="P15" s="686">
        <v>0.35000000000000098</v>
      </c>
    </row>
    <row r="16" spans="1:17">
      <c r="F16" s="149"/>
      <c r="L16" s="131" t="s">
        <v>636</v>
      </c>
      <c r="P16" s="686">
        <v>0.30000000000000099</v>
      </c>
    </row>
    <row r="17" spans="12:16">
      <c r="L17" s="131" t="s">
        <v>637</v>
      </c>
      <c r="P17" s="686">
        <v>0.250000000000001</v>
      </c>
    </row>
    <row r="18" spans="12:16">
      <c r="L18" s="131" t="s">
        <v>638</v>
      </c>
      <c r="P18" s="686">
        <v>0.20000000000000101</v>
      </c>
    </row>
    <row r="19" spans="12:16">
      <c r="L19" s="131" t="s">
        <v>639</v>
      </c>
      <c r="P19" s="686">
        <v>0.15000000000000099</v>
      </c>
    </row>
    <row r="20" spans="12:16">
      <c r="L20" s="131" t="s">
        <v>640</v>
      </c>
      <c r="P20" s="686">
        <v>0.100000000000001</v>
      </c>
    </row>
    <row r="21" spans="12:16">
      <c r="L21" s="131" t="s">
        <v>641</v>
      </c>
      <c r="P21" s="686">
        <v>5.0000000000000898E-2</v>
      </c>
    </row>
    <row r="22" spans="12:16">
      <c r="L22" s="131" t="s">
        <v>642</v>
      </c>
      <c r="P22" s="686">
        <v>9.9920072216264108E-16</v>
      </c>
    </row>
    <row r="23" spans="12:16">
      <c r="L23" s="131" t="s">
        <v>660</v>
      </c>
    </row>
    <row r="24" spans="12:16">
      <c r="L24" s="131" t="s">
        <v>643</v>
      </c>
    </row>
    <row r="25" spans="12:16">
      <c r="L25" s="131" t="s">
        <v>644</v>
      </c>
    </row>
    <row r="26" spans="12:16">
      <c r="L26" s="131" t="s">
        <v>645</v>
      </c>
    </row>
    <row r="27" spans="12:16">
      <c r="L27" s="131" t="s">
        <v>646</v>
      </c>
    </row>
    <row r="28" spans="12:16">
      <c r="L28" s="131" t="s">
        <v>647</v>
      </c>
    </row>
    <row r="29" spans="12:16">
      <c r="L29" s="131" t="s">
        <v>648</v>
      </c>
    </row>
    <row r="30" spans="12:16">
      <c r="L30" s="131" t="s">
        <v>649</v>
      </c>
    </row>
    <row r="31" spans="12:16">
      <c r="L31" s="131" t="s">
        <v>650</v>
      </c>
    </row>
    <row r="32" spans="12:16">
      <c r="L32" s="131" t="s">
        <v>651</v>
      </c>
    </row>
    <row r="33" spans="12:12">
      <c r="L33" s="131" t="s">
        <v>652</v>
      </c>
    </row>
    <row r="34" spans="12:12">
      <c r="L34" s="131" t="s">
        <v>653</v>
      </c>
    </row>
    <row r="35" spans="12:12">
      <c r="L35" s="131" t="s">
        <v>654</v>
      </c>
    </row>
    <row r="36" spans="12:12">
      <c r="L36" s="131" t="s">
        <v>655</v>
      </c>
    </row>
    <row r="37" spans="12:12">
      <c r="L37" s="131" t="s">
        <v>656</v>
      </c>
    </row>
    <row r="38" spans="12:12">
      <c r="L38" s="131" t="s">
        <v>657</v>
      </c>
    </row>
    <row r="39" spans="12:12">
      <c r="L39" s="131" t="s">
        <v>658</v>
      </c>
    </row>
    <row r="40" spans="12:12">
      <c r="L40" s="131" t="s">
        <v>659</v>
      </c>
    </row>
  </sheetData>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sheetPr codeName="Sheet27"/>
  <dimension ref="A1:B19"/>
  <sheetViews>
    <sheetView zoomScale="75" zoomScaleNormal="75" workbookViewId="0">
      <selection activeCell="B4" sqref="B4"/>
    </sheetView>
  </sheetViews>
  <sheetFormatPr defaultColWidth="7.85546875" defaultRowHeight="12.75"/>
  <cols>
    <col min="1" max="1" width="19.5703125" customWidth="1"/>
    <col min="2" max="2" width="225.28515625" customWidth="1"/>
  </cols>
  <sheetData>
    <row r="1" spans="1:2" ht="76.5">
      <c r="A1" s="867" t="s">
        <v>432</v>
      </c>
      <c r="B1" s="868" t="s">
        <v>769</v>
      </c>
    </row>
    <row r="2" spans="1:2" ht="89.25">
      <c r="A2" s="867" t="s">
        <v>771</v>
      </c>
      <c r="B2" s="868" t="s">
        <v>772</v>
      </c>
    </row>
    <row r="3" spans="1:2" ht="153">
      <c r="A3" s="867" t="s">
        <v>770</v>
      </c>
      <c r="B3" s="868" t="s">
        <v>786</v>
      </c>
    </row>
    <row r="4" spans="1:2" ht="255">
      <c r="A4" s="867" t="s">
        <v>316</v>
      </c>
      <c r="B4" s="868" t="s">
        <v>787</v>
      </c>
    </row>
    <row r="5" spans="1:2" ht="409.5">
      <c r="A5" s="867" t="s">
        <v>317</v>
      </c>
      <c r="B5" s="868" t="s">
        <v>788</v>
      </c>
    </row>
    <row r="6" spans="1:2" ht="409.5">
      <c r="A6" s="867" t="s">
        <v>315</v>
      </c>
      <c r="B6" s="868" t="s">
        <v>791</v>
      </c>
    </row>
    <row r="7" spans="1:2" ht="63.75">
      <c r="A7" s="867" t="s">
        <v>789</v>
      </c>
      <c r="B7" s="868" t="s">
        <v>859</v>
      </c>
    </row>
    <row r="8" spans="1:2" ht="255">
      <c r="A8" s="867" t="s">
        <v>608</v>
      </c>
      <c r="B8" s="868" t="s">
        <v>860</v>
      </c>
    </row>
    <row r="9" spans="1:2" ht="127.5">
      <c r="A9" s="867" t="s">
        <v>690</v>
      </c>
      <c r="B9" s="868" t="s">
        <v>862</v>
      </c>
    </row>
    <row r="10" spans="1:2" ht="255">
      <c r="A10" s="867" t="s">
        <v>861</v>
      </c>
      <c r="B10" s="868" t="s">
        <v>863</v>
      </c>
    </row>
    <row r="11" spans="1:2" ht="76.5">
      <c r="A11" s="867" t="s">
        <v>594</v>
      </c>
      <c r="B11" s="868" t="s">
        <v>864</v>
      </c>
    </row>
    <row r="12" spans="1:2" ht="60" customHeight="1">
      <c r="A12" s="867" t="s">
        <v>790</v>
      </c>
      <c r="B12" s="868" t="s">
        <v>865</v>
      </c>
    </row>
    <row r="13" spans="1:2">
      <c r="A13" s="867"/>
      <c r="B13" s="868"/>
    </row>
    <row r="14" spans="1:2">
      <c r="A14" s="867"/>
      <c r="B14" s="868"/>
    </row>
    <row r="15" spans="1:2">
      <c r="A15" s="867"/>
      <c r="B15" s="868"/>
    </row>
    <row r="16" spans="1:2">
      <c r="A16" s="867"/>
      <c r="B16" s="868"/>
    </row>
    <row r="17" spans="1:2">
      <c r="A17" s="867"/>
      <c r="B17" s="868"/>
    </row>
    <row r="18" spans="1:2">
      <c r="A18" s="867"/>
      <c r="B18" s="868"/>
    </row>
    <row r="19" spans="1:2">
      <c r="A19" s="867"/>
      <c r="B19" s="868"/>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88</vt:i4>
      </vt:variant>
    </vt:vector>
  </HeadingPairs>
  <TitlesOfParts>
    <vt:vector size="112" baseType="lpstr">
      <vt:lpstr>Release notes</vt:lpstr>
      <vt:lpstr>Dashboard</vt:lpstr>
      <vt:lpstr>DashData</vt:lpstr>
      <vt:lpstr>Statements</vt:lpstr>
      <vt:lpstr>DCF Valuation</vt:lpstr>
      <vt:lpstr>DCFData</vt:lpstr>
      <vt:lpstr>Graham Valuation</vt:lpstr>
      <vt:lpstr>GrahamData</vt:lpstr>
      <vt:lpstr>EPV</vt:lpstr>
      <vt:lpstr>EPVData</vt:lpstr>
      <vt:lpstr>NetNet</vt:lpstr>
      <vt:lpstr>NetNetData</vt:lpstr>
      <vt:lpstr>PioAltZ</vt:lpstr>
      <vt:lpstr>PioData</vt:lpstr>
      <vt:lpstr>AltmanData</vt:lpstr>
      <vt:lpstr>BeneishData</vt:lpstr>
      <vt:lpstr>Competitors</vt:lpstr>
      <vt:lpstr>CompData</vt:lpstr>
      <vt:lpstr>Charts</vt:lpstr>
      <vt:lpstr>ChartsData</vt:lpstr>
      <vt:lpstr>Assessment</vt:lpstr>
      <vt:lpstr>PriceValueGraph</vt:lpstr>
      <vt:lpstr>Lists</vt:lpstr>
      <vt:lpstr>HelpSheet</vt:lpstr>
      <vt:lpstr>Altman</vt:lpstr>
      <vt:lpstr>ChartData</vt:lpstr>
      <vt:lpstr>date</vt:lpstr>
      <vt:lpstr>dcf_discount</vt:lpstr>
      <vt:lpstr>dcf_growth</vt:lpstr>
      <vt:lpstr>dcf_mos</vt:lpstr>
      <vt:lpstr>dcf_price</vt:lpstr>
      <vt:lpstr>debt_equity</vt:lpstr>
      <vt:lpstr>earnings_yield</vt:lpstr>
      <vt:lpstr>enter_ticker</vt:lpstr>
      <vt:lpstr>EPV</vt:lpstr>
      <vt:lpstr>epv_income</vt:lpstr>
      <vt:lpstr>epv_mos</vt:lpstr>
      <vt:lpstr>fcf_debt</vt:lpstr>
      <vt:lpstr>fcf_ltd</vt:lpstr>
      <vt:lpstr>fcf_std</vt:lpstr>
      <vt:lpstr>firmvalue</vt:lpstr>
      <vt:lpstr>graham_eps</vt:lpstr>
      <vt:lpstr>graham_growth</vt:lpstr>
      <vt:lpstr>graham_mos</vt:lpstr>
      <vt:lpstr>graham_price</vt:lpstr>
      <vt:lpstr>inventory_turnover</vt:lpstr>
      <vt:lpstr>list_bonds</vt:lpstr>
      <vt:lpstr>list_compdata</vt:lpstr>
      <vt:lpstr>list_comps</vt:lpstr>
      <vt:lpstr>list_discount</vt:lpstr>
      <vt:lpstr>list_epv_income</vt:lpstr>
      <vt:lpstr>list_epv_multiplier</vt:lpstr>
      <vt:lpstr>list_epv_rd</vt:lpstr>
      <vt:lpstr>list_epv_sga</vt:lpstr>
      <vt:lpstr>list_epv_source</vt:lpstr>
      <vt:lpstr>list_FCF_select</vt:lpstr>
      <vt:lpstr>list_graham_eps</vt:lpstr>
      <vt:lpstr>list_graham_growth</vt:lpstr>
      <vt:lpstr>list_mos</vt:lpstr>
      <vt:lpstr>list_projection</vt:lpstr>
      <vt:lpstr>list_shares</vt:lpstr>
      <vt:lpstr>list_terminal</vt:lpstr>
      <vt:lpstr>market_price</vt:lpstr>
      <vt:lpstr>med_fcf_10yr</vt:lpstr>
      <vt:lpstr>med_fcf_5yr</vt:lpstr>
      <vt:lpstr>multi_cash_ops</vt:lpstr>
      <vt:lpstr>multi_croic</vt:lpstr>
      <vt:lpstr>multi_eps_growth</vt:lpstr>
      <vt:lpstr>multi_fcf_sales</vt:lpstr>
      <vt:lpstr>multi_gross</vt:lpstr>
      <vt:lpstr>multi_net_margin</vt:lpstr>
      <vt:lpstr>multi_ops_margin</vt:lpstr>
      <vt:lpstr>multi_rev</vt:lpstr>
      <vt:lpstr>multi_roa</vt:lpstr>
      <vt:lpstr>multi_roe</vt:lpstr>
      <vt:lpstr>multi_shareholder</vt:lpstr>
      <vt:lpstr>NCAV</vt:lpstr>
      <vt:lpstr>PB</vt:lpstr>
      <vt:lpstr>PE</vt:lpstr>
      <vt:lpstr>piotroski_f</vt:lpstr>
      <vt:lpstr>price_fcf</vt:lpstr>
      <vt:lpstr>Assessment!Print_Area</vt:lpstr>
      <vt:lpstr>Charts!Print_Area</vt:lpstr>
      <vt:lpstr>Competitors!Print_Area</vt:lpstr>
      <vt:lpstr>Dashboard!Print_Area</vt:lpstr>
      <vt:lpstr>'DCF Valuation'!Print_Area</vt:lpstr>
      <vt:lpstr>EPV!Print_Area</vt:lpstr>
      <vt:lpstr>'Graham Valuation'!Print_Area</vt:lpstr>
      <vt:lpstr>NetNet!Print_Area</vt:lpstr>
      <vt:lpstr>PioAltZ!Print_Area</vt:lpstr>
      <vt:lpstr>PriceValueGraph!Print_Area</vt:lpstr>
      <vt:lpstr>'Release notes'!Print_Area</vt:lpstr>
      <vt:lpstr>Statements!Print_Area</vt:lpstr>
      <vt:lpstr>PS</vt:lpstr>
      <vt:lpstr>shares</vt:lpstr>
      <vt:lpstr>Ticker</vt:lpstr>
      <vt:lpstr>Ticker2</vt:lpstr>
      <vt:lpstr>Ticker3</vt:lpstr>
      <vt:lpstr>Ticker4</vt:lpstr>
      <vt:lpstr>Ticker5</vt:lpstr>
      <vt:lpstr>Ticker6</vt:lpstr>
      <vt:lpstr>user_alt</vt:lpstr>
      <vt:lpstr>user_assess</vt:lpstr>
      <vt:lpstr>user_comp</vt:lpstr>
      <vt:lpstr>user_eps</vt:lpstr>
      <vt:lpstr>user_epv</vt:lpstr>
      <vt:lpstr>user_fcf</vt:lpstr>
      <vt:lpstr>user_graham_growth</vt:lpstr>
      <vt:lpstr>user_growth</vt:lpstr>
      <vt:lpstr>user_netnet</vt:lpstr>
      <vt:lpstr>user_shares</vt:lpstr>
      <vt:lpstr>user_statement_owner</vt:lpstr>
    </vt:vector>
  </TitlesOfParts>
  <LinksUpToDate>false</LinksUpToDate>
  <SharedDoc>false</SharedDoc>
  <HyperlinkBase>http://www.fwallstreet.com</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 Wall Street</dc:title>
  <dc:subject>JNJ Analysis</dc:subject>
  <dc:creator>Joe Ponzio</dc:creator>
  <cp:lastModifiedBy>Jae Jun</cp:lastModifiedBy>
  <cp:lastPrinted>2010-07-02T10:49:17Z</cp:lastPrinted>
  <dcterms:created xsi:type="dcterms:W3CDTF">2007-05-13T04:22:25Z</dcterms:created>
  <dcterms:modified xsi:type="dcterms:W3CDTF">2010-07-29T06:10:04Z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mbedSmartTagsHasBeenSet">
    <vt:i4>1</vt:i4>
  </property>
</Properties>
</file>